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GitHub\ThreeME\data\calibrations\Documents MTE\run 3\Bâtiments\"/>
    </mc:Choice>
  </mc:AlternateContent>
  <xr:revisionPtr revIDLastSave="0" documentId="13_ncr:1_{610AF00D-18F9-4BDE-B32F-C19ED40AA213}" xr6:coauthVersionLast="47" xr6:coauthVersionMax="47" xr10:uidLastSave="{00000000-0000-0000-0000-000000000000}"/>
  <bookViews>
    <workbookView xWindow="28680" yWindow="4410" windowWidth="20730" windowHeight="11040" firstSheet="2" activeTab="4" xr2:uid="{00000000-000D-0000-FFFF-FFFF00000000}"/>
  </bookViews>
  <sheets>
    <sheet name="Parc et émission" sheetId="2" r:id="rId1"/>
    <sheet name="Bilan consommation" sheetId="4" r:id="rId2"/>
    <sheet name="Gestes de rénovation" sheetId="5" r:id="rId3"/>
    <sheet name="Aides" sheetId="6" r:id="rId4"/>
    <sheet name="Feuil1" sheetId="7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7" l="1"/>
  <c r="H4" i="7"/>
  <c r="I4" i="7"/>
  <c r="S4" i="7"/>
  <c r="T4" i="7"/>
  <c r="U4" i="7"/>
  <c r="C3" i="7"/>
  <c r="C4" i="7" s="1"/>
  <c r="D3" i="7"/>
  <c r="D4" i="7" s="1"/>
  <c r="E3" i="7"/>
  <c r="E4" i="7" s="1"/>
  <c r="F3" i="7"/>
  <c r="F4" i="7" s="1"/>
  <c r="G3" i="7"/>
  <c r="H3" i="7"/>
  <c r="I3" i="7"/>
  <c r="J3" i="7"/>
  <c r="J4" i="7" s="1"/>
  <c r="K3" i="7"/>
  <c r="K4" i="7" s="1"/>
  <c r="L3" i="7"/>
  <c r="M3" i="7"/>
  <c r="M4" i="7" s="1"/>
  <c r="N3" i="7"/>
  <c r="N4" i="7" s="1"/>
  <c r="O3" i="7"/>
  <c r="O4" i="7" s="1"/>
  <c r="P3" i="7"/>
  <c r="P4" i="7" s="1"/>
  <c r="Q3" i="7"/>
  <c r="Q4" i="7" s="1"/>
  <c r="R3" i="7"/>
  <c r="R4" i="7" s="1"/>
  <c r="S3" i="7"/>
  <c r="T3" i="7"/>
  <c r="U3" i="7"/>
  <c r="V3" i="7"/>
  <c r="V4" i="7" s="1"/>
  <c r="W3" i="7"/>
  <c r="W4" i="7" s="1"/>
  <c r="X3" i="7"/>
  <c r="Y3" i="7"/>
  <c r="Y4" i="7" s="1"/>
  <c r="Z3" i="7"/>
  <c r="Z4" i="7" s="1"/>
  <c r="AA3" i="7"/>
  <c r="AA4" i="7" s="1"/>
  <c r="AB3" i="7"/>
  <c r="AB4" i="7" s="1"/>
  <c r="AC3" i="7"/>
  <c r="AC4" i="7" s="1"/>
  <c r="B3" i="7"/>
  <c r="C2" i="7"/>
  <c r="D2" i="7"/>
  <c r="E2" i="7"/>
  <c r="F2" i="7"/>
  <c r="G2" i="7"/>
  <c r="H2" i="7"/>
  <c r="I2" i="7"/>
  <c r="J2" i="7"/>
  <c r="K2" i="7"/>
  <c r="L2" i="7"/>
  <c r="L4" i="7" s="1"/>
  <c r="M2" i="7"/>
  <c r="N2" i="7"/>
  <c r="O2" i="7"/>
  <c r="P2" i="7"/>
  <c r="Q2" i="7"/>
  <c r="R2" i="7"/>
  <c r="S2" i="7"/>
  <c r="T2" i="7"/>
  <c r="U2" i="7"/>
  <c r="V2" i="7"/>
  <c r="W2" i="7"/>
  <c r="X2" i="7"/>
  <c r="X4" i="7" s="1"/>
  <c r="Y2" i="7"/>
  <c r="Z2" i="7"/>
  <c r="AA2" i="7"/>
  <c r="AB2" i="7"/>
  <c r="AC2" i="7"/>
  <c r="B2" i="7"/>
  <c r="AM84" i="6"/>
  <c r="AL84" i="6"/>
  <c r="AK84" i="6"/>
  <c r="AJ84" i="6"/>
  <c r="AI84" i="6"/>
  <c r="AH84" i="6"/>
  <c r="AG84" i="6"/>
  <c r="AF84" i="6"/>
  <c r="AE84" i="6"/>
  <c r="AD84" i="6"/>
  <c r="AC84" i="6"/>
  <c r="AB84" i="6"/>
  <c r="AA84" i="6"/>
  <c r="Z84" i="6"/>
  <c r="Y84" i="6"/>
  <c r="X84" i="6"/>
  <c r="W84" i="6"/>
  <c r="V84" i="6"/>
  <c r="U84" i="6"/>
  <c r="T84" i="6"/>
  <c r="S84" i="6"/>
  <c r="R84" i="6"/>
  <c r="Q84" i="6"/>
  <c r="P84" i="6"/>
  <c r="O84" i="6"/>
  <c r="N84" i="6"/>
  <c r="M84" i="6"/>
  <c r="L84" i="6"/>
  <c r="AM83" i="6"/>
  <c r="AL83" i="6"/>
  <c r="AK83" i="6"/>
  <c r="AJ83" i="6"/>
  <c r="AI83" i="6"/>
  <c r="AH83" i="6"/>
  <c r="AG83" i="6"/>
  <c r="AF83" i="6"/>
  <c r="AE83" i="6"/>
  <c r="AD83" i="6"/>
  <c r="AC83" i="6"/>
  <c r="AB83" i="6"/>
  <c r="AA83" i="6"/>
  <c r="Z83" i="6"/>
  <c r="Y83" i="6"/>
  <c r="X83" i="6"/>
  <c r="W83" i="6"/>
  <c r="V83" i="6"/>
  <c r="U83" i="6"/>
  <c r="T83" i="6"/>
  <c r="S83" i="6"/>
  <c r="R83" i="6"/>
  <c r="Q83" i="6"/>
  <c r="P83" i="6"/>
  <c r="O83" i="6"/>
  <c r="N83" i="6"/>
  <c r="M83" i="6"/>
  <c r="L83" i="6"/>
  <c r="AM82" i="6"/>
  <c r="AL82" i="6"/>
  <c r="AK82" i="6"/>
  <c r="AJ82" i="6"/>
  <c r="AI82" i="6"/>
  <c r="AH82" i="6"/>
  <c r="AG82" i="6"/>
  <c r="AF82" i="6"/>
  <c r="AE82" i="6"/>
  <c r="AD82" i="6"/>
  <c r="AC82" i="6"/>
  <c r="AB82" i="6"/>
  <c r="AA82" i="6"/>
  <c r="Z82" i="6"/>
  <c r="Y82" i="6"/>
  <c r="X82" i="6"/>
  <c r="W82" i="6"/>
  <c r="V82" i="6"/>
  <c r="U82" i="6"/>
  <c r="T82" i="6"/>
  <c r="S82" i="6"/>
  <c r="R82" i="6"/>
  <c r="Q82" i="6"/>
  <c r="P82" i="6"/>
  <c r="O82" i="6"/>
  <c r="N82" i="6"/>
  <c r="M82" i="6"/>
  <c r="L82" i="6"/>
  <c r="AM77" i="6"/>
  <c r="AL77" i="6"/>
  <c r="AK77" i="6"/>
  <c r="Z77" i="6"/>
  <c r="Y77" i="6"/>
  <c r="W77" i="6"/>
  <c r="T77" i="6"/>
  <c r="N77" i="6"/>
  <c r="M77" i="6"/>
  <c r="AM76" i="6"/>
  <c r="AL76" i="6"/>
  <c r="AK76" i="6"/>
  <c r="AJ76" i="6"/>
  <c r="AJ77" i="6" s="1"/>
  <c r="AI76" i="6"/>
  <c r="AH76" i="6"/>
  <c r="AG76" i="6"/>
  <c r="AF76" i="6"/>
  <c r="AE76" i="6"/>
  <c r="AD76" i="6"/>
  <c r="AC76" i="6"/>
  <c r="AB76" i="6"/>
  <c r="AA76" i="6"/>
  <c r="AA77" i="6" s="1"/>
  <c r="Z76" i="6"/>
  <c r="Y76" i="6"/>
  <c r="X76" i="6"/>
  <c r="X77" i="6" s="1"/>
  <c r="W76" i="6"/>
  <c r="V76" i="6"/>
  <c r="U76" i="6"/>
  <c r="T76" i="6"/>
  <c r="S76" i="6"/>
  <c r="R76" i="6"/>
  <c r="Q76" i="6"/>
  <c r="P76" i="6"/>
  <c r="O76" i="6"/>
  <c r="O77" i="6" s="1"/>
  <c r="N76" i="6"/>
  <c r="M76" i="6"/>
  <c r="L76" i="6"/>
  <c r="L77" i="6" s="1"/>
  <c r="AM75" i="6"/>
  <c r="AL75" i="6"/>
  <c r="AK75" i="6"/>
  <c r="AJ75" i="6"/>
  <c r="AI75" i="6"/>
  <c r="AI77" i="6" s="1"/>
  <c r="AH75" i="6"/>
  <c r="AH77" i="6" s="1"/>
  <c r="AG75" i="6"/>
  <c r="AG77" i="6" s="1"/>
  <c r="AF75" i="6"/>
  <c r="AF77" i="6" s="1"/>
  <c r="AE75" i="6"/>
  <c r="AE77" i="6" s="1"/>
  <c r="AD75" i="6"/>
  <c r="AD77" i="6" s="1"/>
  <c r="AC75" i="6"/>
  <c r="AC77" i="6" s="1"/>
  <c r="AB75" i="6"/>
  <c r="AB77" i="6" s="1"/>
  <c r="AA75" i="6"/>
  <c r="Z75" i="6"/>
  <c r="Y75" i="6"/>
  <c r="X75" i="6"/>
  <c r="W75" i="6"/>
  <c r="V75" i="6"/>
  <c r="V77" i="6" s="1"/>
  <c r="U75" i="6"/>
  <c r="U77" i="6" s="1"/>
  <c r="T75" i="6"/>
  <c r="S75" i="6"/>
  <c r="S77" i="6" s="1"/>
  <c r="R75" i="6"/>
  <c r="R77" i="6" s="1"/>
  <c r="Q75" i="6"/>
  <c r="Q77" i="6" s="1"/>
  <c r="P75" i="6"/>
  <c r="P77" i="6" s="1"/>
  <c r="O75" i="6"/>
  <c r="N75" i="6"/>
  <c r="M75" i="6"/>
  <c r="L75" i="6"/>
  <c r="AM67" i="6"/>
  <c r="AL67" i="6"/>
  <c r="AK67" i="6"/>
  <c r="AJ67" i="6"/>
  <c r="AI67" i="6"/>
  <c r="AH67" i="6"/>
  <c r="AG67" i="6"/>
  <c r="AF67" i="6"/>
  <c r="AE67" i="6"/>
  <c r="AD67" i="6"/>
  <c r="AC67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AM65" i="6"/>
  <c r="AL65" i="6"/>
  <c r="AK65" i="6"/>
  <c r="AJ65" i="6"/>
  <c r="AI65" i="6"/>
  <c r="AH65" i="6"/>
  <c r="AG65" i="6"/>
  <c r="AF65" i="6"/>
  <c r="AE65" i="6"/>
  <c r="AD65" i="6"/>
  <c r="AC65" i="6"/>
  <c r="AB65" i="6"/>
  <c r="AA65" i="6"/>
  <c r="Z65" i="6"/>
  <c r="Y65" i="6"/>
  <c r="X65" i="6"/>
  <c r="W65" i="6"/>
  <c r="V65" i="6"/>
  <c r="U65" i="6"/>
  <c r="T65" i="6"/>
  <c r="S65" i="6"/>
  <c r="R65" i="6"/>
  <c r="Q65" i="6"/>
  <c r="P65" i="6"/>
  <c r="O65" i="6"/>
  <c r="N65" i="6"/>
  <c r="M65" i="6"/>
  <c r="L65" i="6"/>
  <c r="AM64" i="6"/>
  <c r="AL64" i="6"/>
  <c r="AK64" i="6"/>
  <c r="AJ64" i="6"/>
  <c r="AI64" i="6"/>
  <c r="AH64" i="6"/>
  <c r="AG64" i="6"/>
  <c r="AF64" i="6"/>
  <c r="AE64" i="6"/>
  <c r="AD64" i="6"/>
  <c r="AC64" i="6"/>
  <c r="AB64" i="6"/>
  <c r="AA64" i="6"/>
  <c r="Z64" i="6"/>
  <c r="Y64" i="6"/>
  <c r="X64" i="6"/>
  <c r="W64" i="6"/>
  <c r="V64" i="6"/>
  <c r="U64" i="6"/>
  <c r="T64" i="6"/>
  <c r="S64" i="6"/>
  <c r="R64" i="6"/>
  <c r="Q64" i="6"/>
  <c r="P64" i="6"/>
  <c r="O64" i="6"/>
  <c r="N64" i="6"/>
  <c r="M64" i="6"/>
  <c r="L64" i="6"/>
  <c r="AM63" i="6"/>
  <c r="AM66" i="6" s="1"/>
  <c r="AM35" i="6" s="1"/>
  <c r="AL63" i="6"/>
  <c r="AL66" i="6" s="1"/>
  <c r="AL35" i="6" s="1"/>
  <c r="AK63" i="6"/>
  <c r="AK66" i="6" s="1"/>
  <c r="AK35" i="6" s="1"/>
  <c r="AJ63" i="6"/>
  <c r="AJ66" i="6" s="1"/>
  <c r="AJ35" i="6" s="1"/>
  <c r="AI63" i="6"/>
  <c r="AI66" i="6" s="1"/>
  <c r="AI35" i="6" s="1"/>
  <c r="AH63" i="6"/>
  <c r="AH66" i="6" s="1"/>
  <c r="AH35" i="6" s="1"/>
  <c r="AG63" i="6"/>
  <c r="AG66" i="6" s="1"/>
  <c r="AG35" i="6" s="1"/>
  <c r="AF63" i="6"/>
  <c r="AF66" i="6" s="1"/>
  <c r="AF35" i="6" s="1"/>
  <c r="AE63" i="6"/>
  <c r="AE66" i="6" s="1"/>
  <c r="AE35" i="6" s="1"/>
  <c r="AD63" i="6"/>
  <c r="AD66" i="6" s="1"/>
  <c r="AD35" i="6" s="1"/>
  <c r="AC63" i="6"/>
  <c r="AC66" i="6" s="1"/>
  <c r="AC35" i="6" s="1"/>
  <c r="AB63" i="6"/>
  <c r="AB66" i="6" s="1"/>
  <c r="AB35" i="6" s="1"/>
  <c r="AA63" i="6"/>
  <c r="AA66" i="6" s="1"/>
  <c r="AA35" i="6" s="1"/>
  <c r="Z63" i="6"/>
  <c r="Z66" i="6" s="1"/>
  <c r="Z35" i="6" s="1"/>
  <c r="Y63" i="6"/>
  <c r="Y66" i="6" s="1"/>
  <c r="Y35" i="6" s="1"/>
  <c r="X63" i="6"/>
  <c r="X66" i="6" s="1"/>
  <c r="X35" i="6" s="1"/>
  <c r="W63" i="6"/>
  <c r="W66" i="6" s="1"/>
  <c r="W35" i="6" s="1"/>
  <c r="V63" i="6"/>
  <c r="V66" i="6" s="1"/>
  <c r="V35" i="6" s="1"/>
  <c r="U63" i="6"/>
  <c r="U66" i="6" s="1"/>
  <c r="U35" i="6" s="1"/>
  <c r="T63" i="6"/>
  <c r="T66" i="6" s="1"/>
  <c r="T35" i="6" s="1"/>
  <c r="S63" i="6"/>
  <c r="S66" i="6" s="1"/>
  <c r="S35" i="6" s="1"/>
  <c r="R63" i="6"/>
  <c r="R66" i="6" s="1"/>
  <c r="Q63" i="6"/>
  <c r="Q66" i="6" s="1"/>
  <c r="P63" i="6"/>
  <c r="P66" i="6" s="1"/>
  <c r="O63" i="6"/>
  <c r="O66" i="6" s="1"/>
  <c r="N63" i="6"/>
  <c r="N66" i="6" s="1"/>
  <c r="M63" i="6"/>
  <c r="M66" i="6" s="1"/>
  <c r="L63" i="6"/>
  <c r="L66" i="6" s="1"/>
  <c r="AL62" i="6"/>
  <c r="AL34" i="6" s="1"/>
  <c r="AF62" i="6"/>
  <c r="AF34" i="6" s="1"/>
  <c r="AE62" i="6"/>
  <c r="AC62" i="6"/>
  <c r="AC34" i="6" s="1"/>
  <c r="Z62" i="6"/>
  <c r="Z34" i="6" s="1"/>
  <c r="T62" i="6"/>
  <c r="T34" i="6" s="1"/>
  <c r="S62" i="6"/>
  <c r="Q62" i="6"/>
  <c r="N62" i="6"/>
  <c r="AM61" i="6"/>
  <c r="AL61" i="6"/>
  <c r="AK61" i="6"/>
  <c r="AJ61" i="6"/>
  <c r="AI61" i="6"/>
  <c r="AH61" i="6"/>
  <c r="AG61" i="6"/>
  <c r="AG62" i="6" s="1"/>
  <c r="AG34" i="6" s="1"/>
  <c r="AF61" i="6"/>
  <c r="AE61" i="6"/>
  <c r="AD61" i="6"/>
  <c r="AD62" i="6" s="1"/>
  <c r="AD34" i="6" s="1"/>
  <c r="AC61" i="6"/>
  <c r="AB61" i="6"/>
  <c r="AA61" i="6"/>
  <c r="Z61" i="6"/>
  <c r="Y61" i="6"/>
  <c r="X61" i="6"/>
  <c r="W61" i="6"/>
  <c r="V61" i="6"/>
  <c r="U61" i="6"/>
  <c r="U62" i="6" s="1"/>
  <c r="U34" i="6" s="1"/>
  <c r="T61" i="6"/>
  <c r="S61" i="6"/>
  <c r="R61" i="6"/>
  <c r="R62" i="6" s="1"/>
  <c r="Q61" i="6"/>
  <c r="P61" i="6"/>
  <c r="O61" i="6"/>
  <c r="N61" i="6"/>
  <c r="M61" i="6"/>
  <c r="L61" i="6"/>
  <c r="AM60" i="6"/>
  <c r="AM62" i="6" s="1"/>
  <c r="AM34" i="6" s="1"/>
  <c r="AL60" i="6"/>
  <c r="AK60" i="6"/>
  <c r="AK62" i="6" s="1"/>
  <c r="AK34" i="6" s="1"/>
  <c r="AJ60" i="6"/>
  <c r="AJ62" i="6" s="1"/>
  <c r="AJ34" i="6" s="1"/>
  <c r="AI60" i="6"/>
  <c r="AI62" i="6" s="1"/>
  <c r="AI34" i="6" s="1"/>
  <c r="AH60" i="6"/>
  <c r="AH62" i="6" s="1"/>
  <c r="AH34" i="6" s="1"/>
  <c r="AG60" i="6"/>
  <c r="AF60" i="6"/>
  <c r="AE60" i="6"/>
  <c r="AD60" i="6"/>
  <c r="AC60" i="6"/>
  <c r="AB60" i="6"/>
  <c r="AB62" i="6" s="1"/>
  <c r="AB34" i="6" s="1"/>
  <c r="AA60" i="6"/>
  <c r="AA62" i="6" s="1"/>
  <c r="AA34" i="6" s="1"/>
  <c r="Z60" i="6"/>
  <c r="Y60" i="6"/>
  <c r="Y62" i="6" s="1"/>
  <c r="Y34" i="6" s="1"/>
  <c r="X60" i="6"/>
  <c r="X62" i="6" s="1"/>
  <c r="X34" i="6" s="1"/>
  <c r="W60" i="6"/>
  <c r="W62" i="6" s="1"/>
  <c r="W34" i="6" s="1"/>
  <c r="V60" i="6"/>
  <c r="V62" i="6" s="1"/>
  <c r="V34" i="6" s="1"/>
  <c r="U60" i="6"/>
  <c r="T60" i="6"/>
  <c r="S60" i="6"/>
  <c r="R60" i="6"/>
  <c r="Q60" i="6"/>
  <c r="P60" i="6"/>
  <c r="P62" i="6" s="1"/>
  <c r="O60" i="6"/>
  <c r="O62" i="6" s="1"/>
  <c r="N60" i="6"/>
  <c r="M60" i="6"/>
  <c r="M62" i="6" s="1"/>
  <c r="L60" i="6"/>
  <c r="L62" i="6" s="1"/>
  <c r="AL59" i="6"/>
  <c r="AF59" i="6"/>
  <c r="AE59" i="6"/>
  <c r="AC59" i="6"/>
  <c r="Z59" i="6"/>
  <c r="T59" i="6"/>
  <c r="S59" i="6"/>
  <c r="Q59" i="6"/>
  <c r="N59" i="6"/>
  <c r="AM58" i="6"/>
  <c r="AL58" i="6"/>
  <c r="AK58" i="6"/>
  <c r="AJ58" i="6"/>
  <c r="AI58" i="6"/>
  <c r="AH58" i="6"/>
  <c r="AG58" i="6"/>
  <c r="AG59" i="6" s="1"/>
  <c r="AF58" i="6"/>
  <c r="AE58" i="6"/>
  <c r="AD58" i="6"/>
  <c r="AD59" i="6" s="1"/>
  <c r="AC58" i="6"/>
  <c r="AB58" i="6"/>
  <c r="AA58" i="6"/>
  <c r="Z58" i="6"/>
  <c r="Y58" i="6"/>
  <c r="X58" i="6"/>
  <c r="W58" i="6"/>
  <c r="V58" i="6"/>
  <c r="U58" i="6"/>
  <c r="U59" i="6" s="1"/>
  <c r="T58" i="6"/>
  <c r="S58" i="6"/>
  <c r="R58" i="6"/>
  <c r="R59" i="6" s="1"/>
  <c r="Q58" i="6"/>
  <c r="P58" i="6"/>
  <c r="O58" i="6"/>
  <c r="N58" i="6"/>
  <c r="M58" i="6"/>
  <c r="L58" i="6"/>
  <c r="AM57" i="6"/>
  <c r="AM59" i="6" s="1"/>
  <c r="AL57" i="6"/>
  <c r="AK57" i="6"/>
  <c r="AK59" i="6" s="1"/>
  <c r="AJ57" i="6"/>
  <c r="AJ59" i="6" s="1"/>
  <c r="AI57" i="6"/>
  <c r="AI59" i="6" s="1"/>
  <c r="AI69" i="6" s="1"/>
  <c r="AH57" i="6"/>
  <c r="AH59" i="6" s="1"/>
  <c r="AG57" i="6"/>
  <c r="AF57" i="6"/>
  <c r="AE57" i="6"/>
  <c r="AD57" i="6"/>
  <c r="AC57" i="6"/>
  <c r="AB57" i="6"/>
  <c r="AB59" i="6" s="1"/>
  <c r="AA57" i="6"/>
  <c r="AA59" i="6" s="1"/>
  <c r="Z57" i="6"/>
  <c r="Y57" i="6"/>
  <c r="Y59" i="6" s="1"/>
  <c r="Y69" i="6" s="1"/>
  <c r="X57" i="6"/>
  <c r="X59" i="6" s="1"/>
  <c r="W57" i="6"/>
  <c r="W59" i="6" s="1"/>
  <c r="W69" i="6" s="1"/>
  <c r="V57" i="6"/>
  <c r="V59" i="6" s="1"/>
  <c r="U57" i="6"/>
  <c r="T57" i="6"/>
  <c r="S57" i="6"/>
  <c r="R57" i="6"/>
  <c r="Q57" i="6"/>
  <c r="P57" i="6"/>
  <c r="P59" i="6" s="1"/>
  <c r="O57" i="6"/>
  <c r="O59" i="6" s="1"/>
  <c r="N57" i="6"/>
  <c r="M57" i="6"/>
  <c r="M59" i="6" s="1"/>
  <c r="L57" i="6"/>
  <c r="L59" i="6" s="1"/>
  <c r="AM56" i="6"/>
  <c r="AL56" i="6"/>
  <c r="AK56" i="6"/>
  <c r="AJ56" i="6"/>
  <c r="AI56" i="6"/>
  <c r="AH56" i="6"/>
  <c r="AG56" i="6"/>
  <c r="AF56" i="6"/>
  <c r="AE56" i="6"/>
  <c r="AD56" i="6"/>
  <c r="AC56" i="6"/>
  <c r="AB56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AH51" i="6"/>
  <c r="AG51" i="6"/>
  <c r="AD51" i="6"/>
  <c r="AC51" i="6"/>
  <c r="AB51" i="6"/>
  <c r="V51" i="6"/>
  <c r="U51" i="6"/>
  <c r="R51" i="6"/>
  <c r="Q51" i="6"/>
  <c r="P51" i="6"/>
  <c r="AM50" i="6"/>
  <c r="AL50" i="6"/>
  <c r="AK50" i="6"/>
  <c r="AJ50" i="6"/>
  <c r="AI50" i="6"/>
  <c r="AH50" i="6"/>
  <c r="AG50" i="6"/>
  <c r="AF50" i="6"/>
  <c r="AE50" i="6"/>
  <c r="AD50" i="6"/>
  <c r="AC50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N50" i="6"/>
  <c r="M50" i="6"/>
  <c r="L50" i="6"/>
  <c r="AK47" i="6"/>
  <c r="Y47" i="6"/>
  <c r="AM39" i="6"/>
  <c r="AK39" i="6"/>
  <c r="AH39" i="6"/>
  <c r="AB39" i="6"/>
  <c r="AA39" i="6"/>
  <c r="Y39" i="6"/>
  <c r="V39" i="6"/>
  <c r="P39" i="6"/>
  <c r="O39" i="6"/>
  <c r="M39" i="6"/>
  <c r="AM38" i="6"/>
  <c r="AL38" i="6"/>
  <c r="AL39" i="6" s="1"/>
  <c r="AK38" i="6"/>
  <c r="AJ38" i="6"/>
  <c r="AI38" i="6"/>
  <c r="AH38" i="6"/>
  <c r="AG38" i="6"/>
  <c r="AF38" i="6"/>
  <c r="AE38" i="6"/>
  <c r="AD38" i="6"/>
  <c r="AC38" i="6"/>
  <c r="AC39" i="6" s="1"/>
  <c r="AB38" i="6"/>
  <c r="AA38" i="6"/>
  <c r="Z38" i="6"/>
  <c r="Z39" i="6" s="1"/>
  <c r="Y38" i="6"/>
  <c r="X38" i="6"/>
  <c r="W38" i="6"/>
  <c r="V38" i="6"/>
  <c r="U38" i="6"/>
  <c r="T38" i="6"/>
  <c r="S38" i="6"/>
  <c r="R38" i="6"/>
  <c r="Q38" i="6"/>
  <c r="Q39" i="6" s="1"/>
  <c r="P38" i="6"/>
  <c r="O38" i="6"/>
  <c r="N38" i="6"/>
  <c r="N39" i="6" s="1"/>
  <c r="M38" i="6"/>
  <c r="L38" i="6"/>
  <c r="AM37" i="6"/>
  <c r="AL37" i="6"/>
  <c r="AK37" i="6"/>
  <c r="AJ37" i="6"/>
  <c r="AJ39" i="6" s="1"/>
  <c r="AI37" i="6"/>
  <c r="AI39" i="6" s="1"/>
  <c r="AH37" i="6"/>
  <c r="AG37" i="6"/>
  <c r="AG39" i="6" s="1"/>
  <c r="AF37" i="6"/>
  <c r="AF39" i="6" s="1"/>
  <c r="AE37" i="6"/>
  <c r="AE39" i="6" s="1"/>
  <c r="AD37" i="6"/>
  <c r="AD39" i="6" s="1"/>
  <c r="AC37" i="6"/>
  <c r="AB37" i="6"/>
  <c r="AA37" i="6"/>
  <c r="Z37" i="6"/>
  <c r="Y37" i="6"/>
  <c r="X37" i="6"/>
  <c r="X39" i="6" s="1"/>
  <c r="W37" i="6"/>
  <c r="W39" i="6" s="1"/>
  <c r="V37" i="6"/>
  <c r="U37" i="6"/>
  <c r="U39" i="6" s="1"/>
  <c r="T37" i="6"/>
  <c r="T39" i="6" s="1"/>
  <c r="S37" i="6"/>
  <c r="S39" i="6" s="1"/>
  <c r="R37" i="6"/>
  <c r="R39" i="6" s="1"/>
  <c r="Q37" i="6"/>
  <c r="P37" i="6"/>
  <c r="O37" i="6"/>
  <c r="N37" i="6"/>
  <c r="M37" i="6"/>
  <c r="L37" i="6"/>
  <c r="L39" i="6" s="1"/>
  <c r="AE34" i="6"/>
  <c r="S34" i="6"/>
  <c r="AM32" i="6"/>
  <c r="AM51" i="6" s="1"/>
  <c r="AL32" i="6"/>
  <c r="AL51" i="6" s="1"/>
  <c r="AK32" i="6"/>
  <c r="AK51" i="6" s="1"/>
  <c r="AJ32" i="6"/>
  <c r="AJ51" i="6" s="1"/>
  <c r="AI32" i="6"/>
  <c r="AI51" i="6" s="1"/>
  <c r="AH32" i="6"/>
  <c r="AG32" i="6"/>
  <c r="AF32" i="6"/>
  <c r="AF51" i="6" s="1"/>
  <c r="AE32" i="6"/>
  <c r="AE51" i="6" s="1"/>
  <c r="AD32" i="6"/>
  <c r="AC32" i="6"/>
  <c r="AB32" i="6"/>
  <c r="AA32" i="6"/>
  <c r="AA51" i="6" s="1"/>
  <c r="Z32" i="6"/>
  <c r="Z51" i="6" s="1"/>
  <c r="Y32" i="6"/>
  <c r="Y51" i="6" s="1"/>
  <c r="X32" i="6"/>
  <c r="X51" i="6" s="1"/>
  <c r="W32" i="6"/>
  <c r="W51" i="6" s="1"/>
  <c r="V32" i="6"/>
  <c r="U32" i="6"/>
  <c r="T32" i="6"/>
  <c r="T51" i="6" s="1"/>
  <c r="S32" i="6"/>
  <c r="S51" i="6" s="1"/>
  <c r="R32" i="6"/>
  <c r="Q32" i="6"/>
  <c r="P32" i="6"/>
  <c r="O32" i="6"/>
  <c r="O51" i="6" s="1"/>
  <c r="N32" i="6"/>
  <c r="N51" i="6" s="1"/>
  <c r="M32" i="6"/>
  <c r="M51" i="6" s="1"/>
  <c r="L32" i="6"/>
  <c r="L51" i="6" s="1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AM30" i="6"/>
  <c r="AM33" i="6" s="1"/>
  <c r="AL30" i="6"/>
  <c r="AL33" i="6" s="1"/>
  <c r="AK30" i="6"/>
  <c r="AK33" i="6" s="1"/>
  <c r="AK48" i="6" s="1"/>
  <c r="AJ30" i="6"/>
  <c r="AJ33" i="6" s="1"/>
  <c r="AJ45" i="6" s="1"/>
  <c r="AI30" i="6"/>
  <c r="AI33" i="6" s="1"/>
  <c r="AH30" i="6"/>
  <c r="AG30" i="6"/>
  <c r="AG33" i="6" s="1"/>
  <c r="AF30" i="6"/>
  <c r="AF33" i="6" s="1"/>
  <c r="AE30" i="6"/>
  <c r="AE33" i="6" s="1"/>
  <c r="AD30" i="6"/>
  <c r="AD33" i="6" s="1"/>
  <c r="AC30" i="6"/>
  <c r="AC33" i="6" s="1"/>
  <c r="AB30" i="6"/>
  <c r="AB33" i="6" s="1"/>
  <c r="AA30" i="6"/>
  <c r="AA33" i="6" s="1"/>
  <c r="Z30" i="6"/>
  <c r="Z33" i="6" s="1"/>
  <c r="Y30" i="6"/>
  <c r="Y33" i="6" s="1"/>
  <c r="Y48" i="6" s="1"/>
  <c r="X30" i="6"/>
  <c r="X33" i="6" s="1"/>
  <c r="X45" i="6" s="1"/>
  <c r="W30" i="6"/>
  <c r="W33" i="6" s="1"/>
  <c r="V30" i="6"/>
  <c r="U30" i="6"/>
  <c r="U33" i="6" s="1"/>
  <c r="T30" i="6"/>
  <c r="T33" i="6" s="1"/>
  <c r="S30" i="6"/>
  <c r="S33" i="6" s="1"/>
  <c r="R30" i="6"/>
  <c r="R33" i="6" s="1"/>
  <c r="Q30" i="6"/>
  <c r="Q33" i="6" s="1"/>
  <c r="P30" i="6"/>
  <c r="P33" i="6" s="1"/>
  <c r="O30" i="6"/>
  <c r="O33" i="6" s="1"/>
  <c r="N30" i="6"/>
  <c r="N33" i="6" s="1"/>
  <c r="M30" i="6"/>
  <c r="M33" i="6" s="1"/>
  <c r="M48" i="6" s="1"/>
  <c r="L30" i="6"/>
  <c r="L33" i="6" s="1"/>
  <c r="L45" i="6" s="1"/>
  <c r="AL29" i="6"/>
  <c r="AL47" i="6" s="1"/>
  <c r="AK29" i="6"/>
  <c r="AI29" i="6"/>
  <c r="AI47" i="6" s="1"/>
  <c r="AF29" i="6"/>
  <c r="AF47" i="6" s="1"/>
  <c r="Z29" i="6"/>
  <c r="Z47" i="6" s="1"/>
  <c r="Y29" i="6"/>
  <c r="W29" i="6"/>
  <c r="W47" i="6" s="1"/>
  <c r="T29" i="6"/>
  <c r="T47" i="6" s="1"/>
  <c r="AM28" i="6"/>
  <c r="AM29" i="6" s="1"/>
  <c r="AM47" i="6" s="1"/>
  <c r="AL28" i="6"/>
  <c r="AK28" i="6"/>
  <c r="AJ28" i="6"/>
  <c r="AJ29" i="6" s="1"/>
  <c r="AJ47" i="6" s="1"/>
  <c r="AI28" i="6"/>
  <c r="AH28" i="6"/>
  <c r="AG28" i="6"/>
  <c r="AF28" i="6"/>
  <c r="AE28" i="6"/>
  <c r="AD28" i="6"/>
  <c r="AC28" i="6"/>
  <c r="AB28" i="6"/>
  <c r="AA28" i="6"/>
  <c r="AA29" i="6" s="1"/>
  <c r="AA47" i="6" s="1"/>
  <c r="Z28" i="6"/>
  <c r="Y28" i="6"/>
  <c r="X28" i="6"/>
  <c r="X29" i="6" s="1"/>
  <c r="X47" i="6" s="1"/>
  <c r="W28" i="6"/>
  <c r="V28" i="6"/>
  <c r="U28" i="6"/>
  <c r="T28" i="6"/>
  <c r="S28" i="6"/>
  <c r="R28" i="6"/>
  <c r="Q28" i="6"/>
  <c r="P28" i="6"/>
  <c r="O28" i="6"/>
  <c r="N28" i="6"/>
  <c r="M28" i="6"/>
  <c r="L28" i="6"/>
  <c r="L29" i="6" s="1"/>
  <c r="L47" i="6" s="1"/>
  <c r="AM27" i="6"/>
  <c r="AL27" i="6"/>
  <c r="AK27" i="6"/>
  <c r="AJ27" i="6"/>
  <c r="AI27" i="6"/>
  <c r="AH27" i="6"/>
  <c r="AH29" i="6" s="1"/>
  <c r="AH47" i="6" s="1"/>
  <c r="AG27" i="6"/>
  <c r="AG29" i="6" s="1"/>
  <c r="AG47" i="6" s="1"/>
  <c r="AF27" i="6"/>
  <c r="AE27" i="6"/>
  <c r="AE29" i="6" s="1"/>
  <c r="AE47" i="6" s="1"/>
  <c r="AD27" i="6"/>
  <c r="AD29" i="6" s="1"/>
  <c r="AD47" i="6" s="1"/>
  <c r="AC27" i="6"/>
  <c r="AC29" i="6" s="1"/>
  <c r="AC47" i="6" s="1"/>
  <c r="AB27" i="6"/>
  <c r="AB29" i="6" s="1"/>
  <c r="AB47" i="6" s="1"/>
  <c r="AA27" i="6"/>
  <c r="Z27" i="6"/>
  <c r="Y27" i="6"/>
  <c r="X27" i="6"/>
  <c r="W27" i="6"/>
  <c r="V27" i="6"/>
  <c r="V29" i="6" s="1"/>
  <c r="V47" i="6" s="1"/>
  <c r="U27" i="6"/>
  <c r="U29" i="6" s="1"/>
  <c r="U47" i="6" s="1"/>
  <c r="T27" i="6"/>
  <c r="S27" i="6"/>
  <c r="S29" i="6" s="1"/>
  <c r="S47" i="6" s="1"/>
  <c r="R27" i="6"/>
  <c r="R29" i="6" s="1"/>
  <c r="R47" i="6" s="1"/>
  <c r="Q27" i="6"/>
  <c r="P27" i="6"/>
  <c r="O27" i="6"/>
  <c r="N27" i="6"/>
  <c r="M27" i="6"/>
  <c r="L27" i="6"/>
  <c r="Q26" i="6"/>
  <c r="Q29" i="6" s="1"/>
  <c r="Q47" i="6" s="1"/>
  <c r="P26" i="6"/>
  <c r="P29" i="6" s="1"/>
  <c r="P47" i="6" s="1"/>
  <c r="O26" i="6"/>
  <c r="O29" i="6" s="1"/>
  <c r="O47" i="6" s="1"/>
  <c r="N26" i="6"/>
  <c r="N29" i="6" s="1"/>
  <c r="N47" i="6" s="1"/>
  <c r="M26" i="6"/>
  <c r="M29" i="6" s="1"/>
  <c r="M47" i="6" s="1"/>
  <c r="L26" i="6"/>
  <c r="AM25" i="6"/>
  <c r="AM69" i="6" s="1"/>
  <c r="AL25" i="6"/>
  <c r="AL69" i="6" s="1"/>
  <c r="AK25" i="6"/>
  <c r="AK69" i="6" s="1"/>
  <c r="AJ25" i="6"/>
  <c r="AI25" i="6"/>
  <c r="AH25" i="6"/>
  <c r="AG25" i="6"/>
  <c r="AG69" i="6" s="1"/>
  <c r="AF25" i="6"/>
  <c r="AF46" i="6" s="1"/>
  <c r="AE25" i="6"/>
  <c r="AE69" i="6" s="1"/>
  <c r="AD25" i="6"/>
  <c r="AC25" i="6"/>
  <c r="AC46" i="6" s="1"/>
  <c r="AB25" i="6"/>
  <c r="AB69" i="6" s="1"/>
  <c r="AA25" i="6"/>
  <c r="AA69" i="6" s="1"/>
  <c r="Z25" i="6"/>
  <c r="Z69" i="6" s="1"/>
  <c r="Y25" i="6"/>
  <c r="X25" i="6"/>
  <c r="W25" i="6"/>
  <c r="V25" i="6"/>
  <c r="U25" i="6"/>
  <c r="U69" i="6" s="1"/>
  <c r="T25" i="6"/>
  <c r="T46" i="6" s="1"/>
  <c r="S25" i="6"/>
  <c r="S46" i="6" s="1"/>
  <c r="R25" i="6"/>
  <c r="Q25" i="6"/>
  <c r="Q46" i="6" s="1"/>
  <c r="P25" i="6"/>
  <c r="O25" i="6"/>
  <c r="N25" i="6"/>
  <c r="N46" i="6" s="1"/>
  <c r="M25" i="6"/>
  <c r="L25" i="6"/>
  <c r="AM24" i="6"/>
  <c r="AL24" i="6"/>
  <c r="AK24" i="6"/>
  <c r="AK46" i="6" s="1"/>
  <c r="AJ24" i="6"/>
  <c r="AJ46" i="6" s="1"/>
  <c r="AI24" i="6"/>
  <c r="AI46" i="6" s="1"/>
  <c r="AH24" i="6"/>
  <c r="AH46" i="6" s="1"/>
  <c r="AG24" i="6"/>
  <c r="AG46" i="6" s="1"/>
  <c r="AF24" i="6"/>
  <c r="AE24" i="6"/>
  <c r="AD24" i="6"/>
  <c r="AD46" i="6" s="1"/>
  <c r="AC24" i="6"/>
  <c r="AB24" i="6"/>
  <c r="AB46" i="6" s="1"/>
  <c r="AA24" i="6"/>
  <c r="AA46" i="6" s="1"/>
  <c r="Z24" i="6"/>
  <c r="Y24" i="6"/>
  <c r="Y46" i="6" s="1"/>
  <c r="X24" i="6"/>
  <c r="X46" i="6" s="1"/>
  <c r="W24" i="6"/>
  <c r="W46" i="6" s="1"/>
  <c r="V24" i="6"/>
  <c r="V46" i="6" s="1"/>
  <c r="U24" i="6"/>
  <c r="U46" i="6" s="1"/>
  <c r="T24" i="6"/>
  <c r="S24" i="6"/>
  <c r="R24" i="6"/>
  <c r="R46" i="6" s="1"/>
  <c r="Q24" i="6"/>
  <c r="P24" i="6"/>
  <c r="P46" i="6" s="1"/>
  <c r="O24" i="6"/>
  <c r="O46" i="6" s="1"/>
  <c r="N24" i="6"/>
  <c r="M24" i="6"/>
  <c r="M46" i="6" s="1"/>
  <c r="L24" i="6"/>
  <c r="L46" i="6" s="1"/>
  <c r="AM23" i="6"/>
  <c r="AM45" i="6" s="1"/>
  <c r="AL23" i="6"/>
  <c r="AK23" i="6"/>
  <c r="AJ23" i="6"/>
  <c r="AI23" i="6"/>
  <c r="AH23" i="6"/>
  <c r="AG23" i="6"/>
  <c r="AF23" i="6"/>
  <c r="AE23" i="6"/>
  <c r="AD23" i="6"/>
  <c r="AC23" i="6"/>
  <c r="AC45" i="6" s="1"/>
  <c r="AB23" i="6"/>
  <c r="AB45" i="6" s="1"/>
  <c r="AA23" i="6"/>
  <c r="AA45" i="6" s="1"/>
  <c r="Z23" i="6"/>
  <c r="Y23" i="6"/>
  <c r="X23" i="6"/>
  <c r="W23" i="6"/>
  <c r="V23" i="6"/>
  <c r="U23" i="6"/>
  <c r="T23" i="6"/>
  <c r="S23" i="6"/>
  <c r="R23" i="6"/>
  <c r="Q23" i="6"/>
  <c r="Q45" i="6" s="1"/>
  <c r="P23" i="6"/>
  <c r="P45" i="6" s="1"/>
  <c r="O23" i="6"/>
  <c r="O45" i="6" s="1"/>
  <c r="N23" i="6"/>
  <c r="M23" i="6"/>
  <c r="L23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AM5" i="6"/>
  <c r="AM12" i="6" s="1"/>
  <c r="AL5" i="6"/>
  <c r="AL12" i="6" s="1"/>
  <c r="AK5" i="6"/>
  <c r="AK12" i="6" s="1"/>
  <c r="AJ5" i="6"/>
  <c r="AJ12" i="6" s="1"/>
  <c r="AI5" i="6"/>
  <c r="AI12" i="6" s="1"/>
  <c r="AH5" i="6"/>
  <c r="AH12" i="6" s="1"/>
  <c r="AG5" i="6"/>
  <c r="AG12" i="6" s="1"/>
  <c r="AF5" i="6"/>
  <c r="AF12" i="6" s="1"/>
  <c r="AE5" i="6"/>
  <c r="AE12" i="6" s="1"/>
  <c r="AD5" i="6"/>
  <c r="AD12" i="6" s="1"/>
  <c r="AC5" i="6"/>
  <c r="AC12" i="6" s="1"/>
  <c r="AB5" i="6"/>
  <c r="AB12" i="6" s="1"/>
  <c r="AA5" i="6"/>
  <c r="AA12" i="6" s="1"/>
  <c r="Z5" i="6"/>
  <c r="Z12" i="6" s="1"/>
  <c r="Y5" i="6"/>
  <c r="Y12" i="6" s="1"/>
  <c r="X5" i="6"/>
  <c r="X12" i="6" s="1"/>
  <c r="W5" i="6"/>
  <c r="W12" i="6" s="1"/>
  <c r="V5" i="6"/>
  <c r="V12" i="6" s="1"/>
  <c r="U5" i="6"/>
  <c r="U12" i="6" s="1"/>
  <c r="T5" i="6"/>
  <c r="T12" i="6" s="1"/>
  <c r="S5" i="6"/>
  <c r="S12" i="6" s="1"/>
  <c r="R5" i="6"/>
  <c r="R12" i="6" s="1"/>
  <c r="Q5" i="6"/>
  <c r="P5" i="6"/>
  <c r="O5" i="6"/>
  <c r="N5" i="6"/>
  <c r="M5" i="6"/>
  <c r="L5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M45" i="6" l="1"/>
  <c r="M8" i="6" s="1"/>
  <c r="N45" i="6"/>
  <c r="W48" i="6"/>
  <c r="W45" i="6"/>
  <c r="W8" i="6" s="1"/>
  <c r="AI45" i="6"/>
  <c r="AI48" i="6"/>
  <c r="AI49" i="6" s="1"/>
  <c r="V45" i="6"/>
  <c r="Q49" i="6"/>
  <c r="AC49" i="6"/>
  <c r="AL45" i="6"/>
  <c r="R69" i="6"/>
  <c r="AD69" i="6"/>
  <c r="L48" i="6"/>
  <c r="L8" i="6" s="1"/>
  <c r="X48" i="6"/>
  <c r="AJ48" i="6"/>
  <c r="U49" i="6"/>
  <c r="S49" i="6"/>
  <c r="AF49" i="6"/>
  <c r="R48" i="6"/>
  <c r="R49" i="6" s="1"/>
  <c r="R45" i="6"/>
  <c r="AD48" i="6"/>
  <c r="AD49" i="6" s="1"/>
  <c r="AD45" i="6"/>
  <c r="Z45" i="6"/>
  <c r="AK49" i="6"/>
  <c r="AH69" i="6"/>
  <c r="Y45" i="6"/>
  <c r="Y8" i="6" s="1"/>
  <c r="AM8" i="6"/>
  <c r="M49" i="6"/>
  <c r="AA49" i="6"/>
  <c r="AA8" i="6" s="1"/>
  <c r="AG48" i="6"/>
  <c r="AG49" i="6" s="1"/>
  <c r="AG45" i="6"/>
  <c r="AK45" i="6"/>
  <c r="W49" i="6"/>
  <c r="Y49" i="6"/>
  <c r="V69" i="6"/>
  <c r="S45" i="6"/>
  <c r="AE45" i="6"/>
  <c r="O49" i="6"/>
  <c r="O8" i="6" s="1"/>
  <c r="O9" i="6" s="1"/>
  <c r="O10" i="6" s="1"/>
  <c r="U45" i="6"/>
  <c r="U8" i="6" s="1"/>
  <c r="U48" i="6"/>
  <c r="T45" i="6"/>
  <c r="AF45" i="6"/>
  <c r="X69" i="6"/>
  <c r="AJ69" i="6"/>
  <c r="N48" i="6"/>
  <c r="N49" i="6" s="1"/>
  <c r="Z48" i="6"/>
  <c r="AL48" i="6"/>
  <c r="AE46" i="6"/>
  <c r="O48" i="6"/>
  <c r="AA48" i="6"/>
  <c r="AM48" i="6"/>
  <c r="AC69" i="6"/>
  <c r="P48" i="6"/>
  <c r="AB48" i="6"/>
  <c r="V33" i="6"/>
  <c r="V48" i="6" s="1"/>
  <c r="V49" i="6" s="1"/>
  <c r="AH33" i="6"/>
  <c r="AH45" i="6" s="1"/>
  <c r="Q48" i="6"/>
  <c r="Q8" i="6" s="1"/>
  <c r="Q9" i="6" s="1"/>
  <c r="Q10" i="6" s="1"/>
  <c r="AC48" i="6"/>
  <c r="AC8" i="6" s="1"/>
  <c r="S69" i="6"/>
  <c r="AL46" i="6"/>
  <c r="T69" i="6"/>
  <c r="AF69" i="6"/>
  <c r="AM46" i="6"/>
  <c r="AM49" i="6" s="1"/>
  <c r="S48" i="6"/>
  <c r="AE48" i="6"/>
  <c r="Z46" i="6"/>
  <c r="T48" i="6"/>
  <c r="T49" i="6" s="1"/>
  <c r="AF48" i="6"/>
  <c r="AC13" i="6" l="1"/>
  <c r="AC14" i="6" s="1"/>
  <c r="AC9" i="6"/>
  <c r="AC10" i="6" s="1"/>
  <c r="P8" i="6"/>
  <c r="P9" i="6" s="1"/>
  <c r="P10" i="6" s="1"/>
  <c r="AA9" i="6"/>
  <c r="AA10" i="6" s="1"/>
  <c r="AA13" i="6"/>
  <c r="AA14" i="6" s="1"/>
  <c r="V8" i="6"/>
  <c r="AH48" i="6"/>
  <c r="AH49" i="6" s="1"/>
  <c r="S8" i="6"/>
  <c r="Y13" i="6"/>
  <c r="Y14" i="6" s="1"/>
  <c r="Y9" i="6"/>
  <c r="Y10" i="6" s="1"/>
  <c r="AI8" i="6"/>
  <c r="AD8" i="6"/>
  <c r="Z49" i="6"/>
  <c r="W9" i="6"/>
  <c r="W10" i="6" s="1"/>
  <c r="W13" i="6"/>
  <c r="W14" i="6" s="1"/>
  <c r="R8" i="6"/>
  <c r="AJ49" i="6"/>
  <c r="AJ8" i="6" s="1"/>
  <c r="AB49" i="6"/>
  <c r="AB8" i="6" s="1"/>
  <c r="AK8" i="6"/>
  <c r="X49" i="6"/>
  <c r="X8" i="6" s="1"/>
  <c r="P49" i="6"/>
  <c r="L49" i="6"/>
  <c r="U9" i="6"/>
  <c r="U10" i="6" s="1"/>
  <c r="U13" i="6"/>
  <c r="U14" i="6" s="1"/>
  <c r="AM9" i="6"/>
  <c r="AM10" i="6" s="1"/>
  <c r="AM13" i="6"/>
  <c r="AM14" i="6" s="1"/>
  <c r="AF8" i="6"/>
  <c r="N8" i="6"/>
  <c r="T8" i="6"/>
  <c r="AG8" i="6"/>
  <c r="Z8" i="6"/>
  <c r="AE8" i="6"/>
  <c r="AL49" i="6"/>
  <c r="AE49" i="6"/>
  <c r="AL8" i="6"/>
  <c r="X13" i="6" l="1"/>
  <c r="X14" i="6" s="1"/>
  <c r="X9" i="6"/>
  <c r="X10" i="6" s="1"/>
  <c r="AB9" i="6"/>
  <c r="AB10" i="6" s="1"/>
  <c r="AB13" i="6"/>
  <c r="AB14" i="6" s="1"/>
  <c r="AJ9" i="6"/>
  <c r="AJ10" i="6" s="1"/>
  <c r="AJ13" i="6"/>
  <c r="AJ14" i="6" s="1"/>
  <c r="V9" i="6"/>
  <c r="V10" i="6" s="1"/>
  <c r="V13" i="6"/>
  <c r="V14" i="6" s="1"/>
  <c r="S13" i="6"/>
  <c r="S14" i="6" s="1"/>
  <c r="S9" i="6"/>
  <c r="S10" i="6" s="1"/>
  <c r="Z13" i="6"/>
  <c r="Z14" i="6" s="1"/>
  <c r="Z9" i="6"/>
  <c r="Z10" i="6" s="1"/>
  <c r="AG9" i="6"/>
  <c r="AG10" i="6" s="1"/>
  <c r="AG13" i="6"/>
  <c r="AG14" i="6" s="1"/>
  <c r="T9" i="6"/>
  <c r="T10" i="6" s="1"/>
  <c r="T13" i="6"/>
  <c r="T14" i="6" s="1"/>
  <c r="R13" i="6"/>
  <c r="R14" i="6" s="1"/>
  <c r="R9" i="6"/>
  <c r="R10" i="6" s="1"/>
  <c r="AD13" i="6"/>
  <c r="AD14" i="6" s="1"/>
  <c r="AD9" i="6"/>
  <c r="AD10" i="6" s="1"/>
  <c r="AL13" i="6"/>
  <c r="AL14" i="6" s="1"/>
  <c r="AL9" i="6"/>
  <c r="AL10" i="6" s="1"/>
  <c r="AI9" i="6"/>
  <c r="AI10" i="6" s="1"/>
  <c r="AI13" i="6"/>
  <c r="AI14" i="6" s="1"/>
  <c r="AH8" i="6"/>
  <c r="AE9" i="6"/>
  <c r="AE10" i="6" s="1"/>
  <c r="AE13" i="6"/>
  <c r="AE14" i="6" s="1"/>
  <c r="AK9" i="6"/>
  <c r="AK10" i="6" s="1"/>
  <c r="AK13" i="6"/>
  <c r="AK14" i="6" s="1"/>
  <c r="AF9" i="6"/>
  <c r="AF10" i="6" s="1"/>
  <c r="AF13" i="6"/>
  <c r="AF14" i="6" s="1"/>
  <c r="AH9" i="6" l="1"/>
  <c r="AH10" i="6" s="1"/>
  <c r="AH13" i="6"/>
  <c r="AH14" i="6" s="1"/>
</calcChain>
</file>

<file path=xl/sharedStrings.xml><?xml version="1.0" encoding="utf-8"?>
<sst xmlns="http://schemas.openxmlformats.org/spreadsheetml/2006/main" count="220" uniqueCount="210">
  <si>
    <t>Emissions (calculées par le modèle)</t>
  </si>
  <si>
    <t>Emission Natural gas (MtCO2)</t>
  </si>
  <si>
    <t>Emissions du gaz (MtCO2)</t>
  </si>
  <si>
    <t>Emission Oil fuel (MtCO2)</t>
  </si>
  <si>
    <t>Emissions du fioul (MtCO2)</t>
  </si>
  <si>
    <t>Emission Electricity (MtCO2)</t>
  </si>
  <si>
    <t>Emissions de l'électricité (MtCO2)</t>
  </si>
  <si>
    <t>Directes</t>
  </si>
  <si>
    <t>Gain annuel</t>
  </si>
  <si>
    <t>Année historique de sobriété : on estime que 2/3 du chemin est fait entre 2020 et 2023</t>
  </si>
  <si>
    <t>Hyp sobriété</t>
  </si>
  <si>
    <t>Economie d'énergie (2030/2020)</t>
  </si>
  <si>
    <t>Economie d'énergie (2050/2030)</t>
  </si>
  <si>
    <t>Chemin parcouru en 2023</t>
  </si>
  <si>
    <t>Par rapport à 2023</t>
  </si>
  <si>
    <t>Hypothèse de sobriété (baisse température de consigne &amp; individualisation frais en collectif)</t>
  </si>
  <si>
    <t>Impact du changement climatique (RCP2.6)</t>
  </si>
  <si>
    <t>Variation de la demande induite</t>
  </si>
  <si>
    <t>Emissions (incluant  CC)</t>
  </si>
  <si>
    <t>Réduction vs 2019</t>
  </si>
  <si>
    <t>Parc DPE</t>
  </si>
  <si>
    <t>Stock A (Million)</t>
  </si>
  <si>
    <t>A</t>
  </si>
  <si>
    <t>Stock B (Million)</t>
  </si>
  <si>
    <t>B</t>
  </si>
  <si>
    <t>Stock C (Million)</t>
  </si>
  <si>
    <t>C</t>
  </si>
  <si>
    <t>Stock D (Million)</t>
  </si>
  <si>
    <t>D</t>
  </si>
  <si>
    <t>Stock E (Million)</t>
  </si>
  <si>
    <t>E</t>
  </si>
  <si>
    <t>Stock F (Million)</t>
  </si>
  <si>
    <t>F</t>
  </si>
  <si>
    <t>Stock G (Million)</t>
  </si>
  <si>
    <t>G</t>
  </si>
  <si>
    <t>Passoires</t>
  </si>
  <si>
    <t>Parc de logements</t>
  </si>
  <si>
    <t>Stock new (Million)</t>
  </si>
  <si>
    <t>Neuf</t>
  </si>
  <si>
    <t>Stock existing (Million)</t>
  </si>
  <si>
    <t>Existant</t>
  </si>
  <si>
    <t>Stock (Million)</t>
  </si>
  <si>
    <t xml:space="preserve">Chauffage urbain </t>
  </si>
  <si>
    <t>Fioul</t>
  </si>
  <si>
    <t>Bois</t>
  </si>
  <si>
    <t>Gaz - Effet rebond</t>
  </si>
  <si>
    <t>dont gaz - chaudière</t>
  </si>
  <si>
    <t xml:space="preserve">dont gaz - PAC hybride </t>
  </si>
  <si>
    <t xml:space="preserve">dont chauffage principal </t>
  </si>
  <si>
    <t>dont chauffage secondaire</t>
  </si>
  <si>
    <t>dont PAC géothermique</t>
  </si>
  <si>
    <t>dont PAC hybride</t>
  </si>
  <si>
    <t>Electricité PAC effet rebond</t>
  </si>
  <si>
    <t>Electricité Joule effet rebond</t>
  </si>
  <si>
    <t>PAC air/air</t>
  </si>
  <si>
    <t>PAC air/eau</t>
  </si>
  <si>
    <t>PAC géothermique</t>
  </si>
  <si>
    <t>PAC hybride</t>
  </si>
  <si>
    <t>Parc de logements par énergie</t>
  </si>
  <si>
    <t>Stock Direct electric (Million)</t>
  </si>
  <si>
    <t>Stock Heat pump (Million)</t>
  </si>
  <si>
    <t>Stock Oil fuel (Million)</t>
  </si>
  <si>
    <t>Stock Wood fuel (Million)</t>
  </si>
  <si>
    <t>Stock Natural gas (Million)</t>
  </si>
  <si>
    <t>Stock District heating (Million)</t>
  </si>
  <si>
    <t>Consommation (incluant  CC)</t>
  </si>
  <si>
    <t>dont PAC air/air</t>
  </si>
  <si>
    <t>dont PAC air/eau</t>
  </si>
  <si>
    <t>Rénovations (isolation ou chauffage) par saut de classe</t>
  </si>
  <si>
    <t>Retrofit 6 EPC (Thousand households)</t>
  </si>
  <si>
    <t>6 classes</t>
  </si>
  <si>
    <t>Retrofit 5 EPC (Thousand households)</t>
  </si>
  <si>
    <t>5 classes</t>
  </si>
  <si>
    <t>Retrofit 4 EPC (Thousand households)</t>
  </si>
  <si>
    <t>4 classes</t>
  </si>
  <si>
    <t>Retrofit 3 EPC (Thousand households)</t>
  </si>
  <si>
    <t>3 classes</t>
  </si>
  <si>
    <t>Retrofit 2 EPC (Thousand households)</t>
  </si>
  <si>
    <t>2 classes</t>
  </si>
  <si>
    <t>Retrofit 1 EPC (Thousand households)</t>
  </si>
  <si>
    <t>1 classe</t>
  </si>
  <si>
    <t>Retrofit (Thousand households)</t>
  </si>
  <si>
    <t>tout</t>
  </si>
  <si>
    <t>Nombre de logements qui rénovent (pas de double comptage)</t>
  </si>
  <si>
    <t>Retrofit at least 1 EPC (Thousand households)</t>
  </si>
  <si>
    <t>1 ou plus</t>
  </si>
  <si>
    <t>Retrofit at least 2 EPC (Thousand households)</t>
  </si>
  <si>
    <t>2 ou plus</t>
  </si>
  <si>
    <t xml:space="preserve">Nombre de ménages réalisant au moins un geste d'isolation </t>
  </si>
  <si>
    <t>Renovation (Thousand households)</t>
  </si>
  <si>
    <t>Total ménages gestes isolation (pas de double comptage)</t>
  </si>
  <si>
    <t>Renovation Multi-family (Thousand households)</t>
  </si>
  <si>
    <t>LC - total gestes isolation</t>
  </si>
  <si>
    <t>Renovation Single-family (Thousand households)</t>
  </si>
  <si>
    <t>MI - total gestes isolation</t>
  </si>
  <si>
    <t>Renovation Multi-family - Owner-occupied (Thousand households)</t>
  </si>
  <si>
    <t>PO en copropriété - total gestes isolation</t>
  </si>
  <si>
    <t>Renovation Multi-family - Privately rented (Thousand households)</t>
  </si>
  <si>
    <t>PB en copropriété - total gestes isolation</t>
  </si>
  <si>
    <t>Renovation Multi-family - Social-housing (Thousand households)</t>
  </si>
  <si>
    <t>PB social en copropriété - total gestes isolation</t>
  </si>
  <si>
    <t>Renovation Single-family - Owner-occupied (Thousand households)</t>
  </si>
  <si>
    <t>PO en maison - total gestes isolation</t>
  </si>
  <si>
    <t>Renovation Single-family - Privately rented (Thousand households)</t>
  </si>
  <si>
    <t>PB en maison - total gestes isolation</t>
  </si>
  <si>
    <t>Renovation Single-family - Social-housing (Thousand households)</t>
  </si>
  <si>
    <t xml:space="preserve">PB social en maison - total gestes isolation </t>
  </si>
  <si>
    <t>dont maison</t>
  </si>
  <si>
    <t>dont logements collectifs</t>
  </si>
  <si>
    <t>dont logements sociaux</t>
  </si>
  <si>
    <t>Nombre de gestes</t>
  </si>
  <si>
    <t>Nombre de dossiers CEE</t>
  </si>
  <si>
    <t>Replacement total (Thousand)</t>
  </si>
  <si>
    <t>Nombre de remplacement (gestes d'isolation + chauffage) double comptage</t>
  </si>
  <si>
    <t>Replacement total (Thousand renovating)</t>
  </si>
  <si>
    <t>Nombre de gestes d'isolation + nombre de changement de chauffage avec isolation (pas de double comptage)</t>
  </si>
  <si>
    <t xml:space="preserve">Nombre de gestes d'isolation </t>
  </si>
  <si>
    <t>Replacement insulation (Thousand)</t>
  </si>
  <si>
    <t xml:space="preserve">Nombre de gestes d'isolation total </t>
  </si>
  <si>
    <t>Replacement Floor (Thousand households)</t>
  </si>
  <si>
    <t>Replacement Roof (Thousand households)</t>
  </si>
  <si>
    <t>Replacement Wall (Thousand households)</t>
  </si>
  <si>
    <t>Replacement Windows (Thousand households)</t>
  </si>
  <si>
    <t>Nombre de ménage réalisant au moins x gestes</t>
  </si>
  <si>
    <t>Retrofit measures 1 (Thousand households)</t>
  </si>
  <si>
    <t>Retrofit measures 2 (Thousand households)</t>
  </si>
  <si>
    <t>Retrofit measures 3 (Thousand households)</t>
  </si>
  <si>
    <t>Retrofit measures 4 (Thousand households)</t>
  </si>
  <si>
    <t>Retrofit measures 5 (Thousand households)</t>
  </si>
  <si>
    <t>tout = nombre de logements rénovés (isolation + chauffage) = retrofit</t>
  </si>
  <si>
    <t>Rénovations obligées</t>
  </si>
  <si>
    <t>Isolation</t>
  </si>
  <si>
    <t>Renovation Obligation pb (Thousand households)</t>
  </si>
  <si>
    <t>Renovation Obligation po (Thousand households)</t>
  </si>
  <si>
    <t>Rénovation performante (réno permettant d'atteindre DPE A, B voire C si passoire)</t>
  </si>
  <si>
    <t>Total rénovations performantes</t>
  </si>
  <si>
    <t>High-performance flow for heater replacement only (Thousand households)</t>
  </si>
  <si>
    <t>Changement de chauffage</t>
  </si>
  <si>
    <t>High-performance renovation (Thousand households)</t>
  </si>
  <si>
    <t>Isolation + changement de chauffage</t>
  </si>
  <si>
    <t>Obligatory High-performance renovation (Thousand households)</t>
  </si>
  <si>
    <t>Rénovations performantes par obligation</t>
  </si>
  <si>
    <t>Investment heater (Billion euro)</t>
  </si>
  <si>
    <t>Investment insulation (Billion euro)</t>
  </si>
  <si>
    <t>Investment total (Billion euro)</t>
  </si>
  <si>
    <t>Investissement total (milliards)</t>
  </si>
  <si>
    <t>Financing total (Billion euro)</t>
  </si>
  <si>
    <t>Debt total (Billion euro)</t>
  </si>
  <si>
    <t>Soutien total (milliards)</t>
  </si>
  <si>
    <t>Part soutien</t>
  </si>
  <si>
    <t>Part RAC</t>
  </si>
  <si>
    <t>Correction années historiques (I4CE)</t>
  </si>
  <si>
    <t>Montant des aides (au sens du modèle)</t>
  </si>
  <si>
    <t>Cee (Billion euro)</t>
  </si>
  <si>
    <t>Mpr (Billion euro)</t>
  </si>
  <si>
    <t>Mpr efficacite (Billion euro)</t>
  </si>
  <si>
    <t>Mpr multifamily (Billion euro)</t>
  </si>
  <si>
    <t>Mpr multifamily updated (Billion euro)</t>
  </si>
  <si>
    <t>Mpr multifamily deep (Billion euro)</t>
  </si>
  <si>
    <t>Mpr multifamily all</t>
  </si>
  <si>
    <t>Mpr performance (Billion euro)</t>
  </si>
  <si>
    <t>Mpr serenite (Billion euro)</t>
  </si>
  <si>
    <t>Over cap (Billion euro)</t>
  </si>
  <si>
    <t>Part CEE de MPR Performance</t>
  </si>
  <si>
    <t>Part système de MPR performance</t>
  </si>
  <si>
    <t>A vérifier</t>
  </si>
  <si>
    <t>Part système de MPR copro</t>
  </si>
  <si>
    <t>Mpr heater (Billion euro)</t>
  </si>
  <si>
    <t>Mpr efficacite heater (Billion euro)</t>
  </si>
  <si>
    <t>Mpr efficacité chauffage (milliard)</t>
  </si>
  <si>
    <t>Montant des aides (au sens réel)</t>
  </si>
  <si>
    <t>Milliards €</t>
  </si>
  <si>
    <t>CEE</t>
  </si>
  <si>
    <t>MPR Efficacité</t>
  </si>
  <si>
    <t>MPR Copro</t>
  </si>
  <si>
    <t>MPR Performance</t>
  </si>
  <si>
    <t>Inclut un peu de social</t>
  </si>
  <si>
    <t>MPR Total</t>
  </si>
  <si>
    <t>Zero interest loan (Billion euro)</t>
  </si>
  <si>
    <t>Montant écrêté</t>
  </si>
  <si>
    <t>Nombre de ménages aidés (au sens du modèle)</t>
  </si>
  <si>
    <t>Cee (Thousand households)</t>
  </si>
  <si>
    <t>il y a un double comptage</t>
  </si>
  <si>
    <t>Mpr (Thousand households)</t>
  </si>
  <si>
    <t>Mpr efficacite (Thousand households)</t>
  </si>
  <si>
    <t xml:space="preserve">MPR efficacité </t>
  </si>
  <si>
    <t>Mpr serenite (Thousand households)</t>
  </si>
  <si>
    <t>Mpr performance (Thousand households)</t>
  </si>
  <si>
    <t>Mpr multifamily (Thousand households)</t>
  </si>
  <si>
    <t>Mpr multifamily updated (Thousand households)</t>
  </si>
  <si>
    <t>Mpr multifamily deep (Thousand households)</t>
  </si>
  <si>
    <t>MPR Copropriétés</t>
  </si>
  <si>
    <t>Zero interest loan (Thousand households)</t>
  </si>
  <si>
    <t>Eco PTZ</t>
  </si>
  <si>
    <t>Subvention moyenne MPR efficacité</t>
  </si>
  <si>
    <t>Moyenne MPR efficacité</t>
  </si>
  <si>
    <t>Nombre de ménages aidés (au sens réels)</t>
  </si>
  <si>
    <t>a</t>
  </si>
  <si>
    <t>CEE heater (thousand households)</t>
  </si>
  <si>
    <t>aide aux chauffages PAC, bois et gaz jusqu'en 2023</t>
  </si>
  <si>
    <t>CEE insulation (thousand households)</t>
  </si>
  <si>
    <t>aide à l'isolation</t>
  </si>
  <si>
    <t xml:space="preserve">CEE total </t>
  </si>
  <si>
    <t>Montant des aides pour les logements sociaux</t>
  </si>
  <si>
    <t>Share of subsidies going to Social-housing (Million euro)</t>
  </si>
  <si>
    <t>Subsidies total Multi-family - Social-housing (Million euro)</t>
  </si>
  <si>
    <t>Subsidies total Single-family - Social-housing (Million euro)</t>
  </si>
  <si>
    <t>cible renov_val</t>
  </si>
  <si>
    <t>soutien total</t>
  </si>
  <si>
    <t>tx de subv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</si>
</sst>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%"/>
    <numFmt numFmtId="166" formatCode="_-* #,##0.0_-;\-* #,##0.0_-;_-* &quot;-&quot;??_-;_-@_-"/>
    <numFmt numFmtId="167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E5B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/>
    <xf numFmtId="164" fontId="0" fillId="0" borderId="0" xfId="0" applyNumberFormat="1"/>
    <xf numFmtId="0" fontId="3" fillId="0" borderId="0" xfId="0" applyFont="1"/>
    <xf numFmtId="2" fontId="0" fillId="0" borderId="0" xfId="0" applyNumberFormat="1"/>
    <xf numFmtId="0" fontId="0" fillId="2" borderId="0" xfId="0" applyFill="1"/>
    <xf numFmtId="9" fontId="2" fillId="2" borderId="0" xfId="0" applyNumberFormat="1" applyFont="1" applyFill="1"/>
    <xf numFmtId="0" fontId="0" fillId="0" borderId="0" xfId="0" applyAlignment="1">
      <alignment horizontal="center"/>
    </xf>
    <xf numFmtId="165" fontId="0" fillId="0" borderId="0" xfId="2" applyNumberFormat="1" applyFont="1" applyAlignment="1">
      <alignment horizontal="center"/>
    </xf>
    <xf numFmtId="9" fontId="0" fillId="0" borderId="0" xfId="2" applyFont="1"/>
    <xf numFmtId="2" fontId="0" fillId="2" borderId="0" xfId="0" applyNumberFormat="1" applyFill="1" applyAlignment="1">
      <alignment horizontal="left"/>
    </xf>
    <xf numFmtId="2" fontId="2" fillId="2" borderId="0" xfId="0" applyNumberFormat="1" applyFont="1" applyFill="1" applyAlignment="1">
      <alignment horizontal="center"/>
    </xf>
    <xf numFmtId="43" fontId="0" fillId="0" borderId="0" xfId="1" applyFont="1"/>
    <xf numFmtId="0" fontId="0" fillId="4" borderId="0" xfId="0" applyFill="1"/>
    <xf numFmtId="2" fontId="0" fillId="4" borderId="0" xfId="0" applyNumberFormat="1" applyFill="1"/>
    <xf numFmtId="0" fontId="2" fillId="6" borderId="0" xfId="0" applyFont="1" applyFill="1"/>
    <xf numFmtId="0" fontId="2" fillId="3" borderId="0" xfId="0" applyFont="1" applyFill="1"/>
    <xf numFmtId="0" fontId="0" fillId="3" borderId="0" xfId="0" applyFill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164" fontId="0" fillId="3" borderId="0" xfId="0" applyNumberFormat="1" applyFill="1"/>
    <xf numFmtId="166" fontId="2" fillId="0" borderId="0" xfId="1" applyNumberFormat="1" applyFont="1"/>
    <xf numFmtId="0" fontId="3" fillId="5" borderId="0" xfId="0" applyFont="1" applyFill="1" applyAlignment="1">
      <alignment horizontal="right"/>
    </xf>
    <xf numFmtId="166" fontId="3" fillId="0" borderId="0" xfId="1" applyNumberFormat="1" applyFont="1"/>
    <xf numFmtId="164" fontId="3" fillId="0" borderId="0" xfId="0" applyNumberFormat="1" applyFont="1"/>
    <xf numFmtId="0" fontId="2" fillId="0" borderId="0" xfId="0" applyFont="1" applyAlignment="1">
      <alignment wrapText="1"/>
    </xf>
    <xf numFmtId="20" fontId="0" fillId="0" borderId="0" xfId="0" applyNumberFormat="1"/>
    <xf numFmtId="0" fontId="0" fillId="7" borderId="0" xfId="0" applyFill="1"/>
    <xf numFmtId="164" fontId="0" fillId="7" borderId="0" xfId="0" applyNumberFormat="1" applyFill="1"/>
    <xf numFmtId="0" fontId="0" fillId="8" borderId="0" xfId="0" applyFill="1"/>
    <xf numFmtId="164" fontId="0" fillId="8" borderId="0" xfId="0" applyNumberFormat="1" applyFill="1"/>
    <xf numFmtId="0" fontId="0" fillId="9" borderId="0" xfId="0" applyFill="1"/>
    <xf numFmtId="164" fontId="0" fillId="4" borderId="0" xfId="0" applyNumberFormat="1" applyFill="1"/>
    <xf numFmtId="0" fontId="0" fillId="10" borderId="0" xfId="0" applyFill="1"/>
    <xf numFmtId="164" fontId="0" fillId="10" borderId="0" xfId="0" applyNumberFormat="1" applyFill="1"/>
    <xf numFmtId="0" fontId="0" fillId="11" borderId="0" xfId="0" applyFill="1"/>
    <xf numFmtId="164" fontId="0" fillId="11" borderId="0" xfId="0" applyNumberFormat="1" applyFill="1"/>
    <xf numFmtId="0" fontId="2" fillId="0" borderId="1" xfId="0" applyFont="1" applyBorder="1" applyAlignment="1">
      <alignment horizontal="right"/>
    </xf>
    <xf numFmtId="0" fontId="0" fillId="0" borderId="2" xfId="0" applyBorder="1"/>
    <xf numFmtId="0" fontId="2" fillId="12" borderId="3" xfId="0" applyFont="1" applyFill="1" applyBorder="1" applyAlignment="1">
      <alignment horizontal="right"/>
    </xf>
    <xf numFmtId="164" fontId="2" fillId="12" borderId="0" xfId="0" applyNumberFormat="1" applyFont="1" applyFill="1"/>
    <xf numFmtId="0" fontId="3" fillId="0" borderId="3" xfId="0" applyFont="1" applyBorder="1"/>
    <xf numFmtId="0" fontId="0" fillId="0" borderId="4" xfId="0" applyBorder="1" applyAlignment="1">
      <alignment horizontal="right"/>
    </xf>
    <xf numFmtId="0" fontId="0" fillId="0" borderId="5" xfId="0" applyBorder="1"/>
    <xf numFmtId="164" fontId="0" fillId="0" borderId="5" xfId="0" applyNumberFormat="1" applyBorder="1"/>
    <xf numFmtId="0" fontId="2" fillId="8" borderId="0" xfId="0" applyFont="1" applyFill="1"/>
    <xf numFmtId="164" fontId="2" fillId="8" borderId="0" xfId="0" applyNumberFormat="1" applyFont="1" applyFill="1"/>
    <xf numFmtId="0" fontId="2" fillId="11" borderId="0" xfId="0" applyFont="1" applyFill="1"/>
    <xf numFmtId="164" fontId="2" fillId="11" borderId="0" xfId="0" applyNumberFormat="1" applyFont="1" applyFill="1"/>
    <xf numFmtId="0" fontId="2" fillId="9" borderId="0" xfId="0" applyFont="1" applyFill="1"/>
    <xf numFmtId="164" fontId="2" fillId="9" borderId="0" xfId="0" applyNumberFormat="1" applyFont="1" applyFill="1"/>
    <xf numFmtId="164" fontId="2" fillId="3" borderId="0" xfId="0" applyNumberFormat="1" applyFont="1" applyFill="1"/>
    <xf numFmtId="1" fontId="0" fillId="0" borderId="0" xfId="0" applyNumberFormat="1"/>
    <xf numFmtId="167" fontId="0" fillId="0" borderId="0" xfId="1" applyNumberFormat="1" applyFont="1"/>
    <xf numFmtId="0" fontId="2" fillId="13" borderId="0" xfId="0" applyFont="1" applyFill="1"/>
    <xf numFmtId="0" fontId="0" fillId="13" borderId="0" xfId="0" applyFill="1"/>
    <xf numFmtId="167" fontId="2" fillId="13" borderId="0" xfId="1" applyNumberFormat="1" applyFont="1" applyFill="1"/>
    <xf numFmtId="167" fontId="0" fillId="0" borderId="0" xfId="0" applyNumberFormat="1"/>
    <xf numFmtId="165" fontId="0" fillId="0" borderId="0" xfId="2" applyNumberFormat="1" applyFont="1"/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left"/>
    </xf>
    <xf numFmtId="0" fontId="2" fillId="3" borderId="0" xfId="0" applyFont="1" applyFill="1" applyAlignment="1">
      <alignment horizont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900"/>
              <a:t>Emissions par vecteur (Mt)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9475750313819473E-2"/>
          <c:y val="9.8521587822189949E-2"/>
          <c:w val="0.87612552778728747"/>
          <c:h val="0.69942991625251927"/>
        </c:manualLayout>
      </c:layout>
      <c:areaChart>
        <c:grouping val="stacked"/>
        <c:varyColors val="0"/>
        <c:ser>
          <c:idx val="0"/>
          <c:order val="0"/>
          <c:tx>
            <c:strRef>
              <c:f>'Parc et émission'!$H$19</c:f>
              <c:strCache>
                <c:ptCount val="1"/>
                <c:pt idx="0">
                  <c:v>Emissions du gaz (MtCO2)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cat>
            <c:numRef>
              <c:f>'Parc et émission'!$J$1:$AK$1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'Parc et émission'!$J$19:$AK$19</c:f>
              <c:numCache>
                <c:formatCode>0.00</c:formatCode>
                <c:ptCount val="28"/>
                <c:pt idx="0">
                  <c:v>20.029027200000002</c:v>
                </c:pt>
                <c:pt idx="1">
                  <c:v>19.153793992158537</c:v>
                </c:pt>
                <c:pt idx="2">
                  <c:v>18.314965993146668</c:v>
                </c:pt>
                <c:pt idx="3">
                  <c:v>17.006524731504005</c:v>
                </c:pt>
                <c:pt idx="4">
                  <c:v>15.525084649984001</c:v>
                </c:pt>
                <c:pt idx="5">
                  <c:v>14.304012061108336</c:v>
                </c:pt>
                <c:pt idx="6">
                  <c:v>13.041857338356003</c:v>
                </c:pt>
                <c:pt idx="7">
                  <c:v>11.80036964802</c:v>
                </c:pt>
                <c:pt idx="8">
                  <c:v>10.740604650618206</c:v>
                </c:pt>
                <c:pt idx="9">
                  <c:v>9.70199774749182</c:v>
                </c:pt>
                <c:pt idx="10">
                  <c:v>8.7765578155820041</c:v>
                </c:pt>
                <c:pt idx="11">
                  <c:v>7.953666873462617</c:v>
                </c:pt>
                <c:pt idx="12">
                  <c:v>7.2100346261337727</c:v>
                </c:pt>
                <c:pt idx="13">
                  <c:v>6.3544473707481224</c:v>
                </c:pt>
                <c:pt idx="14">
                  <c:v>5.5788397245141477</c:v>
                </c:pt>
                <c:pt idx="15">
                  <c:v>4.8828795473700684</c:v>
                </c:pt>
                <c:pt idx="16">
                  <c:v>4.3219107673441997</c:v>
                </c:pt>
                <c:pt idx="17">
                  <c:v>3.1197883644033348</c:v>
                </c:pt>
                <c:pt idx="18">
                  <c:v>3.3116633062577114</c:v>
                </c:pt>
                <c:pt idx="19">
                  <c:v>2.9345788799280008</c:v>
                </c:pt>
                <c:pt idx="20">
                  <c:v>2.6056945704451149</c:v>
                </c:pt>
                <c:pt idx="21">
                  <c:v>2.3176863988590908</c:v>
                </c:pt>
                <c:pt idx="22">
                  <c:v>2.0639202961650009</c:v>
                </c:pt>
                <c:pt idx="23">
                  <c:v>1.5776878951620807</c:v>
                </c:pt>
                <c:pt idx="24">
                  <c:v>1.1402392337948628</c:v>
                </c:pt>
                <c:pt idx="25">
                  <c:v>0.73045348954578027</c:v>
                </c:pt>
                <c:pt idx="26">
                  <c:v>0.34886342574437257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86-4148-9A97-97FBA6A25BC2}"/>
            </c:ext>
          </c:extLst>
        </c:ser>
        <c:ser>
          <c:idx val="1"/>
          <c:order val="1"/>
          <c:tx>
            <c:strRef>
              <c:f>'Parc et émission'!$H$20</c:f>
              <c:strCache>
                <c:ptCount val="1"/>
                <c:pt idx="0">
                  <c:v>Emissions du fioul (MtCO2)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cat>
            <c:numRef>
              <c:f>'Parc et émission'!$J$1:$AK$1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'Parc et émission'!$J$20:$AK$20</c:f>
              <c:numCache>
                <c:formatCode>0.00</c:formatCode>
                <c:ptCount val="28"/>
                <c:pt idx="0">
                  <c:v>10.044</c:v>
                </c:pt>
                <c:pt idx="1">
                  <c:v>8.9197679999999995</c:v>
                </c:pt>
                <c:pt idx="2">
                  <c:v>7.8821595999999996</c:v>
                </c:pt>
                <c:pt idx="3">
                  <c:v>6.7317030000000004</c:v>
                </c:pt>
                <c:pt idx="4">
                  <c:v>5.5231232000000006</c:v>
                </c:pt>
                <c:pt idx="5">
                  <c:v>4.5755483333333338</c:v>
                </c:pt>
                <c:pt idx="6">
                  <c:v>3.7023028000000004</c:v>
                </c:pt>
                <c:pt idx="7">
                  <c:v>2.9374422000000004</c:v>
                </c:pt>
                <c:pt idx="8">
                  <c:v>2.2566453729166676</c:v>
                </c:pt>
                <c:pt idx="9">
                  <c:v>1.6337639833333337</c:v>
                </c:pt>
                <c:pt idx="10">
                  <c:v>1.0555615537500003</c:v>
                </c:pt>
                <c:pt idx="11">
                  <c:v>0.51348266666666675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86-4148-9A97-97FBA6A25BC2}"/>
            </c:ext>
          </c:extLst>
        </c:ser>
        <c:ser>
          <c:idx val="2"/>
          <c:order val="2"/>
          <c:tx>
            <c:strRef>
              <c:f>'Parc et émission'!$H$21</c:f>
              <c:strCache>
                <c:ptCount val="1"/>
                <c:pt idx="0">
                  <c:v>Emissions de l'électricité (MtCO2)</c:v>
                </c:pt>
              </c:strCache>
            </c:strRef>
          </c:tx>
          <c:spPr>
            <a:pattFill prst="pct20">
              <a:fgClr>
                <a:schemeClr val="accent1"/>
              </a:fgClr>
              <a:bgClr>
                <a:schemeClr val="bg1"/>
              </a:bgClr>
            </a:pattFill>
            <a:ln>
              <a:noFill/>
            </a:ln>
            <a:effectLst/>
          </c:spPr>
          <c:cat>
            <c:numRef>
              <c:f>'Parc et émission'!$J$1:$AK$1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'Parc et émission'!$J$21:$AK$21</c:f>
              <c:numCache>
                <c:formatCode>0.00</c:formatCode>
                <c:ptCount val="28"/>
                <c:pt idx="0">
                  <c:v>4.0209999999999999</c:v>
                </c:pt>
                <c:pt idx="1">
                  <c:v>3.8856246000000003</c:v>
                </c:pt>
                <c:pt idx="2">
                  <c:v>3.8043077333333333</c:v>
                </c:pt>
                <c:pt idx="3">
                  <c:v>3.7278846000000003</c:v>
                </c:pt>
                <c:pt idx="4">
                  <c:v>3.6827136</c:v>
                </c:pt>
                <c:pt idx="5">
                  <c:v>3.6320400000000004</c:v>
                </c:pt>
                <c:pt idx="6">
                  <c:v>3.5705712000000003</c:v>
                </c:pt>
                <c:pt idx="7">
                  <c:v>3.4878720000000003</c:v>
                </c:pt>
                <c:pt idx="8">
                  <c:v>3.4586821266666674</c:v>
                </c:pt>
                <c:pt idx="9">
                  <c:v>3.4242396166666675</c:v>
                </c:pt>
                <c:pt idx="10">
                  <c:v>3.3998588362500008</c:v>
                </c:pt>
                <c:pt idx="11">
                  <c:v>3.3854135466666673</c:v>
                </c:pt>
                <c:pt idx="12">
                  <c:v>3.3798887937500011</c:v>
                </c:pt>
                <c:pt idx="13">
                  <c:v>3.3459832850000009</c:v>
                </c:pt>
                <c:pt idx="14">
                  <c:v>3.3157994604166676</c:v>
                </c:pt>
                <c:pt idx="15">
                  <c:v>3.2875357666666676</c:v>
                </c:pt>
                <c:pt idx="16">
                  <c:v>3.2567987925000006</c:v>
                </c:pt>
                <c:pt idx="17">
                  <c:v>3.224492375000001</c:v>
                </c:pt>
                <c:pt idx="18">
                  <c:v>3.1837062308333341</c:v>
                </c:pt>
                <c:pt idx="19">
                  <c:v>3.1466316000000005</c:v>
                </c:pt>
                <c:pt idx="20">
                  <c:v>3.1080685275000008</c:v>
                </c:pt>
                <c:pt idx="21">
                  <c:v>3.0988303983333343</c:v>
                </c:pt>
                <c:pt idx="22">
                  <c:v>3.0853241562500013</c:v>
                </c:pt>
                <c:pt idx="23">
                  <c:v>3.0820195666666672</c:v>
                </c:pt>
                <c:pt idx="24">
                  <c:v>3.0727439166666679</c:v>
                </c:pt>
                <c:pt idx="25">
                  <c:v>3.0676607500000008</c:v>
                </c:pt>
                <c:pt idx="26">
                  <c:v>3.065877953333334</c:v>
                </c:pt>
                <c:pt idx="27">
                  <c:v>3.065685333333334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86-4148-9A97-97FBA6A25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870496"/>
        <c:axId val="2080872992"/>
      </c:areaChart>
      <c:catAx>
        <c:axId val="2080870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0872992"/>
        <c:crosses val="autoZero"/>
        <c:auto val="1"/>
        <c:lblAlgn val="ctr"/>
        <c:lblOffset val="100"/>
        <c:noMultiLvlLbl val="0"/>
      </c:catAx>
      <c:valAx>
        <c:axId val="208087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0870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1950986442445435E-3"/>
          <c:y val="0.887351251204887"/>
          <c:w val="0.98858465379420279"/>
          <c:h val="8.84809033211071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900"/>
              <a:t>Evolution du parc en DPE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6"/>
          <c:order val="0"/>
          <c:tx>
            <c:strRef>
              <c:f>'Parc et émission'!$I$35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cat>
            <c:numRef>
              <c:f>'Parc et émission'!$J$1:$AK$1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'Parc et émission'!$J$35:$AK$35</c:f>
              <c:numCache>
                <c:formatCode>General</c:formatCode>
                <c:ptCount val="28"/>
                <c:pt idx="0">
                  <c:v>1.3979999999999999</c:v>
                </c:pt>
                <c:pt idx="1">
                  <c:v>1.1619999999999999</c:v>
                </c:pt>
                <c:pt idx="2">
                  <c:v>0.97299999999999998</c:v>
                </c:pt>
                <c:pt idx="3">
                  <c:v>0.751</c:v>
                </c:pt>
                <c:pt idx="4">
                  <c:v>0.55300000000000005</c:v>
                </c:pt>
                <c:pt idx="5">
                  <c:v>0.40500000000000003</c:v>
                </c:pt>
                <c:pt idx="6">
                  <c:v>0.28000000000000003</c:v>
                </c:pt>
                <c:pt idx="7">
                  <c:v>0.19500000000000001</c:v>
                </c:pt>
                <c:pt idx="8">
                  <c:v>0.13700000000000001</c:v>
                </c:pt>
                <c:pt idx="9">
                  <c:v>9.7000000000000003E-2</c:v>
                </c:pt>
                <c:pt idx="10">
                  <c:v>6.8000000000000005E-2</c:v>
                </c:pt>
                <c:pt idx="11">
                  <c:v>4.9000000000000002E-2</c:v>
                </c:pt>
                <c:pt idx="12">
                  <c:v>3.5000000000000003E-2</c:v>
                </c:pt>
                <c:pt idx="13">
                  <c:v>2.7E-2</c:v>
                </c:pt>
                <c:pt idx="14">
                  <c:v>2.1000000000000001E-2</c:v>
                </c:pt>
                <c:pt idx="15">
                  <c:v>1.6E-2</c:v>
                </c:pt>
                <c:pt idx="16">
                  <c:v>1.2E-2</c:v>
                </c:pt>
                <c:pt idx="17">
                  <c:v>8.9999999999999993E-3</c:v>
                </c:pt>
                <c:pt idx="18">
                  <c:v>7.0000000000000001E-3</c:v>
                </c:pt>
                <c:pt idx="19">
                  <c:v>5.0000000000000001E-3</c:v>
                </c:pt>
                <c:pt idx="20">
                  <c:v>3.0000000000000001E-3</c:v>
                </c:pt>
                <c:pt idx="21">
                  <c:v>2E-3</c:v>
                </c:pt>
                <c:pt idx="22">
                  <c:v>2E-3</c:v>
                </c:pt>
                <c:pt idx="23">
                  <c:v>1E-3</c:v>
                </c:pt>
                <c:pt idx="24">
                  <c:v>1E-3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93-401F-8035-490273F33E1A}"/>
            </c:ext>
          </c:extLst>
        </c:ser>
        <c:ser>
          <c:idx val="5"/>
          <c:order val="1"/>
          <c:tx>
            <c:strRef>
              <c:f>'Parc et émission'!$I$34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'Parc et émission'!$J$1:$AK$1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'Parc et émission'!$J$34:$AK$34</c:f>
              <c:numCache>
                <c:formatCode>General</c:formatCode>
                <c:ptCount val="28"/>
                <c:pt idx="0">
                  <c:v>2.927</c:v>
                </c:pt>
                <c:pt idx="1">
                  <c:v>2.7549999999999999</c:v>
                </c:pt>
                <c:pt idx="2">
                  <c:v>2.573</c:v>
                </c:pt>
                <c:pt idx="3">
                  <c:v>2.23</c:v>
                </c:pt>
                <c:pt idx="4">
                  <c:v>1.9119999999999999</c:v>
                </c:pt>
                <c:pt idx="5">
                  <c:v>1.639</c:v>
                </c:pt>
                <c:pt idx="6">
                  <c:v>1.38</c:v>
                </c:pt>
                <c:pt idx="7">
                  <c:v>1.1160000000000001</c:v>
                </c:pt>
                <c:pt idx="8">
                  <c:v>0.90100000000000002</c:v>
                </c:pt>
                <c:pt idx="9">
                  <c:v>0.72499999999999998</c:v>
                </c:pt>
                <c:pt idx="10">
                  <c:v>0.58199999999999996</c:v>
                </c:pt>
                <c:pt idx="11">
                  <c:v>0.46500000000000002</c:v>
                </c:pt>
                <c:pt idx="12">
                  <c:v>0.36899999999999999</c:v>
                </c:pt>
                <c:pt idx="13">
                  <c:v>0.29899999999999999</c:v>
                </c:pt>
                <c:pt idx="14">
                  <c:v>0.24199999999999999</c:v>
                </c:pt>
                <c:pt idx="15">
                  <c:v>0.192</c:v>
                </c:pt>
                <c:pt idx="16">
                  <c:v>0.152</c:v>
                </c:pt>
                <c:pt idx="17">
                  <c:v>0.113</c:v>
                </c:pt>
                <c:pt idx="18">
                  <c:v>8.6999999999999994E-2</c:v>
                </c:pt>
                <c:pt idx="19">
                  <c:v>6.5000000000000002E-2</c:v>
                </c:pt>
                <c:pt idx="20">
                  <c:v>4.8000000000000001E-2</c:v>
                </c:pt>
                <c:pt idx="21">
                  <c:v>3.6999999999999998E-2</c:v>
                </c:pt>
                <c:pt idx="22">
                  <c:v>2.7E-2</c:v>
                </c:pt>
                <c:pt idx="23">
                  <c:v>1.9E-2</c:v>
                </c:pt>
                <c:pt idx="24">
                  <c:v>1.2E-2</c:v>
                </c:pt>
                <c:pt idx="25">
                  <c:v>6.0000000000000001E-3</c:v>
                </c:pt>
                <c:pt idx="26">
                  <c:v>5.0000000000000001E-3</c:v>
                </c:pt>
                <c:pt idx="27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93-401F-8035-490273F33E1A}"/>
            </c:ext>
          </c:extLst>
        </c:ser>
        <c:ser>
          <c:idx val="4"/>
          <c:order val="2"/>
          <c:tx>
            <c:strRef>
              <c:f>'Parc et émission'!$I$33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cat>
            <c:numRef>
              <c:f>'Parc et émission'!$J$1:$AK$1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'Parc et émission'!$J$33:$AK$33</c:f>
              <c:numCache>
                <c:formatCode>General</c:formatCode>
                <c:ptCount val="28"/>
                <c:pt idx="0">
                  <c:v>5.024</c:v>
                </c:pt>
                <c:pt idx="1">
                  <c:v>4.8410000000000002</c:v>
                </c:pt>
                <c:pt idx="2">
                  <c:v>4.6219999999999999</c:v>
                </c:pt>
                <c:pt idx="3">
                  <c:v>4.3940000000000001</c:v>
                </c:pt>
                <c:pt idx="4">
                  <c:v>4.1429999999999998</c:v>
                </c:pt>
                <c:pt idx="5">
                  <c:v>3.8820000000000001</c:v>
                </c:pt>
                <c:pt idx="6">
                  <c:v>3.6160000000000001</c:v>
                </c:pt>
                <c:pt idx="7">
                  <c:v>3.3519999999999999</c:v>
                </c:pt>
                <c:pt idx="8">
                  <c:v>2.86</c:v>
                </c:pt>
                <c:pt idx="9">
                  <c:v>2.4329999999999998</c:v>
                </c:pt>
                <c:pt idx="10">
                  <c:v>2.0550000000000002</c:v>
                </c:pt>
                <c:pt idx="11">
                  <c:v>1.74</c:v>
                </c:pt>
                <c:pt idx="12">
                  <c:v>1.4670000000000001</c:v>
                </c:pt>
                <c:pt idx="13">
                  <c:v>1.266</c:v>
                </c:pt>
                <c:pt idx="14">
                  <c:v>1.089</c:v>
                </c:pt>
                <c:pt idx="15">
                  <c:v>0.93</c:v>
                </c:pt>
                <c:pt idx="16">
                  <c:v>0.79500000000000004</c:v>
                </c:pt>
                <c:pt idx="17">
                  <c:v>0.622</c:v>
                </c:pt>
                <c:pt idx="18">
                  <c:v>0.51300000000000001</c:v>
                </c:pt>
                <c:pt idx="19">
                  <c:v>0.41599999999999998</c:v>
                </c:pt>
                <c:pt idx="20">
                  <c:v>0.33100000000000002</c:v>
                </c:pt>
                <c:pt idx="21">
                  <c:v>0.26200000000000001</c:v>
                </c:pt>
                <c:pt idx="22">
                  <c:v>0.19900000000000001</c:v>
                </c:pt>
                <c:pt idx="23">
                  <c:v>0.14199999999999999</c:v>
                </c:pt>
                <c:pt idx="24">
                  <c:v>0.09</c:v>
                </c:pt>
                <c:pt idx="25">
                  <c:v>4.2999999999999997E-2</c:v>
                </c:pt>
                <c:pt idx="26">
                  <c:v>3.9E-2</c:v>
                </c:pt>
                <c:pt idx="27">
                  <c:v>3.5999999999999997E-2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93-401F-8035-490273F33E1A}"/>
            </c:ext>
          </c:extLst>
        </c:ser>
        <c:ser>
          <c:idx val="3"/>
          <c:order val="3"/>
          <c:tx>
            <c:strRef>
              <c:f>'Parc et émission'!$I$32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cat>
            <c:numRef>
              <c:f>'Parc et émission'!$J$1:$AK$1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'Parc et émission'!$J$32:$AK$32</c:f>
              <c:numCache>
                <c:formatCode>General</c:formatCode>
                <c:ptCount val="28"/>
                <c:pt idx="0">
                  <c:v>12.773999999999999</c:v>
                </c:pt>
                <c:pt idx="1">
                  <c:v>12.688000000000001</c:v>
                </c:pt>
                <c:pt idx="2">
                  <c:v>12.589</c:v>
                </c:pt>
                <c:pt idx="3">
                  <c:v>12.481999999999999</c:v>
                </c:pt>
                <c:pt idx="4">
                  <c:v>12.31</c:v>
                </c:pt>
                <c:pt idx="5">
                  <c:v>12.032999999999999</c:v>
                </c:pt>
                <c:pt idx="6">
                  <c:v>11.680999999999999</c:v>
                </c:pt>
                <c:pt idx="7">
                  <c:v>11.26</c:v>
                </c:pt>
                <c:pt idx="8">
                  <c:v>10.956</c:v>
                </c:pt>
                <c:pt idx="9">
                  <c:v>10.538</c:v>
                </c:pt>
                <c:pt idx="10">
                  <c:v>10.066000000000001</c:v>
                </c:pt>
                <c:pt idx="11">
                  <c:v>9.5239999999999991</c:v>
                </c:pt>
                <c:pt idx="12">
                  <c:v>8.9529999999999994</c:v>
                </c:pt>
                <c:pt idx="13">
                  <c:v>8.4779999999999998</c:v>
                </c:pt>
                <c:pt idx="14">
                  <c:v>7.8449999999999998</c:v>
                </c:pt>
                <c:pt idx="15">
                  <c:v>7.25</c:v>
                </c:pt>
                <c:pt idx="16">
                  <c:v>6.7320000000000002</c:v>
                </c:pt>
                <c:pt idx="17">
                  <c:v>6.1260000000000003</c:v>
                </c:pt>
                <c:pt idx="18">
                  <c:v>5.6390000000000002</c:v>
                </c:pt>
                <c:pt idx="19">
                  <c:v>5.18</c:v>
                </c:pt>
                <c:pt idx="20">
                  <c:v>4.7850000000000001</c:v>
                </c:pt>
                <c:pt idx="21">
                  <c:v>4.5540000000000003</c:v>
                </c:pt>
                <c:pt idx="22">
                  <c:v>4.3440000000000003</c:v>
                </c:pt>
                <c:pt idx="23">
                  <c:v>4.1340000000000003</c:v>
                </c:pt>
                <c:pt idx="24">
                  <c:v>3.9449999999999998</c:v>
                </c:pt>
                <c:pt idx="25">
                  <c:v>3.7639999999999998</c:v>
                </c:pt>
                <c:pt idx="26">
                  <c:v>3.5449999999999999</c:v>
                </c:pt>
                <c:pt idx="27">
                  <c:v>3.327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93-401F-8035-490273F33E1A}"/>
            </c:ext>
          </c:extLst>
        </c:ser>
        <c:ser>
          <c:idx val="2"/>
          <c:order val="4"/>
          <c:tx>
            <c:strRef>
              <c:f>'Parc et émission'!$I$31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cat>
            <c:numRef>
              <c:f>'Parc et émission'!$J$1:$AK$1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'Parc et émission'!$J$31:$AK$31</c:f>
              <c:numCache>
                <c:formatCode>General</c:formatCode>
                <c:ptCount val="28"/>
                <c:pt idx="0">
                  <c:v>5.55</c:v>
                </c:pt>
                <c:pt idx="1">
                  <c:v>6.0179999999999998</c:v>
                </c:pt>
                <c:pt idx="2">
                  <c:v>6.4219999999999997</c:v>
                </c:pt>
                <c:pt idx="3">
                  <c:v>7.0019999999999998</c:v>
                </c:pt>
                <c:pt idx="4">
                  <c:v>7.5830000000000002</c:v>
                </c:pt>
                <c:pt idx="5">
                  <c:v>8.1660000000000004</c:v>
                </c:pt>
                <c:pt idx="6">
                  <c:v>8.7690000000000001</c:v>
                </c:pt>
                <c:pt idx="7">
                  <c:v>9.3789999999999996</c:v>
                </c:pt>
                <c:pt idx="8">
                  <c:v>9.9779999999999998</c:v>
                </c:pt>
                <c:pt idx="9">
                  <c:v>10.547000000000001</c:v>
                </c:pt>
                <c:pt idx="10">
                  <c:v>11.045</c:v>
                </c:pt>
                <c:pt idx="11">
                  <c:v>11.486000000000001</c:v>
                </c:pt>
                <c:pt idx="12">
                  <c:v>11.86</c:v>
                </c:pt>
                <c:pt idx="13">
                  <c:v>12.102</c:v>
                </c:pt>
                <c:pt idx="14">
                  <c:v>12.430999999999999</c:v>
                </c:pt>
                <c:pt idx="15">
                  <c:v>12.670999999999999</c:v>
                </c:pt>
                <c:pt idx="16">
                  <c:v>12.821</c:v>
                </c:pt>
                <c:pt idx="17">
                  <c:v>13.044</c:v>
                </c:pt>
                <c:pt idx="18">
                  <c:v>13.095000000000001</c:v>
                </c:pt>
                <c:pt idx="19">
                  <c:v>13.098000000000001</c:v>
                </c:pt>
                <c:pt idx="20">
                  <c:v>13.045999999999999</c:v>
                </c:pt>
                <c:pt idx="21">
                  <c:v>13.007999999999999</c:v>
                </c:pt>
                <c:pt idx="22">
                  <c:v>12.962999999999999</c:v>
                </c:pt>
                <c:pt idx="23">
                  <c:v>12.907999999999999</c:v>
                </c:pt>
                <c:pt idx="24">
                  <c:v>12.849</c:v>
                </c:pt>
                <c:pt idx="25">
                  <c:v>12.782999999999999</c:v>
                </c:pt>
                <c:pt idx="26">
                  <c:v>12.712</c:v>
                </c:pt>
                <c:pt idx="27">
                  <c:v>12.637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93-401F-8035-490273F33E1A}"/>
            </c:ext>
          </c:extLst>
        </c:ser>
        <c:ser>
          <c:idx val="1"/>
          <c:order val="5"/>
          <c:tx>
            <c:strRef>
              <c:f>'Parc et émission'!$I$30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'Parc et émission'!$J$1:$AK$1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'Parc et émission'!$J$30:$AK$30</c:f>
              <c:numCache>
                <c:formatCode>General</c:formatCode>
                <c:ptCount val="28"/>
                <c:pt idx="0">
                  <c:v>2.1560000000000001</c:v>
                </c:pt>
                <c:pt idx="1">
                  <c:v>2.4350000000000001</c:v>
                </c:pt>
                <c:pt idx="2">
                  <c:v>2.7589999999999999</c:v>
                </c:pt>
                <c:pt idx="3">
                  <c:v>3.1080000000000001</c:v>
                </c:pt>
                <c:pt idx="4">
                  <c:v>3.4849999999999999</c:v>
                </c:pt>
                <c:pt idx="5">
                  <c:v>3.88</c:v>
                </c:pt>
                <c:pt idx="6">
                  <c:v>4.298</c:v>
                </c:pt>
                <c:pt idx="7">
                  <c:v>4.71</c:v>
                </c:pt>
                <c:pt idx="8">
                  <c:v>5.1550000000000002</c:v>
                </c:pt>
                <c:pt idx="9">
                  <c:v>5.6230000000000002</c:v>
                </c:pt>
                <c:pt idx="10">
                  <c:v>6.1159999999999997</c:v>
                </c:pt>
                <c:pt idx="11">
                  <c:v>6.6289999999999996</c:v>
                </c:pt>
                <c:pt idx="12">
                  <c:v>7.16</c:v>
                </c:pt>
                <c:pt idx="13">
                  <c:v>7.6289999999999996</c:v>
                </c:pt>
                <c:pt idx="14">
                  <c:v>8.1199999999999992</c:v>
                </c:pt>
                <c:pt idx="15">
                  <c:v>8.6240000000000006</c:v>
                </c:pt>
                <c:pt idx="16">
                  <c:v>9.1059999999999999</c:v>
                </c:pt>
                <c:pt idx="17">
                  <c:v>9.5779999999999994</c:v>
                </c:pt>
                <c:pt idx="18">
                  <c:v>10.029</c:v>
                </c:pt>
                <c:pt idx="19">
                  <c:v>10.477</c:v>
                </c:pt>
                <c:pt idx="20">
                  <c:v>10.901</c:v>
                </c:pt>
                <c:pt idx="21">
                  <c:v>11.173</c:v>
                </c:pt>
                <c:pt idx="22">
                  <c:v>11.425000000000001</c:v>
                </c:pt>
                <c:pt idx="23">
                  <c:v>11.68</c:v>
                </c:pt>
                <c:pt idx="24">
                  <c:v>11.916</c:v>
                </c:pt>
                <c:pt idx="25">
                  <c:v>12.146000000000001</c:v>
                </c:pt>
                <c:pt idx="26">
                  <c:v>12.371</c:v>
                </c:pt>
                <c:pt idx="27">
                  <c:v>12.590999999999999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393-401F-8035-490273F33E1A}"/>
            </c:ext>
          </c:extLst>
        </c:ser>
        <c:ser>
          <c:idx val="0"/>
          <c:order val="6"/>
          <c:tx>
            <c:strRef>
              <c:f>'Parc et émission'!$I$29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cat>
            <c:numRef>
              <c:f>'Parc et émission'!$J$1:$AK$1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'Parc et émission'!$J$29:$AK$29</c:f>
              <c:numCache>
                <c:formatCode>General</c:formatCode>
                <c:ptCount val="28"/>
                <c:pt idx="0">
                  <c:v>0.39700000000000002</c:v>
                </c:pt>
                <c:pt idx="1">
                  <c:v>0.54500000000000004</c:v>
                </c:pt>
                <c:pt idx="2">
                  <c:v>0.77500000000000002</c:v>
                </c:pt>
                <c:pt idx="3">
                  <c:v>1.014</c:v>
                </c:pt>
                <c:pt idx="4">
                  <c:v>1.262</c:v>
                </c:pt>
                <c:pt idx="5">
                  <c:v>1.51</c:v>
                </c:pt>
                <c:pt idx="6">
                  <c:v>1.7589999999999999</c:v>
                </c:pt>
                <c:pt idx="7">
                  <c:v>1.9470000000000001</c:v>
                </c:pt>
                <c:pt idx="8">
                  <c:v>2.1509999999999998</c:v>
                </c:pt>
                <c:pt idx="9">
                  <c:v>2.3519999999999999</c:v>
                </c:pt>
                <c:pt idx="10">
                  <c:v>2.5609999999999999</c:v>
                </c:pt>
                <c:pt idx="11">
                  <c:v>2.7789999999999999</c:v>
                </c:pt>
                <c:pt idx="12">
                  <c:v>3.0059999999999998</c:v>
                </c:pt>
                <c:pt idx="13">
                  <c:v>3.2250000000000001</c:v>
                </c:pt>
                <c:pt idx="14">
                  <c:v>3.456</c:v>
                </c:pt>
                <c:pt idx="15">
                  <c:v>3.6960000000000002</c:v>
                </c:pt>
                <c:pt idx="16">
                  <c:v>3.9380000000000002</c:v>
                </c:pt>
                <c:pt idx="17">
                  <c:v>4.1139999999999999</c:v>
                </c:pt>
                <c:pt idx="18">
                  <c:v>4.2869999999999999</c:v>
                </c:pt>
                <c:pt idx="19">
                  <c:v>4.4640000000000004</c:v>
                </c:pt>
                <c:pt idx="20">
                  <c:v>4.6390000000000002</c:v>
                </c:pt>
                <c:pt idx="21">
                  <c:v>4.7679999999999998</c:v>
                </c:pt>
                <c:pt idx="22">
                  <c:v>4.8940000000000001</c:v>
                </c:pt>
                <c:pt idx="23">
                  <c:v>5.0179999999999998</c:v>
                </c:pt>
                <c:pt idx="24">
                  <c:v>5.14</c:v>
                </c:pt>
                <c:pt idx="25">
                  <c:v>5.2590000000000003</c:v>
                </c:pt>
                <c:pt idx="26">
                  <c:v>5.3769999999999998</c:v>
                </c:pt>
                <c:pt idx="27">
                  <c:v>5.4960000000000004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393-401F-8035-490273F33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2994256"/>
        <c:axId val="2022994672"/>
      </c:areaChart>
      <c:catAx>
        <c:axId val="2022994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2994672"/>
        <c:crosses val="autoZero"/>
        <c:auto val="1"/>
        <c:lblAlgn val="ctr"/>
        <c:lblOffset val="100"/>
        <c:noMultiLvlLbl val="0"/>
      </c:catAx>
      <c:valAx>
        <c:axId val="202299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2994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900"/>
              <a:t>Parc</a:t>
            </a:r>
            <a:r>
              <a:rPr lang="fr-FR" sz="900" baseline="0"/>
              <a:t> de logements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9475750313819473E-2"/>
          <c:y val="9.8521587822189949E-2"/>
          <c:w val="0.87612552778728747"/>
          <c:h val="0.69942991625251927"/>
        </c:manualLayout>
      </c:layout>
      <c:areaChart>
        <c:grouping val="stacked"/>
        <c:varyColors val="0"/>
        <c:ser>
          <c:idx val="0"/>
          <c:order val="0"/>
          <c:tx>
            <c:strRef>
              <c:f>'Parc et émission'!$H$43</c:f>
              <c:strCache>
                <c:ptCount val="1"/>
                <c:pt idx="0">
                  <c:v>Stock existing (Million)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'Parc et émission'!$J$1:$AK$1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'Parc et émission'!$J$43:$AK$43</c:f>
              <c:numCache>
                <c:formatCode>General</c:formatCode>
                <c:ptCount val="28"/>
                <c:pt idx="0">
                  <c:v>30.225000000000001</c:v>
                </c:pt>
                <c:pt idx="1">
                  <c:v>30.195</c:v>
                </c:pt>
                <c:pt idx="2">
                  <c:v>30.164999999999999</c:v>
                </c:pt>
                <c:pt idx="3">
                  <c:v>30.134</c:v>
                </c:pt>
                <c:pt idx="4">
                  <c:v>30.103000000000002</c:v>
                </c:pt>
                <c:pt idx="5">
                  <c:v>30.071999999999999</c:v>
                </c:pt>
                <c:pt idx="6">
                  <c:v>30.04</c:v>
                </c:pt>
                <c:pt idx="7">
                  <c:v>30.007999999999999</c:v>
                </c:pt>
                <c:pt idx="8">
                  <c:v>29.975999999999999</c:v>
                </c:pt>
                <c:pt idx="9">
                  <c:v>29.943999999999999</c:v>
                </c:pt>
                <c:pt idx="10">
                  <c:v>29.911999999999999</c:v>
                </c:pt>
                <c:pt idx="11">
                  <c:v>29.879000000000001</c:v>
                </c:pt>
                <c:pt idx="12">
                  <c:v>29.847000000000001</c:v>
                </c:pt>
                <c:pt idx="13">
                  <c:v>29.814</c:v>
                </c:pt>
                <c:pt idx="14">
                  <c:v>29.780999999999999</c:v>
                </c:pt>
                <c:pt idx="15">
                  <c:v>29.748000000000001</c:v>
                </c:pt>
                <c:pt idx="16">
                  <c:v>29.713999999999999</c:v>
                </c:pt>
                <c:pt idx="17">
                  <c:v>29.664000000000001</c:v>
                </c:pt>
                <c:pt idx="18">
                  <c:v>29.614000000000001</c:v>
                </c:pt>
                <c:pt idx="19">
                  <c:v>29.562999999999999</c:v>
                </c:pt>
                <c:pt idx="20">
                  <c:v>29.513000000000002</c:v>
                </c:pt>
                <c:pt idx="21">
                  <c:v>29.462</c:v>
                </c:pt>
                <c:pt idx="22">
                  <c:v>29.411000000000001</c:v>
                </c:pt>
                <c:pt idx="23">
                  <c:v>29.36</c:v>
                </c:pt>
                <c:pt idx="24">
                  <c:v>29.31</c:v>
                </c:pt>
                <c:pt idx="25">
                  <c:v>29.259</c:v>
                </c:pt>
                <c:pt idx="26">
                  <c:v>29.207999999999998</c:v>
                </c:pt>
                <c:pt idx="27">
                  <c:v>29.15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F-4A2A-9A24-C1C8300780F6}"/>
            </c:ext>
          </c:extLst>
        </c:ser>
        <c:ser>
          <c:idx val="1"/>
          <c:order val="1"/>
          <c:tx>
            <c:strRef>
              <c:f>'Parc et émission'!$H$42</c:f>
              <c:strCache>
                <c:ptCount val="1"/>
                <c:pt idx="0">
                  <c:v>Stock new (Million)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'Parc et émission'!$J$1:$AK$1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'Parc et émission'!$J$42:$AK$42</c:f>
              <c:numCache>
                <c:formatCode>General</c:formatCode>
                <c:ptCount val="28"/>
                <c:pt idx="0">
                  <c:v>0</c:v>
                </c:pt>
                <c:pt idx="1">
                  <c:v>0.25</c:v>
                </c:pt>
                <c:pt idx="2">
                  <c:v>0.54800000000000004</c:v>
                </c:pt>
                <c:pt idx="3">
                  <c:v>0.84699999999999998</c:v>
                </c:pt>
                <c:pt idx="4">
                  <c:v>1.145</c:v>
                </c:pt>
                <c:pt idx="5">
                  <c:v>1.444</c:v>
                </c:pt>
                <c:pt idx="6">
                  <c:v>1.742</c:v>
                </c:pt>
                <c:pt idx="7">
                  <c:v>1.952</c:v>
                </c:pt>
                <c:pt idx="8">
                  <c:v>2.1619999999999999</c:v>
                </c:pt>
                <c:pt idx="9">
                  <c:v>2.3719999999999999</c:v>
                </c:pt>
                <c:pt idx="10">
                  <c:v>2.5819999999999999</c:v>
                </c:pt>
                <c:pt idx="11">
                  <c:v>2.7919999999999998</c:v>
                </c:pt>
                <c:pt idx="12">
                  <c:v>3.0019999999999998</c:v>
                </c:pt>
                <c:pt idx="13">
                  <c:v>3.2120000000000002</c:v>
                </c:pt>
                <c:pt idx="14">
                  <c:v>3.4220000000000002</c:v>
                </c:pt>
                <c:pt idx="15">
                  <c:v>3.6320000000000001</c:v>
                </c:pt>
                <c:pt idx="16">
                  <c:v>3.8420000000000001</c:v>
                </c:pt>
                <c:pt idx="17">
                  <c:v>3.9420000000000002</c:v>
                </c:pt>
                <c:pt idx="18">
                  <c:v>4.0419999999999998</c:v>
                </c:pt>
                <c:pt idx="19">
                  <c:v>4.1420000000000003</c:v>
                </c:pt>
                <c:pt idx="20">
                  <c:v>4.242</c:v>
                </c:pt>
                <c:pt idx="21">
                  <c:v>4.3419999999999996</c:v>
                </c:pt>
                <c:pt idx="22">
                  <c:v>4.4420000000000002</c:v>
                </c:pt>
                <c:pt idx="23">
                  <c:v>4.5419999999999998</c:v>
                </c:pt>
                <c:pt idx="24">
                  <c:v>4.6420000000000003</c:v>
                </c:pt>
                <c:pt idx="25">
                  <c:v>4.742</c:v>
                </c:pt>
                <c:pt idx="26">
                  <c:v>4.8419999999999996</c:v>
                </c:pt>
                <c:pt idx="27">
                  <c:v>4.9420000000000002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3F-4A2A-9A24-C1C830078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870496"/>
        <c:axId val="2080872992"/>
      </c:areaChart>
      <c:catAx>
        <c:axId val="2080870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0872992"/>
        <c:crosses val="autoZero"/>
        <c:auto val="1"/>
        <c:lblAlgn val="ctr"/>
        <c:lblOffset val="100"/>
        <c:noMultiLvlLbl val="0"/>
      </c:catAx>
      <c:valAx>
        <c:axId val="20808729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0870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1950986442445435E-3"/>
          <c:y val="0.887351251204887"/>
          <c:w val="0.98858465379420279"/>
          <c:h val="8.84809033211071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Répartition des rénovations du parc privé en fonction du nombre de sauts de classe DPE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5"/>
          <c:order val="0"/>
          <c:tx>
            <c:strRef>
              <c:f>'Gestes de rénovation'!$K$8</c:f>
              <c:strCache>
                <c:ptCount val="1"/>
                <c:pt idx="0">
                  <c:v>1 classe</c:v>
                </c:pt>
              </c:strCache>
            </c:strRef>
          </c:tx>
          <c:spPr>
            <a:solidFill>
              <a:schemeClr val="accent1">
                <a:tint val="50000"/>
              </a:schemeClr>
            </a:solidFill>
            <a:ln>
              <a:noFill/>
            </a:ln>
            <a:effectLst/>
          </c:spP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rénovation'!$L$8:$AM$8</c:f>
              <c:numCache>
                <c:formatCode>0.0</c:formatCode>
                <c:ptCount val="28"/>
                <c:pt idx="0">
                  <c:v>0</c:v>
                </c:pt>
                <c:pt idx="1">
                  <c:v>385.95299999999997</c:v>
                </c:pt>
                <c:pt idx="2">
                  <c:v>359.24700000000001</c:v>
                </c:pt>
                <c:pt idx="3">
                  <c:v>476.10300000000001</c:v>
                </c:pt>
                <c:pt idx="4">
                  <c:v>474.09199999999998</c:v>
                </c:pt>
                <c:pt idx="5">
                  <c:v>557.73199999999997</c:v>
                </c:pt>
                <c:pt idx="6">
                  <c:v>642.43799999999999</c:v>
                </c:pt>
                <c:pt idx="7">
                  <c:v>715.86699999999996</c:v>
                </c:pt>
                <c:pt idx="8">
                  <c:v>729.30799999999999</c:v>
                </c:pt>
                <c:pt idx="9">
                  <c:v>786.54499999999996</c:v>
                </c:pt>
                <c:pt idx="10">
                  <c:v>738.80200000000002</c:v>
                </c:pt>
                <c:pt idx="11">
                  <c:v>698.11500000000001</c:v>
                </c:pt>
                <c:pt idx="12">
                  <c:v>649.70500000000004</c:v>
                </c:pt>
                <c:pt idx="13">
                  <c:v>559.65</c:v>
                </c:pt>
                <c:pt idx="14">
                  <c:v>634.52</c:v>
                </c:pt>
                <c:pt idx="15">
                  <c:v>572.95899999999995</c:v>
                </c:pt>
                <c:pt idx="16">
                  <c:v>485.81099999999998</c:v>
                </c:pt>
                <c:pt idx="17">
                  <c:v>531.08100000000002</c:v>
                </c:pt>
                <c:pt idx="18">
                  <c:v>428.27300000000002</c:v>
                </c:pt>
                <c:pt idx="19">
                  <c:v>404.35500000000002</c:v>
                </c:pt>
                <c:pt idx="20">
                  <c:v>353.82600000000002</c:v>
                </c:pt>
                <c:pt idx="21">
                  <c:v>322.80700000000002</c:v>
                </c:pt>
                <c:pt idx="22">
                  <c:v>296.75799999999998</c:v>
                </c:pt>
                <c:pt idx="23">
                  <c:v>292.68900000000002</c:v>
                </c:pt>
                <c:pt idx="24">
                  <c:v>268.95600000000002</c:v>
                </c:pt>
                <c:pt idx="25">
                  <c:v>256.60700000000003</c:v>
                </c:pt>
                <c:pt idx="26">
                  <c:v>246.11799999999999</c:v>
                </c:pt>
                <c:pt idx="27">
                  <c:v>238.65100000000001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BD-40B7-B713-054EC73A64B8}"/>
            </c:ext>
          </c:extLst>
        </c:ser>
        <c:ser>
          <c:idx val="4"/>
          <c:order val="1"/>
          <c:tx>
            <c:strRef>
              <c:f>'Gestes de rénovation'!$K$7</c:f>
              <c:strCache>
                <c:ptCount val="1"/>
                <c:pt idx="0">
                  <c:v>2 classes</c:v>
                </c:pt>
              </c:strCache>
            </c:strRef>
          </c:tx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rénovation'!$L$7:$AM$7</c:f>
              <c:numCache>
                <c:formatCode>0.0</c:formatCode>
                <c:ptCount val="28"/>
                <c:pt idx="0">
                  <c:v>0</c:v>
                </c:pt>
                <c:pt idx="1">
                  <c:v>354.06599999999997</c:v>
                </c:pt>
                <c:pt idx="2">
                  <c:v>379.101</c:v>
                </c:pt>
                <c:pt idx="3">
                  <c:v>476.53199999999998</c:v>
                </c:pt>
                <c:pt idx="4">
                  <c:v>497.14600000000002</c:v>
                </c:pt>
                <c:pt idx="5">
                  <c:v>476.988</c:v>
                </c:pt>
                <c:pt idx="6">
                  <c:v>469.49299999999999</c:v>
                </c:pt>
                <c:pt idx="7">
                  <c:v>462.88</c:v>
                </c:pt>
                <c:pt idx="8">
                  <c:v>564.20600000000002</c:v>
                </c:pt>
                <c:pt idx="9">
                  <c:v>511.10700000000003</c:v>
                </c:pt>
                <c:pt idx="10">
                  <c:v>495.06</c:v>
                </c:pt>
                <c:pt idx="11">
                  <c:v>481.82400000000001</c:v>
                </c:pt>
                <c:pt idx="12">
                  <c:v>473.07100000000003</c:v>
                </c:pt>
                <c:pt idx="13">
                  <c:v>369.38400000000001</c:v>
                </c:pt>
                <c:pt idx="14">
                  <c:v>395.99599999999998</c:v>
                </c:pt>
                <c:pt idx="15">
                  <c:v>400.32100000000003</c:v>
                </c:pt>
                <c:pt idx="16">
                  <c:v>369.173</c:v>
                </c:pt>
                <c:pt idx="17">
                  <c:v>432.59399999999999</c:v>
                </c:pt>
                <c:pt idx="18">
                  <c:v>349.012</c:v>
                </c:pt>
                <c:pt idx="19">
                  <c:v>337.75299999999999</c:v>
                </c:pt>
                <c:pt idx="20">
                  <c:v>309.79599999999999</c:v>
                </c:pt>
                <c:pt idx="21">
                  <c:v>155.376</c:v>
                </c:pt>
                <c:pt idx="22">
                  <c:v>140.96799999999999</c:v>
                </c:pt>
                <c:pt idx="23">
                  <c:v>141.59200000000001</c:v>
                </c:pt>
                <c:pt idx="24">
                  <c:v>128.27500000000001</c:v>
                </c:pt>
                <c:pt idx="25">
                  <c:v>122.22199999999999</c:v>
                </c:pt>
                <c:pt idx="26">
                  <c:v>116.864</c:v>
                </c:pt>
                <c:pt idx="27">
                  <c:v>114.938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BD-40B7-B713-054EC73A64B8}"/>
            </c:ext>
          </c:extLst>
        </c:ser>
        <c:ser>
          <c:idx val="3"/>
          <c:order val="2"/>
          <c:tx>
            <c:strRef>
              <c:f>'Gestes de rénovation'!$K$6</c:f>
              <c:strCache>
                <c:ptCount val="1"/>
                <c:pt idx="0">
                  <c:v>3 classes</c:v>
                </c:pt>
              </c:strCache>
            </c:strRef>
          </c:tx>
          <c:spPr>
            <a:solidFill>
              <a:schemeClr val="accent1">
                <a:tint val="90000"/>
              </a:schemeClr>
            </a:solidFill>
            <a:ln>
              <a:noFill/>
            </a:ln>
            <a:effectLst/>
          </c:spP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rénovation'!$L$6:$AM$6</c:f>
              <c:numCache>
                <c:formatCode>0.0</c:formatCode>
                <c:ptCount val="28"/>
                <c:pt idx="0">
                  <c:v>0</c:v>
                </c:pt>
                <c:pt idx="1">
                  <c:v>251.61500000000001</c:v>
                </c:pt>
                <c:pt idx="2">
                  <c:v>245.02099999999999</c:v>
                </c:pt>
                <c:pt idx="3">
                  <c:v>361.17399999999998</c:v>
                </c:pt>
                <c:pt idx="4">
                  <c:v>349.79300000000001</c:v>
                </c:pt>
                <c:pt idx="5">
                  <c:v>289.77600000000001</c:v>
                </c:pt>
                <c:pt idx="6">
                  <c:v>264.26400000000001</c:v>
                </c:pt>
                <c:pt idx="7">
                  <c:v>232.858</c:v>
                </c:pt>
                <c:pt idx="8">
                  <c:v>216.75399999999999</c:v>
                </c:pt>
                <c:pt idx="9">
                  <c:v>178.715</c:v>
                </c:pt>
                <c:pt idx="10">
                  <c:v>158.511</c:v>
                </c:pt>
                <c:pt idx="11">
                  <c:v>141.79</c:v>
                </c:pt>
                <c:pt idx="12">
                  <c:v>130.23699999999999</c:v>
                </c:pt>
                <c:pt idx="13">
                  <c:v>94.262</c:v>
                </c:pt>
                <c:pt idx="14">
                  <c:v>89.474000000000004</c:v>
                </c:pt>
                <c:pt idx="15">
                  <c:v>85.396000000000001</c:v>
                </c:pt>
                <c:pt idx="16">
                  <c:v>77.283000000000001</c:v>
                </c:pt>
                <c:pt idx="17">
                  <c:v>77.977000000000004</c:v>
                </c:pt>
                <c:pt idx="18">
                  <c:v>63.783999999999999</c:v>
                </c:pt>
                <c:pt idx="19">
                  <c:v>57.743000000000002</c:v>
                </c:pt>
                <c:pt idx="20">
                  <c:v>51.652000000000001</c:v>
                </c:pt>
                <c:pt idx="21">
                  <c:v>20.056000000000001</c:v>
                </c:pt>
                <c:pt idx="22">
                  <c:v>17.923999999999999</c:v>
                </c:pt>
                <c:pt idx="23">
                  <c:v>14.259</c:v>
                </c:pt>
                <c:pt idx="24">
                  <c:v>12.85</c:v>
                </c:pt>
                <c:pt idx="25">
                  <c:v>10.356</c:v>
                </c:pt>
                <c:pt idx="26">
                  <c:v>8.9390000000000001</c:v>
                </c:pt>
                <c:pt idx="27">
                  <c:v>8.0939999999999994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BD-40B7-B713-054EC73A64B8}"/>
            </c:ext>
          </c:extLst>
        </c:ser>
        <c:ser>
          <c:idx val="0"/>
          <c:order val="3"/>
          <c:tx>
            <c:strRef>
              <c:f>'Gestes de rénovation'!$K$5</c:f>
              <c:strCache>
                <c:ptCount val="1"/>
                <c:pt idx="0">
                  <c:v>4 classes</c:v>
                </c:pt>
              </c:strCache>
            </c:strRef>
          </c:tx>
          <c:spPr>
            <a:solidFill>
              <a:schemeClr val="accent1">
                <a:shade val="50000"/>
              </a:schemeClr>
            </a:solidFill>
            <a:ln>
              <a:noFill/>
            </a:ln>
            <a:effectLst/>
          </c:spP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rénovation'!$L$5:$AM$5</c:f>
              <c:numCache>
                <c:formatCode>0.0</c:formatCode>
                <c:ptCount val="28"/>
                <c:pt idx="0">
                  <c:v>0</c:v>
                </c:pt>
                <c:pt idx="1">
                  <c:v>61.33</c:v>
                </c:pt>
                <c:pt idx="2">
                  <c:v>51.213000000000001</c:v>
                </c:pt>
                <c:pt idx="3">
                  <c:v>49.726999999999997</c:v>
                </c:pt>
                <c:pt idx="4">
                  <c:v>44.856000000000002</c:v>
                </c:pt>
                <c:pt idx="5">
                  <c:v>34.177</c:v>
                </c:pt>
                <c:pt idx="6">
                  <c:v>28.428000000000001</c:v>
                </c:pt>
                <c:pt idx="7">
                  <c:v>21.995000000000001</c:v>
                </c:pt>
                <c:pt idx="8">
                  <c:v>19.04</c:v>
                </c:pt>
                <c:pt idx="9">
                  <c:v>14.397</c:v>
                </c:pt>
                <c:pt idx="10">
                  <c:v>12.057</c:v>
                </c:pt>
                <c:pt idx="11">
                  <c:v>10.236000000000001</c:v>
                </c:pt>
                <c:pt idx="12">
                  <c:v>8.6910000000000007</c:v>
                </c:pt>
                <c:pt idx="13">
                  <c:v>5.9669999999999996</c:v>
                </c:pt>
                <c:pt idx="14">
                  <c:v>5.1449999999999996</c:v>
                </c:pt>
                <c:pt idx="15">
                  <c:v>4.6509999999999998</c:v>
                </c:pt>
                <c:pt idx="16">
                  <c:v>3.8</c:v>
                </c:pt>
                <c:pt idx="17">
                  <c:v>3.214</c:v>
                </c:pt>
                <c:pt idx="18">
                  <c:v>2.3809999999999998</c:v>
                </c:pt>
                <c:pt idx="19">
                  <c:v>1.853</c:v>
                </c:pt>
                <c:pt idx="20">
                  <c:v>1.411</c:v>
                </c:pt>
                <c:pt idx="21">
                  <c:v>0.61899999999999999</c:v>
                </c:pt>
                <c:pt idx="22">
                  <c:v>0.45500000000000002</c:v>
                </c:pt>
                <c:pt idx="23">
                  <c:v>0.29699999999999999</c:v>
                </c:pt>
                <c:pt idx="24">
                  <c:v>0.185</c:v>
                </c:pt>
                <c:pt idx="25">
                  <c:v>8.1000000000000003E-2</c:v>
                </c:pt>
                <c:pt idx="26">
                  <c:v>6.9000000000000006E-2</c:v>
                </c:pt>
                <c:pt idx="27">
                  <c:v>6.7000000000000004E-2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BD-40B7-B713-054EC73A64B8}"/>
            </c:ext>
          </c:extLst>
        </c:ser>
        <c:ser>
          <c:idx val="2"/>
          <c:order val="4"/>
          <c:tx>
            <c:strRef>
              <c:f>'Gestes de rénovation'!$K$4</c:f>
              <c:strCache>
                <c:ptCount val="1"/>
                <c:pt idx="0">
                  <c:v>5 classes</c:v>
                </c:pt>
              </c:strCache>
            </c:strRef>
          </c:tx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rénovation'!$L$4:$AM$4</c:f>
              <c:numCache>
                <c:formatCode>0.0</c:formatCode>
                <c:ptCount val="28"/>
                <c:pt idx="0">
                  <c:v>0</c:v>
                </c:pt>
                <c:pt idx="1">
                  <c:v>0.77300000000000002</c:v>
                </c:pt>
                <c:pt idx="2">
                  <c:v>0.64800000000000002</c:v>
                </c:pt>
                <c:pt idx="3">
                  <c:v>4.173</c:v>
                </c:pt>
                <c:pt idx="4">
                  <c:v>4.0060000000000002</c:v>
                </c:pt>
                <c:pt idx="5">
                  <c:v>3.45</c:v>
                </c:pt>
                <c:pt idx="6">
                  <c:v>3.2639999999999998</c:v>
                </c:pt>
                <c:pt idx="7">
                  <c:v>2.7389999999999999</c:v>
                </c:pt>
                <c:pt idx="8">
                  <c:v>2.2549999999999999</c:v>
                </c:pt>
                <c:pt idx="9">
                  <c:v>1.851</c:v>
                </c:pt>
                <c:pt idx="10">
                  <c:v>1.5309999999999999</c:v>
                </c:pt>
                <c:pt idx="11">
                  <c:v>1.2689999999999999</c:v>
                </c:pt>
                <c:pt idx="12">
                  <c:v>1.0529999999999999</c:v>
                </c:pt>
                <c:pt idx="13">
                  <c:v>0.65900000000000003</c:v>
                </c:pt>
                <c:pt idx="14">
                  <c:v>0.55000000000000004</c:v>
                </c:pt>
                <c:pt idx="15">
                  <c:v>0.49399999999999999</c:v>
                </c:pt>
                <c:pt idx="16">
                  <c:v>0.38100000000000001</c:v>
                </c:pt>
                <c:pt idx="17">
                  <c:v>0.309</c:v>
                </c:pt>
                <c:pt idx="18">
                  <c:v>0.214</c:v>
                </c:pt>
                <c:pt idx="19">
                  <c:v>0.16700000000000001</c:v>
                </c:pt>
                <c:pt idx="20">
                  <c:v>0.127</c:v>
                </c:pt>
                <c:pt idx="21">
                  <c:v>3.6999999999999998E-2</c:v>
                </c:pt>
                <c:pt idx="22">
                  <c:v>2.7E-2</c:v>
                </c:pt>
                <c:pt idx="23">
                  <c:v>1.6E-2</c:v>
                </c:pt>
                <c:pt idx="24">
                  <c:v>0.01</c:v>
                </c:pt>
                <c:pt idx="25">
                  <c:v>4.0000000000000001E-3</c:v>
                </c:pt>
                <c:pt idx="26">
                  <c:v>4.0000000000000001E-3</c:v>
                </c:pt>
                <c:pt idx="27">
                  <c:v>3.0000000000000001E-3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BD-40B7-B713-054EC73A64B8}"/>
            </c:ext>
          </c:extLst>
        </c:ser>
        <c:ser>
          <c:idx val="1"/>
          <c:order val="5"/>
          <c:tx>
            <c:strRef>
              <c:f>'Gestes de rénovation'!$K$3</c:f>
              <c:strCache>
                <c:ptCount val="1"/>
                <c:pt idx="0">
                  <c:v>6 classes</c:v>
                </c:pt>
              </c:strCache>
            </c:strRef>
          </c:tx>
          <c:spPr>
            <a:solidFill>
              <a:schemeClr val="accent1">
                <a:shade val="70000"/>
              </a:schemeClr>
            </a:solidFill>
            <a:ln w="25400">
              <a:noFill/>
            </a:ln>
            <a:effectLst/>
          </c:spPr>
          <c:val>
            <c:numRef>
              <c:f>'Gestes de rénovation'!$L$3:$AM$3</c:f>
              <c:numCache>
                <c:formatCode>0.0</c:formatCode>
                <c:ptCount val="28"/>
                <c:pt idx="0">
                  <c:v>0</c:v>
                </c:pt>
                <c:pt idx="1">
                  <c:v>5.8999999999999997E-2</c:v>
                </c:pt>
                <c:pt idx="2">
                  <c:v>4.2000000000000003E-2</c:v>
                </c:pt>
                <c:pt idx="3">
                  <c:v>1.4139999999999999</c:v>
                </c:pt>
                <c:pt idx="4">
                  <c:v>1.343</c:v>
                </c:pt>
                <c:pt idx="5">
                  <c:v>1.1419999999999999</c:v>
                </c:pt>
                <c:pt idx="6">
                  <c:v>1.0580000000000001</c:v>
                </c:pt>
                <c:pt idx="7">
                  <c:v>0.81699999999999995</c:v>
                </c:pt>
                <c:pt idx="8">
                  <c:v>0.63700000000000001</c:v>
                </c:pt>
                <c:pt idx="9">
                  <c:v>0.49399999999999999</c:v>
                </c:pt>
                <c:pt idx="10">
                  <c:v>0.38300000000000001</c:v>
                </c:pt>
                <c:pt idx="11">
                  <c:v>0.29699999999999999</c:v>
                </c:pt>
                <c:pt idx="12">
                  <c:v>0.22900000000000001</c:v>
                </c:pt>
                <c:pt idx="13">
                  <c:v>1.9E-2</c:v>
                </c:pt>
                <c:pt idx="14">
                  <c:v>1.4E-2</c:v>
                </c:pt>
                <c:pt idx="15">
                  <c:v>1.0999999999999999E-2</c:v>
                </c:pt>
                <c:pt idx="16">
                  <c:v>7.0000000000000001E-3</c:v>
                </c:pt>
                <c:pt idx="17">
                  <c:v>5.0000000000000001E-3</c:v>
                </c:pt>
                <c:pt idx="18">
                  <c:v>3.0000000000000001E-3</c:v>
                </c:pt>
                <c:pt idx="19">
                  <c:v>2E-3</c:v>
                </c:pt>
                <c:pt idx="20">
                  <c:v>1E-3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CBD-40B7-B713-054EC73A6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2484192"/>
        <c:axId val="2022484608"/>
      </c:areaChart>
      <c:catAx>
        <c:axId val="2022484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2484608"/>
        <c:crosses val="autoZero"/>
        <c:auto val="1"/>
        <c:lblAlgn val="ctr"/>
        <c:lblOffset val="100"/>
        <c:tickLblSkip val="2"/>
        <c:noMultiLvlLbl val="0"/>
      </c:catAx>
      <c:valAx>
        <c:axId val="202248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248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Répartition des rénovations par type de logement</a:t>
            </a:r>
          </a:p>
        </c:rich>
      </c:tx>
      <c:layout>
        <c:manualLayout>
          <c:xMode val="edge"/>
          <c:yMode val="edge"/>
          <c:x val="0.12182728959860732"/>
          <c:y val="1.1894345432864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2"/>
          <c:order val="0"/>
          <c:tx>
            <c:strRef>
              <c:f>'Gestes de rénovation'!$K$22</c:f>
              <c:strCache>
                <c:ptCount val="1"/>
                <c:pt idx="0">
                  <c:v>PB social en copropriété - total gestes isolation</c:v>
                </c:pt>
              </c:strCache>
            </c:strRef>
          </c:tx>
          <c:spPr>
            <a:pattFill prst="dkUpDiag">
              <a:fgClr>
                <a:schemeClr val="accent1"/>
              </a:fgClr>
              <a:bgClr>
                <a:schemeClr val="bg1"/>
              </a:bgClr>
            </a:pattFill>
            <a:ln>
              <a:noFill/>
            </a:ln>
            <a:effectLst/>
          </c:spP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rénovation'!$L$22:$AM$22</c:f>
              <c:numCache>
                <c:formatCode>0.0</c:formatCode>
                <c:ptCount val="28"/>
                <c:pt idx="0">
                  <c:v>0</c:v>
                </c:pt>
                <c:pt idx="1">
                  <c:v>15.24</c:v>
                </c:pt>
                <c:pt idx="2">
                  <c:v>61.817999999999998</c:v>
                </c:pt>
                <c:pt idx="3">
                  <c:v>138.22499999999999</c:v>
                </c:pt>
                <c:pt idx="4">
                  <c:v>177.92</c:v>
                </c:pt>
                <c:pt idx="5">
                  <c:v>219.637</c:v>
                </c:pt>
                <c:pt idx="6">
                  <c:v>230.077</c:v>
                </c:pt>
                <c:pt idx="7">
                  <c:v>231.42599999999999</c:v>
                </c:pt>
                <c:pt idx="8">
                  <c:v>244.078</c:v>
                </c:pt>
                <c:pt idx="9">
                  <c:v>232.88399999999999</c:v>
                </c:pt>
                <c:pt idx="10">
                  <c:v>249.11799999999999</c:v>
                </c:pt>
                <c:pt idx="11">
                  <c:v>290.54000000000002</c:v>
                </c:pt>
                <c:pt idx="12">
                  <c:v>302.61099999999999</c:v>
                </c:pt>
                <c:pt idx="13">
                  <c:v>272.92</c:v>
                </c:pt>
                <c:pt idx="14">
                  <c:v>232.45400000000001</c:v>
                </c:pt>
                <c:pt idx="15">
                  <c:v>252.33099999999999</c:v>
                </c:pt>
                <c:pt idx="16">
                  <c:v>297.60500000000002</c:v>
                </c:pt>
                <c:pt idx="17">
                  <c:v>311.46800000000002</c:v>
                </c:pt>
                <c:pt idx="18">
                  <c:v>313.322</c:v>
                </c:pt>
                <c:pt idx="19">
                  <c:v>323.851</c:v>
                </c:pt>
                <c:pt idx="20">
                  <c:v>300.92200000000003</c:v>
                </c:pt>
                <c:pt idx="21">
                  <c:v>333.98</c:v>
                </c:pt>
                <c:pt idx="22">
                  <c:v>318.22300000000001</c:v>
                </c:pt>
                <c:pt idx="23">
                  <c:v>305.00599999999997</c:v>
                </c:pt>
                <c:pt idx="24">
                  <c:v>292.13099999999997</c:v>
                </c:pt>
                <c:pt idx="25">
                  <c:v>280.27999999999997</c:v>
                </c:pt>
                <c:pt idx="26">
                  <c:v>268.95699999999999</c:v>
                </c:pt>
                <c:pt idx="27">
                  <c:v>258.09399999999999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0E-4A49-8949-22E5D23F743A}"/>
            </c:ext>
          </c:extLst>
        </c:ser>
        <c:ser>
          <c:idx val="3"/>
          <c:order val="1"/>
          <c:tx>
            <c:strRef>
              <c:f>'Gestes de rénovation'!$K$23</c:f>
              <c:strCache>
                <c:ptCount val="1"/>
                <c:pt idx="0">
                  <c:v>PO en maison - total gestes isolation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rénovation'!$L$23:$AM$23</c:f>
              <c:numCache>
                <c:formatCode>0.0</c:formatCode>
                <c:ptCount val="28"/>
                <c:pt idx="0">
                  <c:v>0</c:v>
                </c:pt>
                <c:pt idx="1">
                  <c:v>373.90800000000002</c:v>
                </c:pt>
                <c:pt idx="2">
                  <c:v>360.02300000000002</c:v>
                </c:pt>
                <c:pt idx="3">
                  <c:v>458.15300000000002</c:v>
                </c:pt>
                <c:pt idx="4">
                  <c:v>465.93099999999998</c:v>
                </c:pt>
                <c:pt idx="5">
                  <c:v>435.46899999999999</c:v>
                </c:pt>
                <c:pt idx="6">
                  <c:v>448.279</c:v>
                </c:pt>
                <c:pt idx="7">
                  <c:v>445.77100000000002</c:v>
                </c:pt>
                <c:pt idx="8">
                  <c:v>403.73599999999999</c:v>
                </c:pt>
                <c:pt idx="9">
                  <c:v>368.38600000000002</c:v>
                </c:pt>
                <c:pt idx="10">
                  <c:v>339.786</c:v>
                </c:pt>
                <c:pt idx="11">
                  <c:v>316.142</c:v>
                </c:pt>
                <c:pt idx="12">
                  <c:v>296.3</c:v>
                </c:pt>
                <c:pt idx="13">
                  <c:v>284.07299999999998</c:v>
                </c:pt>
                <c:pt idx="14">
                  <c:v>268.70100000000002</c:v>
                </c:pt>
                <c:pt idx="15">
                  <c:v>264.69499999999999</c:v>
                </c:pt>
                <c:pt idx="16">
                  <c:v>249.39599999999999</c:v>
                </c:pt>
                <c:pt idx="17">
                  <c:v>407.23700000000002</c:v>
                </c:pt>
                <c:pt idx="18">
                  <c:v>356.74900000000002</c:v>
                </c:pt>
                <c:pt idx="19">
                  <c:v>337.65199999999999</c:v>
                </c:pt>
                <c:pt idx="20">
                  <c:v>319.60199999999998</c:v>
                </c:pt>
                <c:pt idx="21">
                  <c:v>305.423</c:v>
                </c:pt>
                <c:pt idx="22">
                  <c:v>295.07900000000001</c:v>
                </c:pt>
                <c:pt idx="23">
                  <c:v>285.70100000000002</c:v>
                </c:pt>
                <c:pt idx="24">
                  <c:v>276.21899999999999</c:v>
                </c:pt>
                <c:pt idx="25">
                  <c:v>267.637</c:v>
                </c:pt>
                <c:pt idx="26">
                  <c:v>258.41000000000003</c:v>
                </c:pt>
                <c:pt idx="27">
                  <c:v>254.31100000000001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0E-4A49-8949-22E5D23F743A}"/>
            </c:ext>
          </c:extLst>
        </c:ser>
        <c:ser>
          <c:idx val="4"/>
          <c:order val="2"/>
          <c:tx>
            <c:strRef>
              <c:f>'Gestes de rénovation'!$K$24</c:f>
              <c:strCache>
                <c:ptCount val="1"/>
                <c:pt idx="0">
                  <c:v>PB en maison - total gestes isolation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rénovation'!$L$24:$AM$24</c:f>
              <c:numCache>
                <c:formatCode>0.0</c:formatCode>
                <c:ptCount val="28"/>
                <c:pt idx="0">
                  <c:v>0</c:v>
                </c:pt>
                <c:pt idx="1">
                  <c:v>54.747</c:v>
                </c:pt>
                <c:pt idx="2">
                  <c:v>45.585999999999999</c:v>
                </c:pt>
                <c:pt idx="3">
                  <c:v>100.999</c:v>
                </c:pt>
                <c:pt idx="4">
                  <c:v>79.918999999999997</c:v>
                </c:pt>
                <c:pt idx="5">
                  <c:v>63.454999999999998</c:v>
                </c:pt>
                <c:pt idx="6">
                  <c:v>53.56</c:v>
                </c:pt>
                <c:pt idx="7">
                  <c:v>43.134</c:v>
                </c:pt>
                <c:pt idx="8">
                  <c:v>67.227999999999994</c:v>
                </c:pt>
                <c:pt idx="9">
                  <c:v>52.518999999999998</c:v>
                </c:pt>
                <c:pt idx="10">
                  <c:v>41.478000000000002</c:v>
                </c:pt>
                <c:pt idx="11">
                  <c:v>33.203000000000003</c:v>
                </c:pt>
                <c:pt idx="12">
                  <c:v>27.021000000000001</c:v>
                </c:pt>
                <c:pt idx="13">
                  <c:v>23.204999999999998</c:v>
                </c:pt>
                <c:pt idx="14">
                  <c:v>157.43299999999999</c:v>
                </c:pt>
                <c:pt idx="15">
                  <c:v>143.04400000000001</c:v>
                </c:pt>
                <c:pt idx="16">
                  <c:v>129.458</c:v>
                </c:pt>
                <c:pt idx="17">
                  <c:v>118.09099999999999</c:v>
                </c:pt>
                <c:pt idx="18">
                  <c:v>103.76300000000001</c:v>
                </c:pt>
                <c:pt idx="19">
                  <c:v>93.215000000000003</c:v>
                </c:pt>
                <c:pt idx="20">
                  <c:v>83.588999999999999</c:v>
                </c:pt>
                <c:pt idx="21">
                  <c:v>77.870999999999995</c:v>
                </c:pt>
                <c:pt idx="22">
                  <c:v>72.927000000000007</c:v>
                </c:pt>
                <c:pt idx="23">
                  <c:v>68.302999999999997</c:v>
                </c:pt>
                <c:pt idx="24">
                  <c:v>64.081999999999994</c:v>
                </c:pt>
                <c:pt idx="25">
                  <c:v>60.218000000000004</c:v>
                </c:pt>
                <c:pt idx="26">
                  <c:v>56.081000000000003</c:v>
                </c:pt>
                <c:pt idx="27">
                  <c:v>52.365000000000002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0E-4A49-8949-22E5D23F743A}"/>
            </c:ext>
          </c:extLst>
        </c:ser>
        <c:ser>
          <c:idx val="5"/>
          <c:order val="3"/>
          <c:tx>
            <c:strRef>
              <c:f>'Gestes de rénovation'!$K$25</c:f>
              <c:strCache>
                <c:ptCount val="1"/>
                <c:pt idx="0">
                  <c:v>PB social en maison - total gestes isolation 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rénovation'!$L$25:$AM$25</c:f>
              <c:numCache>
                <c:formatCode>0.0</c:formatCode>
                <c:ptCount val="28"/>
                <c:pt idx="0">
                  <c:v>0</c:v>
                </c:pt>
                <c:pt idx="1">
                  <c:v>14.484</c:v>
                </c:pt>
                <c:pt idx="2">
                  <c:v>29.827999999999999</c:v>
                </c:pt>
                <c:pt idx="3">
                  <c:v>46.274000000000001</c:v>
                </c:pt>
                <c:pt idx="4">
                  <c:v>55.375</c:v>
                </c:pt>
                <c:pt idx="5">
                  <c:v>55.5</c:v>
                </c:pt>
                <c:pt idx="6">
                  <c:v>54.250999999999998</c:v>
                </c:pt>
                <c:pt idx="7">
                  <c:v>57.676000000000002</c:v>
                </c:pt>
                <c:pt idx="8">
                  <c:v>63.179000000000002</c:v>
                </c:pt>
                <c:pt idx="9">
                  <c:v>68.290000000000006</c:v>
                </c:pt>
                <c:pt idx="10">
                  <c:v>77.825999999999993</c:v>
                </c:pt>
                <c:pt idx="11">
                  <c:v>93.801000000000002</c:v>
                </c:pt>
                <c:pt idx="12">
                  <c:v>94.174000000000007</c:v>
                </c:pt>
                <c:pt idx="13">
                  <c:v>97.938000000000002</c:v>
                </c:pt>
                <c:pt idx="14">
                  <c:v>88.216999999999999</c:v>
                </c:pt>
                <c:pt idx="15">
                  <c:v>84.174000000000007</c:v>
                </c:pt>
                <c:pt idx="16">
                  <c:v>82.694000000000003</c:v>
                </c:pt>
                <c:pt idx="17">
                  <c:v>79.022000000000006</c:v>
                </c:pt>
                <c:pt idx="18">
                  <c:v>72.537999999999997</c:v>
                </c:pt>
                <c:pt idx="19">
                  <c:v>69.73</c:v>
                </c:pt>
                <c:pt idx="20">
                  <c:v>32.656999999999996</c:v>
                </c:pt>
                <c:pt idx="21">
                  <c:v>36.765000000000001</c:v>
                </c:pt>
                <c:pt idx="22">
                  <c:v>35.470999999999997</c:v>
                </c:pt>
                <c:pt idx="23">
                  <c:v>34.463000000000001</c:v>
                </c:pt>
                <c:pt idx="24">
                  <c:v>33.381999999999998</c:v>
                </c:pt>
                <c:pt idx="25">
                  <c:v>32.442</c:v>
                </c:pt>
                <c:pt idx="26">
                  <c:v>31.51</c:v>
                </c:pt>
                <c:pt idx="27">
                  <c:v>30.576000000000001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0E-4A49-8949-22E5D23F743A}"/>
            </c:ext>
          </c:extLst>
        </c:ser>
        <c:ser>
          <c:idx val="0"/>
          <c:order val="4"/>
          <c:tx>
            <c:strRef>
              <c:f>'Gestes de rénovation'!$K$20</c:f>
              <c:strCache>
                <c:ptCount val="1"/>
                <c:pt idx="0">
                  <c:v>PO en copropriété - total gestes isolation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rénovation'!$L$20:$AM$20</c:f>
              <c:numCache>
                <c:formatCode>0.0</c:formatCode>
                <c:ptCount val="28"/>
                <c:pt idx="0">
                  <c:v>0</c:v>
                </c:pt>
                <c:pt idx="1">
                  <c:v>66.858999999999995</c:v>
                </c:pt>
                <c:pt idx="2">
                  <c:v>69.528999999999996</c:v>
                </c:pt>
                <c:pt idx="3">
                  <c:v>68.545000000000002</c:v>
                </c:pt>
                <c:pt idx="4">
                  <c:v>71.629000000000005</c:v>
                </c:pt>
                <c:pt idx="5">
                  <c:v>68.87</c:v>
                </c:pt>
                <c:pt idx="6">
                  <c:v>72.831999999999994</c:v>
                </c:pt>
                <c:pt idx="7">
                  <c:v>73.492999999999995</c:v>
                </c:pt>
                <c:pt idx="8">
                  <c:v>70.084000000000003</c:v>
                </c:pt>
                <c:pt idx="9">
                  <c:v>66.671000000000006</c:v>
                </c:pt>
                <c:pt idx="10">
                  <c:v>63.5</c:v>
                </c:pt>
                <c:pt idx="11">
                  <c:v>60.5</c:v>
                </c:pt>
                <c:pt idx="12">
                  <c:v>57.697000000000003</c:v>
                </c:pt>
                <c:pt idx="13">
                  <c:v>85.98</c:v>
                </c:pt>
                <c:pt idx="14">
                  <c:v>80.191999999999993</c:v>
                </c:pt>
                <c:pt idx="15">
                  <c:v>78.143000000000001</c:v>
                </c:pt>
                <c:pt idx="16">
                  <c:v>72.691000000000003</c:v>
                </c:pt>
                <c:pt idx="17">
                  <c:v>142.85599999999999</c:v>
                </c:pt>
                <c:pt idx="18">
                  <c:v>88.088999999999999</c:v>
                </c:pt>
                <c:pt idx="19">
                  <c:v>81.698999999999998</c:v>
                </c:pt>
                <c:pt idx="20">
                  <c:v>75.69</c:v>
                </c:pt>
                <c:pt idx="21">
                  <c:v>70.771000000000001</c:v>
                </c:pt>
                <c:pt idx="22">
                  <c:v>66.355000000000004</c:v>
                </c:pt>
                <c:pt idx="23">
                  <c:v>62.029000000000003</c:v>
                </c:pt>
                <c:pt idx="24">
                  <c:v>57.92</c:v>
                </c:pt>
                <c:pt idx="25">
                  <c:v>54.031999999999996</c:v>
                </c:pt>
                <c:pt idx="26">
                  <c:v>52.097999999999999</c:v>
                </c:pt>
                <c:pt idx="27">
                  <c:v>51.326999999999998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0E-4A49-8949-22E5D23F743A}"/>
            </c:ext>
          </c:extLst>
        </c:ser>
        <c:ser>
          <c:idx val="1"/>
          <c:order val="5"/>
          <c:tx>
            <c:strRef>
              <c:f>'Gestes de rénovation'!$K$21</c:f>
              <c:strCache>
                <c:ptCount val="1"/>
                <c:pt idx="0">
                  <c:v>PB en copropriété - total gestes isolation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rénovation'!$L$21:$AM$21</c:f>
              <c:numCache>
                <c:formatCode>0.0</c:formatCode>
                <c:ptCount val="28"/>
                <c:pt idx="0">
                  <c:v>0</c:v>
                </c:pt>
                <c:pt idx="1">
                  <c:v>75.745999999999995</c:v>
                </c:pt>
                <c:pt idx="2">
                  <c:v>66.231999999999999</c:v>
                </c:pt>
                <c:pt idx="3">
                  <c:v>94.700999999999993</c:v>
                </c:pt>
                <c:pt idx="4">
                  <c:v>79.852999999999994</c:v>
                </c:pt>
                <c:pt idx="5">
                  <c:v>67.77</c:v>
                </c:pt>
                <c:pt idx="6">
                  <c:v>60.186</c:v>
                </c:pt>
                <c:pt idx="7">
                  <c:v>52.585999999999999</c:v>
                </c:pt>
                <c:pt idx="8">
                  <c:v>232.476</c:v>
                </c:pt>
                <c:pt idx="9">
                  <c:v>187.34299999999999</c:v>
                </c:pt>
                <c:pt idx="10">
                  <c:v>151.661</c:v>
                </c:pt>
                <c:pt idx="11">
                  <c:v>123.423</c:v>
                </c:pt>
                <c:pt idx="12">
                  <c:v>101.114</c:v>
                </c:pt>
                <c:pt idx="13">
                  <c:v>83.858999999999995</c:v>
                </c:pt>
                <c:pt idx="14">
                  <c:v>377.83499999999998</c:v>
                </c:pt>
                <c:pt idx="15">
                  <c:v>329.00200000000001</c:v>
                </c:pt>
                <c:pt idx="16">
                  <c:v>286.42099999999999</c:v>
                </c:pt>
                <c:pt idx="17">
                  <c:v>254.143</c:v>
                </c:pt>
                <c:pt idx="18">
                  <c:v>214.69200000000001</c:v>
                </c:pt>
                <c:pt idx="19">
                  <c:v>186.93100000000001</c:v>
                </c:pt>
                <c:pt idx="20">
                  <c:v>162.78700000000001</c:v>
                </c:pt>
                <c:pt idx="21">
                  <c:v>146.733</c:v>
                </c:pt>
                <c:pt idx="22">
                  <c:v>132.81800000000001</c:v>
                </c:pt>
                <c:pt idx="23">
                  <c:v>120.76</c:v>
                </c:pt>
                <c:pt idx="24">
                  <c:v>110.053</c:v>
                </c:pt>
                <c:pt idx="25">
                  <c:v>100.691</c:v>
                </c:pt>
                <c:pt idx="26">
                  <c:v>91.918999999999997</c:v>
                </c:pt>
                <c:pt idx="27">
                  <c:v>84.403999999999996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0E-4A49-8949-22E5D23F7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357904"/>
        <c:axId val="2026354160"/>
      </c:areaChart>
      <c:catAx>
        <c:axId val="2026357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6354160"/>
        <c:crosses val="autoZero"/>
        <c:auto val="1"/>
        <c:lblAlgn val="ctr"/>
        <c:lblOffset val="100"/>
        <c:noMultiLvlLbl val="0"/>
      </c:catAx>
      <c:valAx>
        <c:axId val="202635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6357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74621596418013103"/>
          <c:w val="1"/>
          <c:h val="0.12659288912488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 de gestes d'isolation</a:t>
            </a:r>
            <a:r>
              <a:rPr lang="fr-FR" baseline="0"/>
              <a:t> (milliers de ménages - double comptage)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1972723639670246E-2"/>
          <c:y val="0.11766114983666327"/>
          <c:w val="0.92629475044320664"/>
          <c:h val="0.73617957399061695"/>
        </c:manualLayout>
      </c:layout>
      <c:lineChart>
        <c:grouping val="standard"/>
        <c:varyColors val="0"/>
        <c:ser>
          <c:idx val="0"/>
          <c:order val="0"/>
          <c:tx>
            <c:strRef>
              <c:f>'Gestes de rénovation'!$J$38</c:f>
              <c:strCache>
                <c:ptCount val="1"/>
                <c:pt idx="0">
                  <c:v>Replacement Floor (Thousand households)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rénovation'!$L$38:$AM$38</c:f>
              <c:numCache>
                <c:formatCode>0.0</c:formatCode>
                <c:ptCount val="28"/>
                <c:pt idx="0">
                  <c:v>0</c:v>
                </c:pt>
                <c:pt idx="1">
                  <c:v>113.52800000000001</c:v>
                </c:pt>
                <c:pt idx="2">
                  <c:v>120.634</c:v>
                </c:pt>
                <c:pt idx="3">
                  <c:v>215.31299999999999</c:v>
                </c:pt>
                <c:pt idx="4">
                  <c:v>220.84399999999999</c:v>
                </c:pt>
                <c:pt idx="5">
                  <c:v>211.42400000000001</c:v>
                </c:pt>
                <c:pt idx="6">
                  <c:v>214.959</c:v>
                </c:pt>
                <c:pt idx="7">
                  <c:v>213.465</c:v>
                </c:pt>
                <c:pt idx="8">
                  <c:v>274.608</c:v>
                </c:pt>
                <c:pt idx="9">
                  <c:v>240.607</c:v>
                </c:pt>
                <c:pt idx="10">
                  <c:v>219.11099999999999</c:v>
                </c:pt>
                <c:pt idx="11">
                  <c:v>207.06100000000001</c:v>
                </c:pt>
                <c:pt idx="12">
                  <c:v>190.958</c:v>
                </c:pt>
                <c:pt idx="13">
                  <c:v>184.92599999999999</c:v>
                </c:pt>
                <c:pt idx="14">
                  <c:v>259.26600000000002</c:v>
                </c:pt>
                <c:pt idx="15">
                  <c:v>249.678</c:v>
                </c:pt>
                <c:pt idx="16">
                  <c:v>235.97900000000001</c:v>
                </c:pt>
                <c:pt idx="17">
                  <c:v>312.221</c:v>
                </c:pt>
                <c:pt idx="18">
                  <c:v>230.09800000000001</c:v>
                </c:pt>
                <c:pt idx="19">
                  <c:v>215.679</c:v>
                </c:pt>
                <c:pt idx="20">
                  <c:v>189.04400000000001</c:v>
                </c:pt>
                <c:pt idx="21">
                  <c:v>185.727</c:v>
                </c:pt>
                <c:pt idx="22">
                  <c:v>174.38399999999999</c:v>
                </c:pt>
                <c:pt idx="23">
                  <c:v>164.523</c:v>
                </c:pt>
                <c:pt idx="24">
                  <c:v>155.01900000000001</c:v>
                </c:pt>
                <c:pt idx="25">
                  <c:v>146.49600000000001</c:v>
                </c:pt>
                <c:pt idx="26">
                  <c:v>139.023</c:v>
                </c:pt>
                <c:pt idx="27">
                  <c:v>136.70099999999999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FE-4507-9E6B-F2F1C63394DF}"/>
            </c:ext>
          </c:extLst>
        </c:ser>
        <c:ser>
          <c:idx val="1"/>
          <c:order val="1"/>
          <c:tx>
            <c:strRef>
              <c:f>'Gestes de rénovation'!$J$39</c:f>
              <c:strCache>
                <c:ptCount val="1"/>
                <c:pt idx="0">
                  <c:v>Replacement Roof (Thousand households)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rénovation'!$L$39:$AM$39</c:f>
              <c:numCache>
                <c:formatCode>0.0</c:formatCode>
                <c:ptCount val="28"/>
                <c:pt idx="0">
                  <c:v>0</c:v>
                </c:pt>
                <c:pt idx="1">
                  <c:v>495.41500000000002</c:v>
                </c:pt>
                <c:pt idx="2">
                  <c:v>522.79700000000003</c:v>
                </c:pt>
                <c:pt idx="3">
                  <c:v>703.63300000000004</c:v>
                </c:pt>
                <c:pt idx="4">
                  <c:v>720.73299999999995</c:v>
                </c:pt>
                <c:pt idx="5">
                  <c:v>713.91200000000003</c:v>
                </c:pt>
                <c:pt idx="6">
                  <c:v>718.63199999999995</c:v>
                </c:pt>
                <c:pt idx="7">
                  <c:v>707.48</c:v>
                </c:pt>
                <c:pt idx="8">
                  <c:v>857.12099999999998</c:v>
                </c:pt>
                <c:pt idx="9">
                  <c:v>777.68299999999999</c:v>
                </c:pt>
                <c:pt idx="10">
                  <c:v>738.94899999999996</c:v>
                </c:pt>
                <c:pt idx="11">
                  <c:v>737.05399999999997</c:v>
                </c:pt>
                <c:pt idx="12">
                  <c:v>709.07100000000003</c:v>
                </c:pt>
                <c:pt idx="13">
                  <c:v>685</c:v>
                </c:pt>
                <c:pt idx="14">
                  <c:v>975.255</c:v>
                </c:pt>
                <c:pt idx="15">
                  <c:v>928.99400000000003</c:v>
                </c:pt>
                <c:pt idx="16">
                  <c:v>904.53</c:v>
                </c:pt>
                <c:pt idx="17">
                  <c:v>1045.701</c:v>
                </c:pt>
                <c:pt idx="18">
                  <c:v>933.21699999999998</c:v>
                </c:pt>
                <c:pt idx="19">
                  <c:v>888.90499999999997</c:v>
                </c:pt>
                <c:pt idx="20">
                  <c:v>796.20399999999995</c:v>
                </c:pt>
                <c:pt idx="21">
                  <c:v>794.21100000000001</c:v>
                </c:pt>
                <c:pt idx="22">
                  <c:v>753.21199999999999</c:v>
                </c:pt>
                <c:pt idx="23">
                  <c:v>717.15099999999995</c:v>
                </c:pt>
                <c:pt idx="24">
                  <c:v>682.95699999999999</c:v>
                </c:pt>
                <c:pt idx="25">
                  <c:v>651.81799999999998</c:v>
                </c:pt>
                <c:pt idx="26">
                  <c:v>622.43899999999996</c:v>
                </c:pt>
                <c:pt idx="27">
                  <c:v>597.66899999999998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FE-4507-9E6B-F2F1C63394DF}"/>
            </c:ext>
          </c:extLst>
        </c:ser>
        <c:ser>
          <c:idx val="2"/>
          <c:order val="2"/>
          <c:tx>
            <c:strRef>
              <c:f>'Gestes de rénovation'!$J$40</c:f>
              <c:strCache>
                <c:ptCount val="1"/>
                <c:pt idx="0">
                  <c:v>Replacement Wall (Thousand households)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rénovation'!$L$40:$AM$40</c:f>
              <c:numCache>
                <c:formatCode>0.0</c:formatCode>
                <c:ptCount val="28"/>
                <c:pt idx="0">
                  <c:v>0</c:v>
                </c:pt>
                <c:pt idx="1">
                  <c:v>189.63399999999999</c:v>
                </c:pt>
                <c:pt idx="2">
                  <c:v>184.39099999999999</c:v>
                </c:pt>
                <c:pt idx="3">
                  <c:v>428.92</c:v>
                </c:pt>
                <c:pt idx="4">
                  <c:v>422.29599999999999</c:v>
                </c:pt>
                <c:pt idx="5">
                  <c:v>373.53899999999999</c:v>
                </c:pt>
                <c:pt idx="6">
                  <c:v>378.14</c:v>
                </c:pt>
                <c:pt idx="7">
                  <c:v>368.33499999999998</c:v>
                </c:pt>
                <c:pt idx="8">
                  <c:v>435.01799999999997</c:v>
                </c:pt>
                <c:pt idx="9">
                  <c:v>367.67399999999998</c:v>
                </c:pt>
                <c:pt idx="10">
                  <c:v>320.24099999999999</c:v>
                </c:pt>
                <c:pt idx="11">
                  <c:v>285.94499999999999</c:v>
                </c:pt>
                <c:pt idx="12">
                  <c:v>252.084</c:v>
                </c:pt>
                <c:pt idx="13">
                  <c:v>241.506</c:v>
                </c:pt>
                <c:pt idx="14">
                  <c:v>311.952</c:v>
                </c:pt>
                <c:pt idx="15">
                  <c:v>303.28300000000002</c:v>
                </c:pt>
                <c:pt idx="16">
                  <c:v>279.56400000000002</c:v>
                </c:pt>
                <c:pt idx="17">
                  <c:v>398.86599999999999</c:v>
                </c:pt>
                <c:pt idx="18">
                  <c:v>255.59100000000001</c:v>
                </c:pt>
                <c:pt idx="19">
                  <c:v>236.244</c:v>
                </c:pt>
                <c:pt idx="20">
                  <c:v>202.80199999999999</c:v>
                </c:pt>
                <c:pt idx="21">
                  <c:v>196.114</c:v>
                </c:pt>
                <c:pt idx="22">
                  <c:v>182.20400000000001</c:v>
                </c:pt>
                <c:pt idx="23">
                  <c:v>170.08199999999999</c:v>
                </c:pt>
                <c:pt idx="24">
                  <c:v>158.47800000000001</c:v>
                </c:pt>
                <c:pt idx="25">
                  <c:v>148.21299999999999</c:v>
                </c:pt>
                <c:pt idx="26">
                  <c:v>139.86199999999999</c:v>
                </c:pt>
                <c:pt idx="27">
                  <c:v>139.87299999999999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FE-4507-9E6B-F2F1C63394DF}"/>
            </c:ext>
          </c:extLst>
        </c:ser>
        <c:ser>
          <c:idx val="3"/>
          <c:order val="3"/>
          <c:tx>
            <c:strRef>
              <c:f>'Gestes de rénovation'!$J$41</c:f>
              <c:strCache>
                <c:ptCount val="1"/>
                <c:pt idx="0">
                  <c:v>Replacement Windows (Thousand households)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rénovation'!$L$41:$AM$41</c:f>
              <c:numCache>
                <c:formatCode>0.0</c:formatCode>
                <c:ptCount val="28"/>
                <c:pt idx="0">
                  <c:v>0</c:v>
                </c:pt>
                <c:pt idx="1">
                  <c:v>113.514</c:v>
                </c:pt>
                <c:pt idx="2">
                  <c:v>126.04600000000001</c:v>
                </c:pt>
                <c:pt idx="3">
                  <c:v>209.149</c:v>
                </c:pt>
                <c:pt idx="4">
                  <c:v>217.08199999999999</c:v>
                </c:pt>
                <c:pt idx="5">
                  <c:v>208.45699999999999</c:v>
                </c:pt>
                <c:pt idx="6">
                  <c:v>211.834</c:v>
                </c:pt>
                <c:pt idx="7">
                  <c:v>214.60499999999999</c:v>
                </c:pt>
                <c:pt idx="8">
                  <c:v>278.738</c:v>
                </c:pt>
                <c:pt idx="9">
                  <c:v>248.04499999999999</c:v>
                </c:pt>
                <c:pt idx="10">
                  <c:v>230.17599999999999</c:v>
                </c:pt>
                <c:pt idx="11">
                  <c:v>222.75299999999999</c:v>
                </c:pt>
                <c:pt idx="12">
                  <c:v>208.80600000000001</c:v>
                </c:pt>
                <c:pt idx="13">
                  <c:v>202.65799999999999</c:v>
                </c:pt>
                <c:pt idx="14">
                  <c:v>291.7</c:v>
                </c:pt>
                <c:pt idx="15">
                  <c:v>280.33800000000002</c:v>
                </c:pt>
                <c:pt idx="16">
                  <c:v>267.12700000000001</c:v>
                </c:pt>
                <c:pt idx="17">
                  <c:v>345.52199999999999</c:v>
                </c:pt>
                <c:pt idx="18">
                  <c:v>267.02499999999998</c:v>
                </c:pt>
                <c:pt idx="19">
                  <c:v>251.32300000000001</c:v>
                </c:pt>
                <c:pt idx="20">
                  <c:v>221.17500000000001</c:v>
                </c:pt>
                <c:pt idx="21">
                  <c:v>218.21199999999999</c:v>
                </c:pt>
                <c:pt idx="22">
                  <c:v>205.56899999999999</c:v>
                </c:pt>
                <c:pt idx="23">
                  <c:v>194.56200000000001</c:v>
                </c:pt>
                <c:pt idx="24">
                  <c:v>183.911</c:v>
                </c:pt>
                <c:pt idx="25">
                  <c:v>174.34</c:v>
                </c:pt>
                <c:pt idx="26">
                  <c:v>165.65899999999999</c:v>
                </c:pt>
                <c:pt idx="27">
                  <c:v>162.69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FE-4507-9E6B-F2F1C6339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924208"/>
        <c:axId val="161913392"/>
      </c:lineChart>
      <c:catAx>
        <c:axId val="16192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913392"/>
        <c:crosses val="autoZero"/>
        <c:auto val="1"/>
        <c:lblAlgn val="ctr"/>
        <c:lblOffset val="100"/>
        <c:noMultiLvlLbl val="0"/>
      </c:catAx>
      <c:valAx>
        <c:axId val="16191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92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Rénovations</a:t>
            </a:r>
            <a:r>
              <a:rPr lang="fr-FR" baseline="0"/>
              <a:t> issues d'une obligation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ndard"/>
        <c:varyColors val="0"/>
        <c:ser>
          <c:idx val="1"/>
          <c:order val="0"/>
          <c:tx>
            <c:strRef>
              <c:f>'Gestes de rénovation'!$J$54</c:f>
              <c:strCache>
                <c:ptCount val="1"/>
                <c:pt idx="0">
                  <c:v>Renovation Obligation pb (Thousand households)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rénovation'!$L$54:$AM$54</c:f>
              <c:numCache>
                <c:formatCode>0.0</c:formatCode>
                <c:ptCount val="28"/>
                <c:pt idx="0">
                  <c:v>0</c:v>
                </c:pt>
                <c:pt idx="1">
                  <c:v>68.069999999999993</c:v>
                </c:pt>
                <c:pt idx="2">
                  <c:v>51.283000000000001</c:v>
                </c:pt>
                <c:pt idx="3">
                  <c:v>129.36099999999999</c:v>
                </c:pt>
                <c:pt idx="4">
                  <c:v>97.164000000000001</c:v>
                </c:pt>
                <c:pt idx="5">
                  <c:v>72.704999999999998</c:v>
                </c:pt>
                <c:pt idx="6">
                  <c:v>53.692</c:v>
                </c:pt>
                <c:pt idx="7">
                  <c:v>39.497</c:v>
                </c:pt>
                <c:pt idx="8">
                  <c:v>246.13499999999999</c:v>
                </c:pt>
                <c:pt idx="9">
                  <c:v>189.61799999999999</c:v>
                </c:pt>
                <c:pt idx="10">
                  <c:v>145.54300000000001</c:v>
                </c:pt>
                <c:pt idx="11">
                  <c:v>111.23099999999999</c:v>
                </c:pt>
                <c:pt idx="12">
                  <c:v>84.584999999999994</c:v>
                </c:pt>
                <c:pt idx="13">
                  <c:v>65.194999999999993</c:v>
                </c:pt>
                <c:pt idx="14">
                  <c:v>494.72899999999998</c:v>
                </c:pt>
                <c:pt idx="15">
                  <c:v>432.233</c:v>
                </c:pt>
                <c:pt idx="16">
                  <c:v>378.096</c:v>
                </c:pt>
                <c:pt idx="17">
                  <c:v>329.22300000000001</c:v>
                </c:pt>
                <c:pt idx="18">
                  <c:v>284.28300000000002</c:v>
                </c:pt>
                <c:pt idx="19">
                  <c:v>247.422</c:v>
                </c:pt>
                <c:pt idx="20">
                  <c:v>214.99100000000001</c:v>
                </c:pt>
                <c:pt idx="21">
                  <c:v>194.50800000000001</c:v>
                </c:pt>
                <c:pt idx="22">
                  <c:v>176.35900000000001</c:v>
                </c:pt>
                <c:pt idx="23">
                  <c:v>160.34700000000001</c:v>
                </c:pt>
                <c:pt idx="24">
                  <c:v>146.04599999999999</c:v>
                </c:pt>
                <c:pt idx="25">
                  <c:v>133.38300000000001</c:v>
                </c:pt>
                <c:pt idx="26">
                  <c:v>121.029</c:v>
                </c:pt>
                <c:pt idx="27">
                  <c:v>109.84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80-4DB4-A82A-FD94AF40AD4F}"/>
            </c:ext>
          </c:extLst>
        </c:ser>
        <c:ser>
          <c:idx val="0"/>
          <c:order val="1"/>
          <c:tx>
            <c:strRef>
              <c:f>'Gestes de rénovation'!$J$55</c:f>
              <c:strCache>
                <c:ptCount val="1"/>
                <c:pt idx="0">
                  <c:v>Renovation Obligation po (Thousand households)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rénovation'!$L$55:$AM$55</c:f>
              <c:numCache>
                <c:formatCode>0.0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17.899000000000001</c:v>
                </c:pt>
                <c:pt idx="4">
                  <c:v>13.1</c:v>
                </c:pt>
                <c:pt idx="5">
                  <c:v>8.9789999999999992</c:v>
                </c:pt>
                <c:pt idx="6">
                  <c:v>47.154000000000003</c:v>
                </c:pt>
                <c:pt idx="7">
                  <c:v>37.749000000000002</c:v>
                </c:pt>
                <c:pt idx="8">
                  <c:v>30.216000000000001</c:v>
                </c:pt>
                <c:pt idx="9">
                  <c:v>24.154</c:v>
                </c:pt>
                <c:pt idx="10">
                  <c:v>19.253</c:v>
                </c:pt>
                <c:pt idx="11">
                  <c:v>15.272</c:v>
                </c:pt>
                <c:pt idx="12">
                  <c:v>53.796999999999997</c:v>
                </c:pt>
                <c:pt idx="13">
                  <c:v>46.652999999999999</c:v>
                </c:pt>
                <c:pt idx="14">
                  <c:v>40.023000000000003</c:v>
                </c:pt>
                <c:pt idx="15">
                  <c:v>34.293999999999997</c:v>
                </c:pt>
                <c:pt idx="16">
                  <c:v>199.19200000000001</c:v>
                </c:pt>
                <c:pt idx="17">
                  <c:v>183.83699999999999</c:v>
                </c:pt>
                <c:pt idx="18">
                  <c:v>169.59899999999999</c:v>
                </c:pt>
                <c:pt idx="19">
                  <c:v>156.511</c:v>
                </c:pt>
                <c:pt idx="20">
                  <c:v>148.178</c:v>
                </c:pt>
                <c:pt idx="21">
                  <c:v>140.54900000000001</c:v>
                </c:pt>
                <c:pt idx="22">
                  <c:v>132.82499999999999</c:v>
                </c:pt>
                <c:pt idx="23">
                  <c:v>125.78400000000001</c:v>
                </c:pt>
                <c:pt idx="24">
                  <c:v>118.99</c:v>
                </c:pt>
                <c:pt idx="25">
                  <c:v>112.75700000000001</c:v>
                </c:pt>
                <c:pt idx="26">
                  <c:v>106.438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80-4DB4-A82A-FD94AF40A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330032"/>
        <c:axId val="388330864"/>
      </c:areaChart>
      <c:catAx>
        <c:axId val="388330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330864"/>
        <c:crosses val="autoZero"/>
        <c:auto val="1"/>
        <c:lblAlgn val="ctr"/>
        <c:lblOffset val="100"/>
        <c:noMultiLvlLbl val="0"/>
      </c:catAx>
      <c:valAx>
        <c:axId val="38833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330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Rénovations</a:t>
            </a:r>
            <a:r>
              <a:rPr lang="fr-FR" baseline="0"/>
              <a:t> performantes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'Gestes de rénovation'!$K$74</c:f>
              <c:strCache>
                <c:ptCount val="1"/>
                <c:pt idx="0">
                  <c:v>Changement de chauffage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rénovation'!$L$74:$AM$74</c:f>
              <c:numCache>
                <c:formatCode>0.0</c:formatCode>
                <c:ptCount val="28"/>
                <c:pt idx="0">
                  <c:v>0</c:v>
                </c:pt>
                <c:pt idx="1">
                  <c:v>315.31</c:v>
                </c:pt>
                <c:pt idx="2">
                  <c:v>337.67500000000001</c:v>
                </c:pt>
                <c:pt idx="3">
                  <c:v>332.84399999999999</c:v>
                </c:pt>
                <c:pt idx="4">
                  <c:v>356.38499999999999</c:v>
                </c:pt>
                <c:pt idx="5">
                  <c:v>354.32299999999998</c:v>
                </c:pt>
                <c:pt idx="6">
                  <c:v>353.54199999999997</c:v>
                </c:pt>
                <c:pt idx="7">
                  <c:v>357.76</c:v>
                </c:pt>
                <c:pt idx="8">
                  <c:v>388.072</c:v>
                </c:pt>
                <c:pt idx="9">
                  <c:v>399.16500000000002</c:v>
                </c:pt>
                <c:pt idx="10">
                  <c:v>419.387</c:v>
                </c:pt>
                <c:pt idx="11">
                  <c:v>436.56</c:v>
                </c:pt>
                <c:pt idx="12">
                  <c:v>452.97800000000001</c:v>
                </c:pt>
                <c:pt idx="13">
                  <c:v>381.04399999999998</c:v>
                </c:pt>
                <c:pt idx="14">
                  <c:v>387.76499999999999</c:v>
                </c:pt>
                <c:pt idx="15">
                  <c:v>395.803</c:v>
                </c:pt>
                <c:pt idx="16">
                  <c:v>366.923</c:v>
                </c:pt>
                <c:pt idx="17">
                  <c:v>379.178</c:v>
                </c:pt>
                <c:pt idx="18">
                  <c:v>359.62799999999999</c:v>
                </c:pt>
                <c:pt idx="19">
                  <c:v>361.25700000000001</c:v>
                </c:pt>
                <c:pt idx="20">
                  <c:v>348.22899999999998</c:v>
                </c:pt>
                <c:pt idx="21">
                  <c:v>163.79499999999999</c:v>
                </c:pt>
                <c:pt idx="22">
                  <c:v>152.22499999999999</c:v>
                </c:pt>
                <c:pt idx="23">
                  <c:v>160.76499999999999</c:v>
                </c:pt>
                <c:pt idx="24">
                  <c:v>148.43299999999999</c:v>
                </c:pt>
                <c:pt idx="25">
                  <c:v>145.57400000000001</c:v>
                </c:pt>
                <c:pt idx="26">
                  <c:v>142.322</c:v>
                </c:pt>
                <c:pt idx="27">
                  <c:v>137.53200000000001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E7-4F33-8B99-D7F748B4600B}"/>
            </c:ext>
          </c:extLst>
        </c:ser>
        <c:ser>
          <c:idx val="1"/>
          <c:order val="1"/>
          <c:tx>
            <c:strRef>
              <c:f>'Gestes de rénovation'!$K$75</c:f>
              <c:strCache>
                <c:ptCount val="1"/>
                <c:pt idx="0">
                  <c:v>Isolation + changement de chauffage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rénovation'!$L$75:$AM$75</c:f>
              <c:numCache>
                <c:formatCode>0.0</c:formatCode>
                <c:ptCount val="28"/>
                <c:pt idx="0">
                  <c:v>0</c:v>
                </c:pt>
                <c:pt idx="1">
                  <c:v>40.546999999999997</c:v>
                </c:pt>
                <c:pt idx="2">
                  <c:v>47.515999999999998</c:v>
                </c:pt>
                <c:pt idx="3">
                  <c:v>111.712</c:v>
                </c:pt>
                <c:pt idx="4">
                  <c:v>121.60599999999999</c:v>
                </c:pt>
                <c:pt idx="5">
                  <c:v>120.255</c:v>
                </c:pt>
                <c:pt idx="6">
                  <c:v>138.26499999999999</c:v>
                </c:pt>
                <c:pt idx="7">
                  <c:v>136.68600000000001</c:v>
                </c:pt>
                <c:pt idx="8">
                  <c:v>132.37799999999999</c:v>
                </c:pt>
                <c:pt idx="9">
                  <c:v>125.58199999999999</c:v>
                </c:pt>
                <c:pt idx="10">
                  <c:v>126.702</c:v>
                </c:pt>
                <c:pt idx="11">
                  <c:v>132.35300000000001</c:v>
                </c:pt>
                <c:pt idx="12">
                  <c:v>136.12100000000001</c:v>
                </c:pt>
                <c:pt idx="13">
                  <c:v>124.20099999999999</c:v>
                </c:pt>
                <c:pt idx="14">
                  <c:v>119.652</c:v>
                </c:pt>
                <c:pt idx="15">
                  <c:v>133.774</c:v>
                </c:pt>
                <c:pt idx="16">
                  <c:v>140.233</c:v>
                </c:pt>
                <c:pt idx="17">
                  <c:v>148.46299999999999</c:v>
                </c:pt>
                <c:pt idx="18">
                  <c:v>138.63499999999999</c:v>
                </c:pt>
                <c:pt idx="19">
                  <c:v>137.68799999999999</c:v>
                </c:pt>
                <c:pt idx="20">
                  <c:v>126.857</c:v>
                </c:pt>
                <c:pt idx="21">
                  <c:v>123.523</c:v>
                </c:pt>
                <c:pt idx="22">
                  <c:v>115.833</c:v>
                </c:pt>
                <c:pt idx="23">
                  <c:v>111.00700000000001</c:v>
                </c:pt>
                <c:pt idx="24">
                  <c:v>104.819</c:v>
                </c:pt>
                <c:pt idx="25">
                  <c:v>100.09</c:v>
                </c:pt>
                <c:pt idx="26">
                  <c:v>95.98</c:v>
                </c:pt>
                <c:pt idx="27">
                  <c:v>96.983000000000004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E7-4F33-8B99-D7F748B4600B}"/>
            </c:ext>
          </c:extLst>
        </c:ser>
        <c:ser>
          <c:idx val="2"/>
          <c:order val="2"/>
          <c:tx>
            <c:strRef>
              <c:f>'Gestes de rénovation'!$K$76</c:f>
              <c:strCache>
                <c:ptCount val="1"/>
                <c:pt idx="0">
                  <c:v>Rénovations performantes par obligation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rénovation'!$L$76:$AM$76</c:f>
              <c:numCache>
                <c:formatCode>0.0</c:formatCode>
                <c:ptCount val="28"/>
                <c:pt idx="0">
                  <c:v>0</c:v>
                </c:pt>
                <c:pt idx="1">
                  <c:v>33.993000000000002</c:v>
                </c:pt>
                <c:pt idx="2">
                  <c:v>27.27</c:v>
                </c:pt>
                <c:pt idx="3">
                  <c:v>72.534999999999997</c:v>
                </c:pt>
                <c:pt idx="4">
                  <c:v>55.558</c:v>
                </c:pt>
                <c:pt idx="5">
                  <c:v>42.328000000000003</c:v>
                </c:pt>
                <c:pt idx="6">
                  <c:v>32.302</c:v>
                </c:pt>
                <c:pt idx="7">
                  <c:v>24.152000000000001</c:v>
                </c:pt>
                <c:pt idx="8">
                  <c:v>27.1</c:v>
                </c:pt>
                <c:pt idx="9">
                  <c:v>21.783000000000001</c:v>
                </c:pt>
                <c:pt idx="10">
                  <c:v>17.404</c:v>
                </c:pt>
                <c:pt idx="11">
                  <c:v>13.802</c:v>
                </c:pt>
                <c:pt idx="12">
                  <c:v>10.872</c:v>
                </c:pt>
                <c:pt idx="13">
                  <c:v>8.5809999999999995</c:v>
                </c:pt>
                <c:pt idx="14">
                  <c:v>33.451000000000001</c:v>
                </c:pt>
                <c:pt idx="15">
                  <c:v>32.264000000000003</c:v>
                </c:pt>
                <c:pt idx="16">
                  <c:v>29.398</c:v>
                </c:pt>
                <c:pt idx="17">
                  <c:v>26.614999999999998</c:v>
                </c:pt>
                <c:pt idx="18">
                  <c:v>24.245000000000001</c:v>
                </c:pt>
                <c:pt idx="19">
                  <c:v>22.122</c:v>
                </c:pt>
                <c:pt idx="20">
                  <c:v>20.202999999999999</c:v>
                </c:pt>
                <c:pt idx="21">
                  <c:v>18.512</c:v>
                </c:pt>
                <c:pt idx="22">
                  <c:v>16.965</c:v>
                </c:pt>
                <c:pt idx="23">
                  <c:v>15.573</c:v>
                </c:pt>
                <c:pt idx="24">
                  <c:v>14.295999999999999</c:v>
                </c:pt>
                <c:pt idx="25">
                  <c:v>13.132</c:v>
                </c:pt>
                <c:pt idx="26">
                  <c:v>11.987</c:v>
                </c:pt>
                <c:pt idx="27">
                  <c:v>11.454000000000001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E7-4F33-8B99-D7F748B46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0180000"/>
        <c:axId val="2050159616"/>
      </c:areaChart>
      <c:lineChart>
        <c:grouping val="standard"/>
        <c:varyColors val="0"/>
        <c:ser>
          <c:idx val="3"/>
          <c:order val="3"/>
          <c:tx>
            <c:strRef>
              <c:f>'Gestes de rénovation'!$J$73</c:f>
              <c:strCache>
                <c:ptCount val="1"/>
                <c:pt idx="0">
                  <c:v>Total rénovations performantes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rénovation'!$L$73:$AM$73</c:f>
              <c:numCache>
                <c:formatCode>0.0</c:formatCode>
                <c:ptCount val="28"/>
                <c:pt idx="0">
                  <c:v>0</c:v>
                </c:pt>
                <c:pt idx="1">
                  <c:v>389.84999999999997</c:v>
                </c:pt>
                <c:pt idx="2">
                  <c:v>412.46100000000001</c:v>
                </c:pt>
                <c:pt idx="3">
                  <c:v>517.09100000000001</c:v>
                </c:pt>
                <c:pt idx="4">
                  <c:v>533.54899999999998</c:v>
                </c:pt>
                <c:pt idx="5">
                  <c:v>516.90599999999995</c:v>
                </c:pt>
                <c:pt idx="6">
                  <c:v>524.10899999999992</c:v>
                </c:pt>
                <c:pt idx="7">
                  <c:v>518.59800000000007</c:v>
                </c:pt>
                <c:pt idx="8">
                  <c:v>547.55000000000007</c:v>
                </c:pt>
                <c:pt idx="9">
                  <c:v>546.53000000000009</c:v>
                </c:pt>
                <c:pt idx="10">
                  <c:v>563.49299999999994</c:v>
                </c:pt>
                <c:pt idx="11">
                  <c:v>582.71500000000003</c:v>
                </c:pt>
                <c:pt idx="12">
                  <c:v>599.971</c:v>
                </c:pt>
                <c:pt idx="13">
                  <c:v>513.82600000000002</c:v>
                </c:pt>
                <c:pt idx="14">
                  <c:v>540.86799999999994</c:v>
                </c:pt>
                <c:pt idx="15">
                  <c:v>561.84100000000001</c:v>
                </c:pt>
                <c:pt idx="16">
                  <c:v>536.55399999999997</c:v>
                </c:pt>
                <c:pt idx="17">
                  <c:v>554.25599999999997</c:v>
                </c:pt>
                <c:pt idx="18">
                  <c:v>522.50799999999992</c:v>
                </c:pt>
                <c:pt idx="19">
                  <c:v>521.06700000000001</c:v>
                </c:pt>
                <c:pt idx="20">
                  <c:v>495.28899999999999</c:v>
                </c:pt>
                <c:pt idx="21">
                  <c:v>305.83</c:v>
                </c:pt>
                <c:pt idx="22">
                  <c:v>285.02299999999997</c:v>
                </c:pt>
                <c:pt idx="23">
                  <c:v>287.34499999999997</c:v>
                </c:pt>
                <c:pt idx="24">
                  <c:v>267.548</c:v>
                </c:pt>
                <c:pt idx="25">
                  <c:v>258.79599999999999</c:v>
                </c:pt>
                <c:pt idx="26">
                  <c:v>250.28900000000002</c:v>
                </c:pt>
                <c:pt idx="27">
                  <c:v>245.96900000000002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E7-4F33-8B99-D7F748B46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0180000"/>
        <c:axId val="2050159616"/>
      </c:lineChart>
      <c:catAx>
        <c:axId val="20501800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0159616"/>
        <c:crosses val="autoZero"/>
        <c:auto val="1"/>
        <c:lblAlgn val="ctr"/>
        <c:lblOffset val="100"/>
        <c:tickLblSkip val="2"/>
        <c:noMultiLvlLbl val="0"/>
      </c:catAx>
      <c:valAx>
        <c:axId val="205015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0180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 de</a:t>
            </a:r>
            <a:r>
              <a:rPr lang="fr-FR" baseline="0"/>
              <a:t> ménages aidés par type d'aide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Aides!$K$59</c:f>
              <c:strCache>
                <c:ptCount val="1"/>
                <c:pt idx="0">
                  <c:v>MPR efficacité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Aides!$O$1:$AM$1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Aides!$O$59:$AM$59</c:f>
              <c:numCache>
                <c:formatCode>0.0</c:formatCode>
                <c:ptCount val="25"/>
                <c:pt idx="0">
                  <c:v>977.14</c:v>
                </c:pt>
                <c:pt idx="1">
                  <c:v>976.49300000000005</c:v>
                </c:pt>
                <c:pt idx="2">
                  <c:v>973.71199999999999</c:v>
                </c:pt>
                <c:pt idx="3">
                  <c:v>973.35599999999999</c:v>
                </c:pt>
                <c:pt idx="4">
                  <c:v>973.11500000000001</c:v>
                </c:pt>
                <c:pt idx="5">
                  <c:v>975.20899999999995</c:v>
                </c:pt>
                <c:pt idx="6">
                  <c:v>975.18799999999999</c:v>
                </c:pt>
                <c:pt idx="7">
                  <c:v>976.89200000000005</c:v>
                </c:pt>
                <c:pt idx="8">
                  <c:v>977.73</c:v>
                </c:pt>
                <c:pt idx="9">
                  <c:v>978.00199999999995</c:v>
                </c:pt>
                <c:pt idx="10">
                  <c:v>806.43200000000002</c:v>
                </c:pt>
                <c:pt idx="11">
                  <c:v>803.976</c:v>
                </c:pt>
                <c:pt idx="12">
                  <c:v>800.25699999999995</c:v>
                </c:pt>
                <c:pt idx="13">
                  <c:v>715.78399999999999</c:v>
                </c:pt>
                <c:pt idx="14">
                  <c:v>739.173</c:v>
                </c:pt>
                <c:pt idx="15">
                  <c:v>671.23299999999995</c:v>
                </c:pt>
                <c:pt idx="16">
                  <c:v>666.77599999999995</c:v>
                </c:pt>
                <c:pt idx="17">
                  <c:v>624.11199999999997</c:v>
                </c:pt>
                <c:pt idx="18">
                  <c:v>827.428</c:v>
                </c:pt>
                <c:pt idx="19">
                  <c:v>783.41</c:v>
                </c:pt>
                <c:pt idx="20">
                  <c:v>862.803</c:v>
                </c:pt>
                <c:pt idx="21">
                  <c:v>833.43600000000004</c:v>
                </c:pt>
                <c:pt idx="22">
                  <c:v>846.93100000000004</c:v>
                </c:pt>
                <c:pt idx="23">
                  <c:v>865.37699999999995</c:v>
                </c:pt>
                <c:pt idx="24">
                  <c:v>879.62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24-43B4-86AC-841F098DA42E}"/>
            </c:ext>
          </c:extLst>
        </c:ser>
        <c:ser>
          <c:idx val="2"/>
          <c:order val="1"/>
          <c:tx>
            <c:strRef>
              <c:f>Aides!$K$62</c:f>
              <c:strCache>
                <c:ptCount val="1"/>
                <c:pt idx="0">
                  <c:v>MPR Performance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Aides!$O$1:$AM$1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Aides!$O$62:$AM$62</c:f>
              <c:numCache>
                <c:formatCode>0.0</c:formatCode>
                <c:ptCount val="25"/>
                <c:pt idx="0">
                  <c:v>422.05700000000002</c:v>
                </c:pt>
                <c:pt idx="1">
                  <c:v>407.67700000000002</c:v>
                </c:pt>
                <c:pt idx="2">
                  <c:v>354.31400000000002</c:v>
                </c:pt>
                <c:pt idx="3">
                  <c:v>351.43799999999999</c:v>
                </c:pt>
                <c:pt idx="4">
                  <c:v>341.28500000000003</c:v>
                </c:pt>
                <c:pt idx="5">
                  <c:v>316.37099999999998</c:v>
                </c:pt>
                <c:pt idx="6">
                  <c:v>275.822</c:v>
                </c:pt>
                <c:pt idx="7">
                  <c:v>246.40100000000001</c:v>
                </c:pt>
                <c:pt idx="8">
                  <c:v>217.67</c:v>
                </c:pt>
                <c:pt idx="9">
                  <c:v>188.71</c:v>
                </c:pt>
                <c:pt idx="10">
                  <c:v>175.958</c:v>
                </c:pt>
                <c:pt idx="11">
                  <c:v>194.03399999999999</c:v>
                </c:pt>
                <c:pt idx="12">
                  <c:v>187.541</c:v>
                </c:pt>
                <c:pt idx="13">
                  <c:v>171.00700000000001</c:v>
                </c:pt>
                <c:pt idx="14">
                  <c:v>223.63</c:v>
                </c:pt>
                <c:pt idx="15">
                  <c:v>199.06899999999999</c:v>
                </c:pt>
                <c:pt idx="16">
                  <c:v>187.71299999999999</c:v>
                </c:pt>
                <c:pt idx="17">
                  <c:v>173.07</c:v>
                </c:pt>
                <c:pt idx="18">
                  <c:v>161.67400000000001</c:v>
                </c:pt>
                <c:pt idx="19">
                  <c:v>153.71799999999999</c:v>
                </c:pt>
                <c:pt idx="20">
                  <c:v>147.59399999999999</c:v>
                </c:pt>
                <c:pt idx="21">
                  <c:v>140.761</c:v>
                </c:pt>
                <c:pt idx="22">
                  <c:v>134.89099999999999</c:v>
                </c:pt>
                <c:pt idx="23">
                  <c:v>129.435</c:v>
                </c:pt>
                <c:pt idx="24">
                  <c:v>127.622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24-43B4-86AC-841F098DA42E}"/>
            </c:ext>
          </c:extLst>
        </c:ser>
        <c:ser>
          <c:idx val="3"/>
          <c:order val="2"/>
          <c:tx>
            <c:strRef>
              <c:f>Aides!$K$66</c:f>
              <c:strCache>
                <c:ptCount val="1"/>
                <c:pt idx="0">
                  <c:v>MPR Copropriétés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Aides!$O$1:$AM$1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Aides!$O$66:$AM$66</c:f>
              <c:numCache>
                <c:formatCode>0.0</c:formatCode>
                <c:ptCount val="25"/>
                <c:pt idx="0">
                  <c:v>187.994</c:v>
                </c:pt>
                <c:pt idx="1">
                  <c:v>185.84</c:v>
                </c:pt>
                <c:pt idx="2">
                  <c:v>179.99700000000001</c:v>
                </c:pt>
                <c:pt idx="3">
                  <c:v>176.11600000000001</c:v>
                </c:pt>
                <c:pt idx="4">
                  <c:v>171.595</c:v>
                </c:pt>
                <c:pt idx="5">
                  <c:v>352.38299999999998</c:v>
                </c:pt>
                <c:pt idx="6">
                  <c:v>307.04000000000002</c:v>
                </c:pt>
                <c:pt idx="7">
                  <c:v>269.608</c:v>
                </c:pt>
                <c:pt idx="8">
                  <c:v>233.233</c:v>
                </c:pt>
                <c:pt idx="9">
                  <c:v>205.09399999999999</c:v>
                </c:pt>
                <c:pt idx="10">
                  <c:v>212.88200000000001</c:v>
                </c:pt>
                <c:pt idx="11">
                  <c:v>332.80099999999999</c:v>
                </c:pt>
                <c:pt idx="12">
                  <c:v>293.67700000000002</c:v>
                </c:pt>
                <c:pt idx="13">
                  <c:v>258.03899999999999</c:v>
                </c:pt>
                <c:pt idx="14">
                  <c:v>290.73200000000003</c:v>
                </c:pt>
                <c:pt idx="15">
                  <c:v>208.62200000000001</c:v>
                </c:pt>
                <c:pt idx="16">
                  <c:v>185.137</c:v>
                </c:pt>
                <c:pt idx="17">
                  <c:v>147.59</c:v>
                </c:pt>
                <c:pt idx="18">
                  <c:v>132.53299999999999</c:v>
                </c:pt>
                <c:pt idx="19">
                  <c:v>118.503</c:v>
                </c:pt>
                <c:pt idx="20">
                  <c:v>106.61199999999999</c:v>
                </c:pt>
                <c:pt idx="21">
                  <c:v>95.36</c:v>
                </c:pt>
                <c:pt idx="22">
                  <c:v>85.67</c:v>
                </c:pt>
                <c:pt idx="23">
                  <c:v>78.742000000000004</c:v>
                </c:pt>
                <c:pt idx="24">
                  <c:v>73.278000000000006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24-43B4-86AC-841F098DA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5880992"/>
        <c:axId val="365876832"/>
      </c:lineChart>
      <c:catAx>
        <c:axId val="36588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5876832"/>
        <c:crosses val="autoZero"/>
        <c:auto val="1"/>
        <c:lblAlgn val="ctr"/>
        <c:lblOffset val="100"/>
        <c:noMultiLvlLbl val="0"/>
      </c:catAx>
      <c:valAx>
        <c:axId val="36587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588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Investissement total et part des aides </a:t>
            </a:r>
          </a:p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(milliards d'euros)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7338019835689512E-2"/>
          <c:y val="0.16283717486440769"/>
          <c:w val="0.86344074535288518"/>
          <c:h val="0.67705911227879889"/>
        </c:manualLayout>
      </c:layout>
      <c:areaChart>
        <c:grouping val="standard"/>
        <c:varyColors val="0"/>
        <c:ser>
          <c:idx val="0"/>
          <c:order val="0"/>
          <c:tx>
            <c:strRef>
              <c:f>Aides!$K$12</c:f>
              <c:strCache>
                <c:ptCount val="1"/>
                <c:pt idx="0">
                  <c:v>Investissement total (milliards)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Aides!$O$1:$AM$1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Aides!$O$12:$AM$12</c:f>
              <c:numCache>
                <c:formatCode>0.0</c:formatCode>
                <c:ptCount val="25"/>
                <c:pt idx="0">
                  <c:v>15</c:v>
                </c:pt>
                <c:pt idx="1">
                  <c:v>17</c:v>
                </c:pt>
                <c:pt idx="2">
                  <c:v>19</c:v>
                </c:pt>
                <c:pt idx="3">
                  <c:v>26.073</c:v>
                </c:pt>
                <c:pt idx="4">
                  <c:v>24.917999999999999</c:v>
                </c:pt>
                <c:pt idx="5">
                  <c:v>26.777999999999999</c:v>
                </c:pt>
                <c:pt idx="6">
                  <c:v>23.891999999999999</c:v>
                </c:pt>
                <c:pt idx="7">
                  <c:v>22.959</c:v>
                </c:pt>
                <c:pt idx="8">
                  <c:v>22.510999999999999</c:v>
                </c:pt>
                <c:pt idx="9">
                  <c:v>21.945</c:v>
                </c:pt>
                <c:pt idx="10">
                  <c:v>19.791</c:v>
                </c:pt>
                <c:pt idx="11">
                  <c:v>22.32</c:v>
                </c:pt>
                <c:pt idx="12">
                  <c:v>22.26</c:v>
                </c:pt>
                <c:pt idx="13">
                  <c:v>20.523</c:v>
                </c:pt>
                <c:pt idx="14">
                  <c:v>25.006</c:v>
                </c:pt>
                <c:pt idx="15">
                  <c:v>20.495000000000001</c:v>
                </c:pt>
                <c:pt idx="16">
                  <c:v>19.835999999999999</c:v>
                </c:pt>
                <c:pt idx="17">
                  <c:v>18.077000000000002</c:v>
                </c:pt>
                <c:pt idx="18">
                  <c:v>20.995999999999999</c:v>
                </c:pt>
                <c:pt idx="19">
                  <c:v>20.253</c:v>
                </c:pt>
                <c:pt idx="20">
                  <c:v>20.567</c:v>
                </c:pt>
                <c:pt idx="21">
                  <c:v>19.934999999999999</c:v>
                </c:pt>
                <c:pt idx="22">
                  <c:v>19.359000000000002</c:v>
                </c:pt>
                <c:pt idx="23">
                  <c:v>18.827999999999999</c:v>
                </c:pt>
                <c:pt idx="24">
                  <c:v>18.510000000000002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BC-4C46-A669-66270B619010}"/>
            </c:ext>
          </c:extLst>
        </c:ser>
        <c:ser>
          <c:idx val="2"/>
          <c:order val="1"/>
          <c:tx>
            <c:strRef>
              <c:f>Aides!$K$13</c:f>
              <c:strCache>
                <c:ptCount val="1"/>
                <c:pt idx="0">
                  <c:v>Soutien total (milliards)</c:v>
                </c:pt>
              </c:strCache>
            </c:strRef>
          </c:tx>
          <c:spPr>
            <a:ln w="25400">
              <a:noFill/>
            </a:ln>
          </c:spPr>
          <c:cat>
            <c:numRef>
              <c:f>Aides!$O$1:$AM$1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Aides!$O$13:$AM$13</c:f>
              <c:numCache>
                <c:formatCode>0.0</c:formatCode>
                <c:ptCount val="25"/>
                <c:pt idx="0">
                  <c:v>4.8</c:v>
                </c:pt>
                <c:pt idx="1">
                  <c:v>5.5</c:v>
                </c:pt>
                <c:pt idx="2">
                  <c:v>6</c:v>
                </c:pt>
                <c:pt idx="3">
                  <c:v>16.539249999999999</c:v>
                </c:pt>
                <c:pt idx="4">
                  <c:v>16.7249062591629</c:v>
                </c:pt>
                <c:pt idx="5">
                  <c:v>16.738833489755386</c:v>
                </c:pt>
                <c:pt idx="6">
                  <c:v>14.952780507987171</c:v>
                </c:pt>
                <c:pt idx="7">
                  <c:v>13.804009732898344</c:v>
                </c:pt>
                <c:pt idx="8">
                  <c:v>12.942900037804508</c:v>
                </c:pt>
                <c:pt idx="9">
                  <c:v>12.194249270372305</c:v>
                </c:pt>
                <c:pt idx="10">
                  <c:v>10.804118107956223</c:v>
                </c:pt>
                <c:pt idx="11">
                  <c:v>11.699528042357624</c:v>
                </c:pt>
                <c:pt idx="12">
                  <c:v>11.486157447132445</c:v>
                </c:pt>
                <c:pt idx="13">
                  <c:v>10.555210804896374</c:v>
                </c:pt>
                <c:pt idx="14">
                  <c:v>12.884353584261369</c:v>
                </c:pt>
                <c:pt idx="15">
                  <c:v>10.452482987224663</c:v>
                </c:pt>
                <c:pt idx="16">
                  <c:v>9.9301320859057984</c:v>
                </c:pt>
                <c:pt idx="17">
                  <c:v>9.1049271430345833</c:v>
                </c:pt>
                <c:pt idx="18">
                  <c:v>10.834555219356028</c:v>
                </c:pt>
                <c:pt idx="19">
                  <c:v>10.596429998331232</c:v>
                </c:pt>
                <c:pt idx="20">
                  <c:v>10.419199902405477</c:v>
                </c:pt>
                <c:pt idx="21">
                  <c:v>10.273605813046393</c:v>
                </c:pt>
                <c:pt idx="22">
                  <c:v>9.7961786941164402</c:v>
                </c:pt>
                <c:pt idx="23">
                  <c:v>9.346797830442938</c:v>
                </c:pt>
                <c:pt idx="24">
                  <c:v>9.0811960469606117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BC-4C46-A669-66270B619010}"/>
            </c:ext>
          </c:extLst>
        </c:ser>
        <c:ser>
          <c:idx val="1"/>
          <c:order val="2"/>
          <c:tx>
            <c:strRef>
              <c:f>Aides!$K$13</c:f>
              <c:strCache>
                <c:ptCount val="1"/>
                <c:pt idx="0">
                  <c:v>Soutien total (milliards)</c:v>
                </c:pt>
              </c:strCache>
            </c:strRef>
          </c:tx>
          <c:spPr>
            <a:pattFill prst="wdUpDiag">
              <a:fgClr>
                <a:schemeClr val="accent4"/>
              </a:fgClr>
              <a:bgClr>
                <a:schemeClr val="accent1"/>
              </a:bgClr>
            </a:pattFill>
            <a:ln>
              <a:noFill/>
            </a:ln>
            <a:effectLst/>
          </c:spPr>
          <c:cat>
            <c:numRef>
              <c:f>Aides!$O$1:$AM$1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Aides!$O$13:$AM$13</c:f>
              <c:numCache>
                <c:formatCode>0.0</c:formatCode>
                <c:ptCount val="25"/>
                <c:pt idx="0">
                  <c:v>4.8</c:v>
                </c:pt>
                <c:pt idx="1">
                  <c:v>5.5</c:v>
                </c:pt>
                <c:pt idx="2">
                  <c:v>6</c:v>
                </c:pt>
                <c:pt idx="3">
                  <c:v>16.539249999999999</c:v>
                </c:pt>
                <c:pt idx="4">
                  <c:v>16.7249062591629</c:v>
                </c:pt>
                <c:pt idx="5">
                  <c:v>16.738833489755386</c:v>
                </c:pt>
                <c:pt idx="6">
                  <c:v>14.952780507987171</c:v>
                </c:pt>
                <c:pt idx="7">
                  <c:v>13.804009732898344</c:v>
                </c:pt>
                <c:pt idx="8">
                  <c:v>12.942900037804508</c:v>
                </c:pt>
                <c:pt idx="9">
                  <c:v>12.194249270372305</c:v>
                </c:pt>
                <c:pt idx="10">
                  <c:v>10.804118107956223</c:v>
                </c:pt>
                <c:pt idx="11">
                  <c:v>11.699528042357624</c:v>
                </c:pt>
                <c:pt idx="12">
                  <c:v>11.486157447132445</c:v>
                </c:pt>
                <c:pt idx="13">
                  <c:v>10.555210804896374</c:v>
                </c:pt>
                <c:pt idx="14">
                  <c:v>12.884353584261369</c:v>
                </c:pt>
                <c:pt idx="15">
                  <c:v>10.452482987224663</c:v>
                </c:pt>
                <c:pt idx="16">
                  <c:v>9.9301320859057984</c:v>
                </c:pt>
                <c:pt idx="17">
                  <c:v>9.1049271430345833</c:v>
                </c:pt>
                <c:pt idx="18">
                  <c:v>10.834555219356028</c:v>
                </c:pt>
                <c:pt idx="19">
                  <c:v>10.596429998331232</c:v>
                </c:pt>
                <c:pt idx="20">
                  <c:v>10.419199902405477</c:v>
                </c:pt>
                <c:pt idx="21">
                  <c:v>10.273605813046393</c:v>
                </c:pt>
                <c:pt idx="22">
                  <c:v>9.7961786941164402</c:v>
                </c:pt>
                <c:pt idx="23">
                  <c:v>9.346797830442938</c:v>
                </c:pt>
                <c:pt idx="24">
                  <c:v>9.0811960469606117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BC-4C46-A669-66270B619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2996336"/>
        <c:axId val="2022996752"/>
      </c:areaChart>
      <c:catAx>
        <c:axId val="2022996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2996752"/>
        <c:crosses val="autoZero"/>
        <c:auto val="1"/>
        <c:lblAlgn val="ctr"/>
        <c:lblOffset val="100"/>
        <c:noMultiLvlLbl val="0"/>
      </c:catAx>
      <c:valAx>
        <c:axId val="202299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2996336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Aides</a:t>
            </a:r>
            <a:r>
              <a:rPr lang="fr-FR" baseline="0"/>
              <a:t> à la rénovation énergétique (milliards d'euros)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Aides!$J$45</c:f>
              <c:strCache>
                <c:ptCount val="1"/>
                <c:pt idx="0">
                  <c:v>CEE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Aides!$O$1:$AM$1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Aides!$O$45:$AM$45</c:f>
              <c:numCache>
                <c:formatCode>0.0</c:formatCode>
                <c:ptCount val="25"/>
                <c:pt idx="0">
                  <c:v>4.2567500000000003</c:v>
                </c:pt>
                <c:pt idx="1">
                  <c:v>4.4412500000000001</c:v>
                </c:pt>
                <c:pt idx="2">
                  <c:v>4.2322500000000005</c:v>
                </c:pt>
                <c:pt idx="3">
                  <c:v>4.1757499999999999</c:v>
                </c:pt>
                <c:pt idx="4">
                  <c:v>4.0875000000000004</c:v>
                </c:pt>
                <c:pt idx="5">
                  <c:v>4.28125</c:v>
                </c:pt>
                <c:pt idx="6">
                  <c:v>3.9372500000000001</c:v>
                </c:pt>
                <c:pt idx="7">
                  <c:v>3.8155000000000001</c:v>
                </c:pt>
                <c:pt idx="8">
                  <c:v>3.7649999999999997</c:v>
                </c:pt>
                <c:pt idx="9">
                  <c:v>3.6999999999999997</c:v>
                </c:pt>
                <c:pt idx="10">
                  <c:v>3.2955000000000001</c:v>
                </c:pt>
                <c:pt idx="11">
                  <c:v>3.6715</c:v>
                </c:pt>
                <c:pt idx="12">
                  <c:v>3.63225</c:v>
                </c:pt>
                <c:pt idx="13">
                  <c:v>3.4187499999999997</c:v>
                </c:pt>
                <c:pt idx="14">
                  <c:v>4.0112500000000004</c:v>
                </c:pt>
                <c:pt idx="15">
                  <c:v>3.4815</c:v>
                </c:pt>
                <c:pt idx="16">
                  <c:v>3.3639999999999999</c:v>
                </c:pt>
                <c:pt idx="17">
                  <c:v>3.117</c:v>
                </c:pt>
                <c:pt idx="18">
                  <c:v>3.9175</c:v>
                </c:pt>
                <c:pt idx="19">
                  <c:v>3.8995000000000002</c:v>
                </c:pt>
                <c:pt idx="20">
                  <c:v>3.843</c:v>
                </c:pt>
                <c:pt idx="21">
                  <c:v>3.8414999999999999</c:v>
                </c:pt>
                <c:pt idx="22">
                  <c:v>3.6615000000000002</c:v>
                </c:pt>
                <c:pt idx="23">
                  <c:v>3.4737499999999999</c:v>
                </c:pt>
                <c:pt idx="24">
                  <c:v>3.3184999999999998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81-40EC-B334-B22EA22CDFED}"/>
            </c:ext>
          </c:extLst>
        </c:ser>
        <c:ser>
          <c:idx val="1"/>
          <c:order val="1"/>
          <c:tx>
            <c:strRef>
              <c:f>Aides!$J$46</c:f>
              <c:strCache>
                <c:ptCount val="1"/>
                <c:pt idx="0">
                  <c:v>MPR Efficacité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Aides!$O$1:$AM$1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Aides!$O$46:$AM$46</c:f>
              <c:numCache>
                <c:formatCode>0.0</c:formatCode>
                <c:ptCount val="25"/>
                <c:pt idx="0">
                  <c:v>1.6339999999999999</c:v>
                </c:pt>
                <c:pt idx="1">
                  <c:v>1.6890000000000001</c:v>
                </c:pt>
                <c:pt idx="2">
                  <c:v>1.6639999999999999</c:v>
                </c:pt>
                <c:pt idx="3">
                  <c:v>1.649</c:v>
                </c:pt>
                <c:pt idx="4">
                  <c:v>1.6240000000000001</c:v>
                </c:pt>
                <c:pt idx="5">
                  <c:v>1.665</c:v>
                </c:pt>
                <c:pt idx="6">
                  <c:v>1.643</c:v>
                </c:pt>
                <c:pt idx="7">
                  <c:v>1.66</c:v>
                </c:pt>
                <c:pt idx="8">
                  <c:v>1.679</c:v>
                </c:pt>
                <c:pt idx="9">
                  <c:v>1.698</c:v>
                </c:pt>
                <c:pt idx="10">
                  <c:v>1.359</c:v>
                </c:pt>
                <c:pt idx="11">
                  <c:v>1.371</c:v>
                </c:pt>
                <c:pt idx="12">
                  <c:v>1.373</c:v>
                </c:pt>
                <c:pt idx="13">
                  <c:v>1.2729999999999999</c:v>
                </c:pt>
                <c:pt idx="14">
                  <c:v>1.306</c:v>
                </c:pt>
                <c:pt idx="15">
                  <c:v>1.2030000000000001</c:v>
                </c:pt>
                <c:pt idx="16">
                  <c:v>1.1870000000000001</c:v>
                </c:pt>
                <c:pt idx="17">
                  <c:v>1.1279999999999999</c:v>
                </c:pt>
                <c:pt idx="18">
                  <c:v>1.714</c:v>
                </c:pt>
                <c:pt idx="19">
                  <c:v>1.722</c:v>
                </c:pt>
                <c:pt idx="20">
                  <c:v>1.7709999999999999</c:v>
                </c:pt>
                <c:pt idx="21">
                  <c:v>1.796</c:v>
                </c:pt>
                <c:pt idx="22">
                  <c:v>1.7330000000000001</c:v>
                </c:pt>
                <c:pt idx="23">
                  <c:v>1.667</c:v>
                </c:pt>
                <c:pt idx="24">
                  <c:v>1.6040000000000001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81-40EC-B334-B22EA22CDFED}"/>
            </c:ext>
          </c:extLst>
        </c:ser>
        <c:ser>
          <c:idx val="3"/>
          <c:order val="2"/>
          <c:tx>
            <c:strRef>
              <c:f>Aides!$J$48</c:f>
              <c:strCache>
                <c:ptCount val="1"/>
                <c:pt idx="0">
                  <c:v>MPR Performance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Aides!$O$1:$AM$1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Aides!$O$48:$AM$48</c:f>
              <c:numCache>
                <c:formatCode>0.0</c:formatCode>
                <c:ptCount val="25"/>
                <c:pt idx="0">
                  <c:v>3.4942500000000001</c:v>
                </c:pt>
                <c:pt idx="1">
                  <c:v>3.6817500000000001</c:v>
                </c:pt>
                <c:pt idx="2">
                  <c:v>3.32775</c:v>
                </c:pt>
                <c:pt idx="3">
                  <c:v>3.4432499999999999</c:v>
                </c:pt>
                <c:pt idx="4">
                  <c:v>3.6347031295814487</c:v>
                </c:pt>
                <c:pt idx="5">
                  <c:v>3.1487917448776939</c:v>
                </c:pt>
                <c:pt idx="6">
                  <c:v>2.6282652539935856</c:v>
                </c:pt>
                <c:pt idx="7">
                  <c:v>2.227754866449172</c:v>
                </c:pt>
                <c:pt idx="8">
                  <c:v>1.9034500189022538</c:v>
                </c:pt>
                <c:pt idx="9">
                  <c:v>1.6406246351861522</c:v>
                </c:pt>
                <c:pt idx="10">
                  <c:v>1.4568090539781107</c:v>
                </c:pt>
                <c:pt idx="11">
                  <c:v>1.4330140211788123</c:v>
                </c:pt>
                <c:pt idx="12">
                  <c:v>1.3929537235662219</c:v>
                </c:pt>
                <c:pt idx="13">
                  <c:v>1.225230402448187</c:v>
                </c:pt>
                <c:pt idx="14">
                  <c:v>1.5345517921306844</c:v>
                </c:pt>
                <c:pt idx="15">
                  <c:v>1.2509914936123316</c:v>
                </c:pt>
                <c:pt idx="16">
                  <c:v>1.1425660429528994</c:v>
                </c:pt>
                <c:pt idx="17">
                  <c:v>1.0519635715172915</c:v>
                </c:pt>
                <c:pt idx="18">
                  <c:v>0.96352760967801432</c:v>
                </c:pt>
                <c:pt idx="19">
                  <c:v>0.89596499916561523</c:v>
                </c:pt>
                <c:pt idx="20">
                  <c:v>0.83259995120273855</c:v>
                </c:pt>
                <c:pt idx="21">
                  <c:v>0.77905290652319581</c:v>
                </c:pt>
                <c:pt idx="22">
                  <c:v>0.73133934705821924</c:v>
                </c:pt>
                <c:pt idx="23">
                  <c:v>0.69852391522146928</c:v>
                </c:pt>
                <c:pt idx="24">
                  <c:v>0.71534802348030635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81-40EC-B334-B22EA22CDFED}"/>
            </c:ext>
          </c:extLst>
        </c:ser>
        <c:ser>
          <c:idx val="2"/>
          <c:order val="3"/>
          <c:tx>
            <c:strRef>
              <c:f>Aides!$J$47</c:f>
              <c:strCache>
                <c:ptCount val="1"/>
                <c:pt idx="0">
                  <c:v>MPR Copro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Aides!$O$1:$AM$1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Aides!$O$47:$AM$47</c:f>
              <c:numCache>
                <c:formatCode>0.0</c:formatCode>
                <c:ptCount val="25"/>
                <c:pt idx="0">
                  <c:v>0.439</c:v>
                </c:pt>
                <c:pt idx="1">
                  <c:v>0.42099999999999999</c:v>
                </c:pt>
                <c:pt idx="2">
                  <c:v>0.375</c:v>
                </c:pt>
                <c:pt idx="3">
                  <c:v>0.37</c:v>
                </c:pt>
                <c:pt idx="4">
                  <c:v>0.35799999999999998</c:v>
                </c:pt>
                <c:pt idx="5">
                  <c:v>0.63800000000000001</c:v>
                </c:pt>
                <c:pt idx="6">
                  <c:v>0.54800000000000004</c:v>
                </c:pt>
                <c:pt idx="7">
                  <c:v>0.47299999999999998</c:v>
                </c:pt>
                <c:pt idx="8">
                  <c:v>0.40100000000000002</c:v>
                </c:pt>
                <c:pt idx="9">
                  <c:v>0.34499999999999997</c:v>
                </c:pt>
                <c:pt idx="10">
                  <c:v>0.38700000000000001</c:v>
                </c:pt>
                <c:pt idx="11">
                  <c:v>0.48499999999999999</c:v>
                </c:pt>
                <c:pt idx="12">
                  <c:v>0.45800000000000002</c:v>
                </c:pt>
                <c:pt idx="13">
                  <c:v>0.4</c:v>
                </c:pt>
                <c:pt idx="14">
                  <c:v>0.68899999999999995</c:v>
                </c:pt>
                <c:pt idx="15">
                  <c:v>0.32100000000000001</c:v>
                </c:pt>
                <c:pt idx="16">
                  <c:v>0.28399999999999997</c:v>
                </c:pt>
                <c:pt idx="17">
                  <c:v>0.223</c:v>
                </c:pt>
                <c:pt idx="18">
                  <c:v>0.19900000000000001</c:v>
                </c:pt>
                <c:pt idx="19">
                  <c:v>0.17799999999999999</c:v>
                </c:pt>
                <c:pt idx="20">
                  <c:v>0.159</c:v>
                </c:pt>
                <c:pt idx="21">
                  <c:v>0.14099999999999999</c:v>
                </c:pt>
                <c:pt idx="22">
                  <c:v>0.126</c:v>
                </c:pt>
                <c:pt idx="23">
                  <c:v>0.11600000000000001</c:v>
                </c:pt>
                <c:pt idx="24">
                  <c:v>0.115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81-40EC-B334-B22EA22CDFED}"/>
            </c:ext>
          </c:extLst>
        </c:ser>
        <c:ser>
          <c:idx val="5"/>
          <c:order val="4"/>
          <c:tx>
            <c:v>ECO PTZ</c:v>
          </c:tx>
          <c:spPr>
            <a:solidFill>
              <a:schemeClr val="accent6"/>
            </a:solidFill>
            <a:ln w="25400">
              <a:noFill/>
            </a:ln>
            <a:effectLst/>
          </c:spPr>
          <c:val>
            <c:numRef>
              <c:f>Aides!$O$50:$R$50</c:f>
              <c:numCache>
                <c:formatCode>0.0</c:formatCode>
                <c:ptCount val="4"/>
                <c:pt idx="0">
                  <c:v>1.587</c:v>
                </c:pt>
                <c:pt idx="1">
                  <c:v>1.5649999999999999</c:v>
                </c:pt>
                <c:pt idx="2">
                  <c:v>1.4259999999999999</c:v>
                </c:pt>
                <c:pt idx="3">
                  <c:v>1.4390000000000001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81-40EC-B334-B22EA22CDFED}"/>
            </c:ext>
          </c:extLst>
        </c:ser>
        <c:ser>
          <c:idx val="4"/>
          <c:order val="5"/>
          <c:tx>
            <c:strRef>
              <c:f>Aides!$J$51</c:f>
              <c:strCache>
                <c:ptCount val="1"/>
                <c:pt idx="0">
                  <c:v>Montant écrêté</c:v>
                </c:pt>
              </c:strCache>
            </c:strRef>
          </c:tx>
          <c:spPr>
            <a:pattFill prst="pct20">
              <a:fgClr>
                <a:schemeClr val="tx1"/>
              </a:fgClr>
              <a:bgClr>
                <a:schemeClr val="bg1"/>
              </a:bgClr>
            </a:pattFill>
            <a:ln>
              <a:noFill/>
            </a:ln>
            <a:effectLst/>
          </c:spPr>
          <c:cat>
            <c:numRef>
              <c:f>Aides!$O$1:$AM$1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Aides!$O$51:$AM$51</c:f>
              <c:numCache>
                <c:formatCode>0.0</c:formatCode>
                <c:ptCount val="25"/>
                <c:pt idx="0">
                  <c:v>0.19900000000000001</c:v>
                </c:pt>
                <c:pt idx="1">
                  <c:v>0.20599999999999999</c:v>
                </c:pt>
                <c:pt idx="2">
                  <c:v>0.20699999999999999</c:v>
                </c:pt>
                <c:pt idx="3">
                  <c:v>0.22600000000000001</c:v>
                </c:pt>
                <c:pt idx="4">
                  <c:v>0.22900000000000001</c:v>
                </c:pt>
                <c:pt idx="5">
                  <c:v>0.316</c:v>
                </c:pt>
                <c:pt idx="6">
                  <c:v>0.28999999999999998</c:v>
                </c:pt>
                <c:pt idx="7">
                  <c:v>0.27200000000000002</c:v>
                </c:pt>
                <c:pt idx="8">
                  <c:v>0.253</c:v>
                </c:pt>
                <c:pt idx="9">
                  <c:v>0.24</c:v>
                </c:pt>
                <c:pt idx="10">
                  <c:v>0.20200000000000001</c:v>
                </c:pt>
                <c:pt idx="11">
                  <c:v>0.22600000000000001</c:v>
                </c:pt>
                <c:pt idx="12">
                  <c:v>0.218</c:v>
                </c:pt>
                <c:pt idx="13">
                  <c:v>0.19</c:v>
                </c:pt>
                <c:pt idx="14">
                  <c:v>0.27100000000000002</c:v>
                </c:pt>
                <c:pt idx="15">
                  <c:v>0.153</c:v>
                </c:pt>
                <c:pt idx="16">
                  <c:v>0.14000000000000001</c:v>
                </c:pt>
                <c:pt idx="17">
                  <c:v>0.112</c:v>
                </c:pt>
                <c:pt idx="18">
                  <c:v>0.111</c:v>
                </c:pt>
                <c:pt idx="19">
                  <c:v>0.104</c:v>
                </c:pt>
                <c:pt idx="20">
                  <c:v>0.1</c:v>
                </c:pt>
                <c:pt idx="21">
                  <c:v>9.4E-2</c:v>
                </c:pt>
                <c:pt idx="22">
                  <c:v>8.6999999999999994E-2</c:v>
                </c:pt>
                <c:pt idx="23">
                  <c:v>8.1000000000000003E-2</c:v>
                </c:pt>
                <c:pt idx="24">
                  <c:v>7.8E-2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81-40EC-B334-B22EA22CD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973279"/>
        <c:axId val="1900974943"/>
      </c:areaChart>
      <c:catAx>
        <c:axId val="19009732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974943"/>
        <c:crosses val="autoZero"/>
        <c:auto val="1"/>
        <c:lblAlgn val="ctr"/>
        <c:lblOffset val="100"/>
        <c:tickLblSkip val="1"/>
        <c:noMultiLvlLbl val="0"/>
      </c:catAx>
      <c:valAx>
        <c:axId val="190097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973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</xdr:row>
      <xdr:rowOff>0</xdr:rowOff>
    </xdr:from>
    <xdr:to>
      <xdr:col>4</xdr:col>
      <xdr:colOff>173181</xdr:colOff>
      <xdr:row>26</xdr:row>
      <xdr:rowOff>127000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C33C1FD-EF1C-4AB7-804B-0B626F1A41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530369</xdr:colOff>
      <xdr:row>0</xdr:row>
      <xdr:rowOff>184006</xdr:rowOff>
    </xdr:from>
    <xdr:to>
      <xdr:col>6</xdr:col>
      <xdr:colOff>3621393</xdr:colOff>
      <xdr:row>26</xdr:row>
      <xdr:rowOff>165062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805B383-4BD6-4628-9FFA-095F71B6D5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1407103</xdr:colOff>
      <xdr:row>28</xdr:row>
      <xdr:rowOff>10823</xdr:rowOff>
    </xdr:from>
    <xdr:to>
      <xdr:col>6</xdr:col>
      <xdr:colOff>1298864</xdr:colOff>
      <xdr:row>49</xdr:row>
      <xdr:rowOff>137822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4202535-0BEA-4D53-A3C2-397CDBAAD6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5</xdr:col>
      <xdr:colOff>702593</xdr:colOff>
      <xdr:row>27</xdr:row>
      <xdr:rowOff>75691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96EF6D5-E0B1-4EED-B352-65AE785DE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</xdr:row>
      <xdr:rowOff>0</xdr:rowOff>
    </xdr:from>
    <xdr:to>
      <xdr:col>8</xdr:col>
      <xdr:colOff>3128619</xdr:colOff>
      <xdr:row>29</xdr:row>
      <xdr:rowOff>148535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417488E-21A7-48A7-A3C4-623549C5BF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138265</xdr:colOff>
      <xdr:row>33</xdr:row>
      <xdr:rowOff>403412</xdr:rowOff>
    </xdr:from>
    <xdr:to>
      <xdr:col>7</xdr:col>
      <xdr:colOff>728382</xdr:colOff>
      <xdr:row>68</xdr:row>
      <xdr:rowOff>17277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E53FB367-3022-47BE-8B63-68F1B44EC5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375162</xdr:colOff>
      <xdr:row>55</xdr:row>
      <xdr:rowOff>160390</xdr:rowOff>
    </xdr:from>
    <xdr:to>
      <xdr:col>9</xdr:col>
      <xdr:colOff>2409825</xdr:colOff>
      <xdr:row>69</xdr:row>
      <xdr:rowOff>28576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24947773-3EAE-453C-92E2-53058DAFA9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414337</xdr:colOff>
      <xdr:row>70</xdr:row>
      <xdr:rowOff>157161</xdr:rowOff>
    </xdr:from>
    <xdr:to>
      <xdr:col>8</xdr:col>
      <xdr:colOff>3457575</xdr:colOff>
      <xdr:row>95</xdr:row>
      <xdr:rowOff>58079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B583A950-4207-4D7B-AC23-4A6E7389D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17320</xdr:colOff>
      <xdr:row>52</xdr:row>
      <xdr:rowOff>0</xdr:rowOff>
    </xdr:from>
    <xdr:to>
      <xdr:col>8</xdr:col>
      <xdr:colOff>398320</xdr:colOff>
      <xdr:row>71</xdr:row>
      <xdr:rowOff>155863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5EDA298-FE71-440D-879A-4FE28DDBDC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190500</xdr:colOff>
      <xdr:row>1</xdr:row>
      <xdr:rowOff>22412</xdr:rowOff>
    </xdr:from>
    <xdr:to>
      <xdr:col>6</xdr:col>
      <xdr:colOff>735852</xdr:colOff>
      <xdr:row>20</xdr:row>
      <xdr:rowOff>188997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C26DB9B-CAA8-4A83-BFCA-FD4C2BF6A5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207308</xdr:colOff>
      <xdr:row>21</xdr:row>
      <xdr:rowOff>174812</xdr:rowOff>
    </xdr:from>
    <xdr:to>
      <xdr:col>7</xdr:col>
      <xdr:colOff>33618</xdr:colOff>
      <xdr:row>41</xdr:row>
      <xdr:rowOff>33618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74F0B48C-A796-4DC5-A4EA-F2DD4D810F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4_Inventaires%20d'&#233;missions,%20prospective%20et%20&#233;valuation\42_Prospective\421_Sc&#233;narios%20prospectifs%20DGEC\4215_Sc&#233;narios%202023\00%20-%20Docs%20essentiels%20RUN3%20AMS\AMS%20run%203\002_Batiments\res_irf_ams_run_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"/>
      <sheetName val="figures 2030"/>
      <sheetName val="figures 2050"/>
      <sheetName val="Post traitement FE"/>
      <sheetName val="Parc et émission"/>
      <sheetName val="Consommation"/>
      <sheetName val="Consommation - post traitement"/>
      <sheetName val="Bilan consommation"/>
      <sheetName val="Gestes de rénovation"/>
      <sheetName val="Gestes de rénovation (2)"/>
      <sheetName val="Aides"/>
      <sheetName val="Switch heater "/>
      <sheetName val="Effet rebond"/>
    </sheetNames>
    <sheetDataSet>
      <sheetData sheetId="0">
        <row r="9">
          <cell r="A9" t="str">
            <v>Annuities insulation Owner-occupied - C4 (euro/year,household)</v>
          </cell>
          <cell r="C9">
            <v>931</v>
          </cell>
          <cell r="D9">
            <v>912.02800000000002</v>
          </cell>
          <cell r="E9">
            <v>1108.7049999999999</v>
          </cell>
          <cell r="F9">
            <v>1109.7550000000001</v>
          </cell>
          <cell r="G9">
            <v>1052.6980000000001</v>
          </cell>
          <cell r="H9">
            <v>1081.99</v>
          </cell>
          <cell r="I9">
            <v>1087.636</v>
          </cell>
          <cell r="J9">
            <v>1040.7750000000001</v>
          </cell>
          <cell r="K9">
            <v>1000.6</v>
          </cell>
          <cell r="L9">
            <v>965.529</v>
          </cell>
          <cell r="M9">
            <v>935.40700000000004</v>
          </cell>
          <cell r="N9">
            <v>910.09799999999996</v>
          </cell>
          <cell r="O9">
            <v>890.50300000000004</v>
          </cell>
          <cell r="P9">
            <v>873.65499999999997</v>
          </cell>
          <cell r="Q9">
            <v>886.53099999999995</v>
          </cell>
          <cell r="R9">
            <v>872.56899999999996</v>
          </cell>
          <cell r="S9">
            <v>941.35500000000002</v>
          </cell>
          <cell r="T9">
            <v>837.33699999999999</v>
          </cell>
          <cell r="U9">
            <v>831.53399999999999</v>
          </cell>
          <cell r="V9">
            <v>826.62199999999996</v>
          </cell>
          <cell r="W9">
            <v>824.51900000000001</v>
          </cell>
          <cell r="X9">
            <v>821.47900000000004</v>
          </cell>
          <cell r="Y9">
            <v>818.18</v>
          </cell>
          <cell r="Z9">
            <v>815.06899999999996</v>
          </cell>
          <cell r="AA9">
            <v>812.16899999999998</v>
          </cell>
          <cell r="AB9">
            <v>810.10400000000004</v>
          </cell>
          <cell r="AC9">
            <v>825.69600000000003</v>
          </cell>
        </row>
        <row r="10">
          <cell r="A10" t="str">
            <v>Annuities insulation Owner-occupied - C5 (euro/year,household)</v>
          </cell>
          <cell r="C10">
            <v>1179.05</v>
          </cell>
          <cell r="D10">
            <v>1115.5940000000001</v>
          </cell>
          <cell r="E10">
            <v>1251.9880000000001</v>
          </cell>
          <cell r="F10">
            <v>1232.528</v>
          </cell>
          <cell r="G10">
            <v>1144.9960000000001</v>
          </cell>
          <cell r="H10">
            <v>1201.3800000000001</v>
          </cell>
          <cell r="I10">
            <v>1175.73</v>
          </cell>
          <cell r="J10">
            <v>1102.9590000000001</v>
          </cell>
          <cell r="K10">
            <v>1042.692</v>
          </cell>
          <cell r="L10">
            <v>993.00699999999995</v>
          </cell>
          <cell r="M10">
            <v>952.71500000000003</v>
          </cell>
          <cell r="N10">
            <v>920.48900000000003</v>
          </cell>
          <cell r="O10">
            <v>891.90300000000002</v>
          </cell>
          <cell r="P10">
            <v>873.33699999999999</v>
          </cell>
          <cell r="Q10">
            <v>896.54399999999998</v>
          </cell>
          <cell r="R10">
            <v>878.53099999999995</v>
          </cell>
          <cell r="S10">
            <v>1080.3779999999999</v>
          </cell>
          <cell r="T10">
            <v>855.72799999999995</v>
          </cell>
          <cell r="U10">
            <v>848.70299999999997</v>
          </cell>
          <cell r="V10">
            <v>842.80899999999997</v>
          </cell>
          <cell r="W10">
            <v>839.19799999999998</v>
          </cell>
          <cell r="X10">
            <v>835.52300000000002</v>
          </cell>
          <cell r="Y10">
            <v>831.197</v>
          </cell>
          <cell r="Z10">
            <v>827.24699999999996</v>
          </cell>
          <cell r="AA10">
            <v>823.61</v>
          </cell>
          <cell r="AB10">
            <v>820.02200000000005</v>
          </cell>
          <cell r="AC10">
            <v>841.72</v>
          </cell>
        </row>
        <row r="11">
          <cell r="A11" t="str">
            <v>Annuities insulation Privately rented - C1 (euro/year,household)</v>
          </cell>
          <cell r="C11">
            <v>815.73800000000006</v>
          </cell>
          <cell r="D11">
            <v>723.851</v>
          </cell>
          <cell r="E11">
            <v>465.34399999999999</v>
          </cell>
          <cell r="F11">
            <v>421.73500000000001</v>
          </cell>
          <cell r="G11">
            <v>378.755</v>
          </cell>
          <cell r="H11">
            <v>349.07400000000001</v>
          </cell>
          <cell r="I11">
            <v>332.42</v>
          </cell>
          <cell r="J11">
            <v>420.96600000000001</v>
          </cell>
          <cell r="K11">
            <v>401.61500000000001</v>
          </cell>
          <cell r="L11">
            <v>380.673</v>
          </cell>
          <cell r="M11">
            <v>358.548</v>
          </cell>
          <cell r="N11">
            <v>336.49099999999999</v>
          </cell>
          <cell r="O11">
            <v>336.512</v>
          </cell>
          <cell r="P11">
            <v>381.70800000000003</v>
          </cell>
          <cell r="Q11">
            <v>383.91899999999998</v>
          </cell>
          <cell r="R11">
            <v>384.61099999999999</v>
          </cell>
          <cell r="S11">
            <v>394.99700000000001</v>
          </cell>
          <cell r="T11">
            <v>385.13799999999998</v>
          </cell>
          <cell r="U11">
            <v>384.94299999999998</v>
          </cell>
          <cell r="V11">
            <v>384.71300000000002</v>
          </cell>
          <cell r="W11">
            <v>386.851</v>
          </cell>
          <cell r="X11">
            <v>388.161</v>
          </cell>
          <cell r="Y11">
            <v>388.96499999999997</v>
          </cell>
          <cell r="Z11">
            <v>390.04199999999997</v>
          </cell>
          <cell r="AA11">
            <v>391.09</v>
          </cell>
          <cell r="AB11">
            <v>391.67500000000001</v>
          </cell>
          <cell r="AC11">
            <v>393.86700000000002</v>
          </cell>
        </row>
        <row r="12">
          <cell r="A12" t="str">
            <v>Annuities insulation Privately rented - C2 (euro/year,household)</v>
          </cell>
          <cell r="C12">
            <v>947.65499999999997</v>
          </cell>
          <cell r="D12">
            <v>853.28800000000001</v>
          </cell>
          <cell r="E12">
            <v>804.49900000000002</v>
          </cell>
          <cell r="F12">
            <v>760.52300000000002</v>
          </cell>
          <cell r="G12">
            <v>714.40499999999997</v>
          </cell>
          <cell r="H12">
            <v>697.39200000000005</v>
          </cell>
          <cell r="I12">
            <v>665.346</v>
          </cell>
          <cell r="J12">
            <v>608.37900000000002</v>
          </cell>
          <cell r="K12">
            <v>583.149</v>
          </cell>
          <cell r="L12">
            <v>556.01499999999999</v>
          </cell>
          <cell r="M12">
            <v>527.54300000000001</v>
          </cell>
          <cell r="N12">
            <v>498.42700000000002</v>
          </cell>
          <cell r="O12">
            <v>493.5</v>
          </cell>
          <cell r="P12">
            <v>481.65199999999999</v>
          </cell>
          <cell r="Q12">
            <v>486.96499999999997</v>
          </cell>
          <cell r="R12">
            <v>487.29</v>
          </cell>
          <cell r="S12">
            <v>511.13499999999999</v>
          </cell>
          <cell r="T12">
            <v>487.89800000000002</v>
          </cell>
          <cell r="U12">
            <v>488.08199999999999</v>
          </cell>
          <cell r="V12">
            <v>488.32900000000001</v>
          </cell>
          <cell r="W12">
            <v>489.17399999999998</v>
          </cell>
          <cell r="X12">
            <v>491.839</v>
          </cell>
          <cell r="Y12">
            <v>492.04399999999998</v>
          </cell>
          <cell r="Z12">
            <v>492.47800000000001</v>
          </cell>
          <cell r="AA12">
            <v>492.65600000000001</v>
          </cell>
          <cell r="AB12">
            <v>492.79</v>
          </cell>
          <cell r="AC12">
            <v>499.834</v>
          </cell>
        </row>
        <row r="13">
          <cell r="A13" t="str">
            <v>Annuities insulation Privately rented - C3 (euro/year,household)</v>
          </cell>
          <cell r="C13">
            <v>1133.7280000000001</v>
          </cell>
          <cell r="D13">
            <v>1024.9269999999999</v>
          </cell>
          <cell r="E13">
            <v>991.84199999999998</v>
          </cell>
          <cell r="F13">
            <v>934.81500000000005</v>
          </cell>
          <cell r="G13">
            <v>878.30600000000004</v>
          </cell>
          <cell r="H13">
            <v>843.64099999999996</v>
          </cell>
          <cell r="I13">
            <v>799.16700000000003</v>
          </cell>
          <cell r="J13">
            <v>734.72500000000002</v>
          </cell>
          <cell r="K13">
            <v>700.69200000000001</v>
          </cell>
          <cell r="L13">
            <v>664.70299999999997</v>
          </cell>
          <cell r="M13">
            <v>627.56100000000004</v>
          </cell>
          <cell r="N13">
            <v>590.29399999999998</v>
          </cell>
          <cell r="O13">
            <v>579.59</v>
          </cell>
          <cell r="P13">
            <v>526.68600000000004</v>
          </cell>
          <cell r="Q13">
            <v>538.45399999999995</v>
          </cell>
          <cell r="R13">
            <v>540.06600000000003</v>
          </cell>
          <cell r="S13">
            <v>594.58100000000002</v>
          </cell>
          <cell r="T13">
            <v>543.16700000000003</v>
          </cell>
          <cell r="U13">
            <v>544.74599999999998</v>
          </cell>
          <cell r="V13">
            <v>546.49699999999996</v>
          </cell>
          <cell r="W13">
            <v>548.33500000000004</v>
          </cell>
          <cell r="X13">
            <v>549.94600000000003</v>
          </cell>
          <cell r="Y13">
            <v>550.85299999999995</v>
          </cell>
          <cell r="Z13">
            <v>551.72900000000004</v>
          </cell>
          <cell r="AA13">
            <v>552.42899999999997</v>
          </cell>
          <cell r="AB13">
            <v>552.91800000000001</v>
          </cell>
          <cell r="AC13">
            <v>562.66499999999996</v>
          </cell>
        </row>
        <row r="14">
          <cell r="A14" t="str">
            <v>Annuities insulation Privately rented - C4 (euro/year,household)</v>
          </cell>
          <cell r="C14">
            <v>1166.07</v>
          </cell>
          <cell r="D14">
            <v>1058.575</v>
          </cell>
          <cell r="E14">
            <v>1071.8009999999999</v>
          </cell>
          <cell r="F14">
            <v>1011.754</v>
          </cell>
          <cell r="G14">
            <v>954.75800000000004</v>
          </cell>
          <cell r="H14">
            <v>919.00400000000002</v>
          </cell>
          <cell r="I14">
            <v>864.62300000000005</v>
          </cell>
          <cell r="J14">
            <v>702.44799999999998</v>
          </cell>
          <cell r="K14">
            <v>672.74699999999996</v>
          </cell>
          <cell r="L14">
            <v>641.827</v>
          </cell>
          <cell r="M14">
            <v>610.33799999999997</v>
          </cell>
          <cell r="N14">
            <v>578.96199999999999</v>
          </cell>
          <cell r="O14">
            <v>567.31700000000001</v>
          </cell>
          <cell r="P14">
            <v>512.00099999999998</v>
          </cell>
          <cell r="Q14">
            <v>523.827</v>
          </cell>
          <cell r="R14">
            <v>525.255</v>
          </cell>
          <cell r="S14">
            <v>582.53200000000004</v>
          </cell>
          <cell r="T14">
            <v>527.39599999999996</v>
          </cell>
          <cell r="U14">
            <v>528.84</v>
          </cell>
          <cell r="V14">
            <v>530.48500000000001</v>
          </cell>
          <cell r="W14">
            <v>532.32799999999997</v>
          </cell>
          <cell r="X14">
            <v>534.05899999999997</v>
          </cell>
          <cell r="Y14">
            <v>535.06600000000003</v>
          </cell>
          <cell r="Z14">
            <v>536.04899999999998</v>
          </cell>
          <cell r="AA14">
            <v>536.84299999999996</v>
          </cell>
          <cell r="AB14">
            <v>537.49300000000005</v>
          </cell>
          <cell r="AC14">
            <v>547.58500000000004</v>
          </cell>
        </row>
        <row r="15">
          <cell r="A15" t="str">
            <v>Annuities insulation Privately rented - C5 (euro/year,household)</v>
          </cell>
          <cell r="C15">
            <v>994.40800000000002</v>
          </cell>
          <cell r="D15">
            <v>918.27800000000002</v>
          </cell>
          <cell r="E15">
            <v>1060.3620000000001</v>
          </cell>
          <cell r="F15">
            <v>999.17</v>
          </cell>
          <cell r="G15">
            <v>933.846</v>
          </cell>
          <cell r="H15">
            <v>886.07299999999998</v>
          </cell>
          <cell r="I15">
            <v>819.11300000000006</v>
          </cell>
          <cell r="J15">
            <v>635.98800000000006</v>
          </cell>
          <cell r="K15">
            <v>612.68299999999999</v>
          </cell>
          <cell r="L15">
            <v>588.94600000000003</v>
          </cell>
          <cell r="M15">
            <v>565.20000000000005</v>
          </cell>
          <cell r="N15">
            <v>541.91399999999999</v>
          </cell>
          <cell r="O15">
            <v>529.97699999999998</v>
          </cell>
          <cell r="P15">
            <v>489.56400000000002</v>
          </cell>
          <cell r="Q15">
            <v>505.08199999999999</v>
          </cell>
          <cell r="R15">
            <v>506.25799999999998</v>
          </cell>
          <cell r="S15">
            <v>578.43899999999996</v>
          </cell>
          <cell r="T15">
            <v>506.42200000000003</v>
          </cell>
          <cell r="U15">
            <v>506.95499999999998</v>
          </cell>
          <cell r="V15">
            <v>507.52600000000001</v>
          </cell>
          <cell r="W15">
            <v>508.73399999999998</v>
          </cell>
          <cell r="X15">
            <v>509.84699999999998</v>
          </cell>
          <cell r="Y15">
            <v>510.072</v>
          </cell>
          <cell r="Z15">
            <v>510.26900000000001</v>
          </cell>
          <cell r="AA15">
            <v>510.27100000000002</v>
          </cell>
          <cell r="AB15">
            <v>510.02300000000002</v>
          </cell>
          <cell r="AC15">
            <v>522.12699999999995</v>
          </cell>
        </row>
        <row r="16">
          <cell r="A16" t="str">
            <v>Annuities insulation Social-housing - C5 (euro/year,household)</v>
          </cell>
          <cell r="C16">
            <v>911.18899999999996</v>
          </cell>
          <cell r="D16">
            <v>652.73400000000004</v>
          </cell>
          <cell r="E16">
            <v>558.50199999999995</v>
          </cell>
          <cell r="F16">
            <v>541.57899999999995</v>
          </cell>
          <cell r="G16">
            <v>500.09500000000003</v>
          </cell>
          <cell r="H16">
            <v>497.84100000000001</v>
          </cell>
          <cell r="I16">
            <v>501.16</v>
          </cell>
          <cell r="J16">
            <v>502.779</v>
          </cell>
          <cell r="K16">
            <v>516.19200000000001</v>
          </cell>
          <cell r="L16">
            <v>517.75300000000004</v>
          </cell>
          <cell r="M16">
            <v>503.90499999999997</v>
          </cell>
          <cell r="N16">
            <v>487.67200000000003</v>
          </cell>
          <cell r="O16">
            <v>497.55099999999999</v>
          </cell>
          <cell r="P16">
            <v>497.928</v>
          </cell>
          <cell r="Q16">
            <v>492.87700000000001</v>
          </cell>
          <cell r="R16">
            <v>472.85700000000003</v>
          </cell>
          <cell r="S16">
            <v>523.601</v>
          </cell>
          <cell r="T16">
            <v>453.43099999999998</v>
          </cell>
          <cell r="U16">
            <v>446.55799999999999</v>
          </cell>
          <cell r="V16">
            <v>409.327</v>
          </cell>
          <cell r="W16">
            <v>409.76</v>
          </cell>
          <cell r="X16">
            <v>409.84</v>
          </cell>
          <cell r="Y16">
            <v>409.53800000000001</v>
          </cell>
          <cell r="Z16">
            <v>409.32299999999998</v>
          </cell>
          <cell r="AA16">
            <v>409.06200000000001</v>
          </cell>
          <cell r="AB16">
            <v>408.786</v>
          </cell>
          <cell r="AC16">
            <v>413.58600000000001</v>
          </cell>
        </row>
        <row r="17">
          <cell r="A17" t="str">
            <v>Annuities Multi-family - Landlord - C1 (euro)</v>
          </cell>
          <cell r="C17">
            <v>13017926.506999999</v>
          </cell>
          <cell r="D17">
            <v>26491360.311000001</v>
          </cell>
          <cell r="E17">
            <v>37495337.041000001</v>
          </cell>
          <cell r="F17">
            <v>48655821.923</v>
          </cell>
          <cell r="G17">
            <v>57328181.560999997</v>
          </cell>
          <cell r="H17">
            <v>63381822.32</v>
          </cell>
          <cell r="I17">
            <v>67053697.002999999</v>
          </cell>
          <cell r="J17">
            <v>77228191.534999996</v>
          </cell>
          <cell r="K17">
            <v>84128337.442000002</v>
          </cell>
          <cell r="L17">
            <v>90760883.306999996</v>
          </cell>
          <cell r="M17">
            <v>84457874.850999996</v>
          </cell>
          <cell r="N17">
            <v>77826315.931999996</v>
          </cell>
          <cell r="O17">
            <v>73225661.116999999</v>
          </cell>
          <cell r="P17">
            <v>74140599.965000004</v>
          </cell>
          <cell r="Q17">
            <v>77422084.687000006</v>
          </cell>
          <cell r="R17">
            <v>82261900.709000006</v>
          </cell>
          <cell r="S17">
            <v>90029891.772</v>
          </cell>
          <cell r="T17">
            <v>89599879.407000005</v>
          </cell>
          <cell r="U17">
            <v>92069889.560000002</v>
          </cell>
          <cell r="V17">
            <v>93959751.834000006</v>
          </cell>
          <cell r="W17">
            <v>94977556.460999995</v>
          </cell>
          <cell r="X17">
            <v>95217084.944999993</v>
          </cell>
          <cell r="Y17">
            <v>96387841.397</v>
          </cell>
          <cell r="Z17">
            <v>91287865.446999997</v>
          </cell>
          <cell r="AA17">
            <v>86195727.327999994</v>
          </cell>
          <cell r="AB17">
            <v>82086431.461999997</v>
          </cell>
          <cell r="AC17">
            <v>77360292.460999995</v>
          </cell>
        </row>
        <row r="18">
          <cell r="A18" t="str">
            <v>Annuities Multi-family - Landlord - C2 (euro)</v>
          </cell>
          <cell r="C18">
            <v>13722121.856000001</v>
          </cell>
          <cell r="D18">
            <v>28143499.975000001</v>
          </cell>
          <cell r="E18">
            <v>40320932.460000001</v>
          </cell>
          <cell r="F18">
            <v>52690184.491999999</v>
          </cell>
          <cell r="G18">
            <v>62521842.586000003</v>
          </cell>
          <cell r="H18">
            <v>69682216.651999995</v>
          </cell>
          <cell r="I18">
            <v>74391207.305999994</v>
          </cell>
          <cell r="J18">
            <v>85641921.347000003</v>
          </cell>
          <cell r="K18">
            <v>93541557.431999996</v>
          </cell>
          <cell r="L18">
            <v>101201582.69499999</v>
          </cell>
          <cell r="M18">
            <v>95260607.253000006</v>
          </cell>
          <cell r="N18">
            <v>88776828.607999995</v>
          </cell>
          <cell r="O18">
            <v>83988616.736000001</v>
          </cell>
          <cell r="P18">
            <v>84834370.237000003</v>
          </cell>
          <cell r="Q18">
            <v>88085961.968999997</v>
          </cell>
          <cell r="R18">
            <v>92826459.533999994</v>
          </cell>
          <cell r="S18">
            <v>100676153.01100001</v>
          </cell>
          <cell r="T18">
            <v>100073039.039</v>
          </cell>
          <cell r="U18">
            <v>102431284.686</v>
          </cell>
          <cell r="V18">
            <v>104125879.852</v>
          </cell>
          <cell r="W18">
            <v>105200524.68799999</v>
          </cell>
          <cell r="X18">
            <v>105363511.862</v>
          </cell>
          <cell r="Y18">
            <v>106739011.662</v>
          </cell>
          <cell r="Z18">
            <v>101634976.89399999</v>
          </cell>
          <cell r="AA18">
            <v>96625431.480000004</v>
          </cell>
          <cell r="AB18">
            <v>92815258.724000007</v>
          </cell>
          <cell r="AC18">
            <v>88371985.615999997</v>
          </cell>
        </row>
        <row r="19">
          <cell r="A19" t="str">
            <v>Annuities Multi-family - Landlord - C3 (euro)</v>
          </cell>
          <cell r="C19">
            <v>24942592.392000001</v>
          </cell>
          <cell r="D19">
            <v>51199258.075000003</v>
          </cell>
          <cell r="E19">
            <v>72760568.185000002</v>
          </cell>
          <cell r="F19">
            <v>94975176.687999994</v>
          </cell>
          <cell r="G19">
            <v>112839034.102</v>
          </cell>
          <cell r="H19">
            <v>126078805.023</v>
          </cell>
          <cell r="I19">
            <v>134992621.05500001</v>
          </cell>
          <cell r="J19">
            <v>154560129.97299999</v>
          </cell>
          <cell r="K19">
            <v>168377901.67699999</v>
          </cell>
          <cell r="L19">
            <v>182071315.28</v>
          </cell>
          <cell r="M19">
            <v>171307323.653</v>
          </cell>
          <cell r="N19">
            <v>159742196.24000001</v>
          </cell>
          <cell r="O19">
            <v>152088543.99700001</v>
          </cell>
          <cell r="P19">
            <v>154674993.84999999</v>
          </cell>
          <cell r="Q19">
            <v>161393784.829</v>
          </cell>
          <cell r="R19">
            <v>170546165.65900001</v>
          </cell>
          <cell r="S19">
            <v>185459825.817</v>
          </cell>
          <cell r="T19">
            <v>185931439.05700001</v>
          </cell>
          <cell r="U19">
            <v>191439996.597</v>
          </cell>
          <cell r="V19">
            <v>195439304.40599999</v>
          </cell>
          <cell r="W19">
            <v>198773532.44400001</v>
          </cell>
          <cell r="X19">
            <v>200296784.824</v>
          </cell>
          <cell r="Y19">
            <v>203732728.37</v>
          </cell>
          <cell r="Z19">
            <v>195195678.51100001</v>
          </cell>
          <cell r="AA19">
            <v>186737044.90700001</v>
          </cell>
          <cell r="AB19">
            <v>180423663.947</v>
          </cell>
          <cell r="AC19">
            <v>172665592.66299999</v>
          </cell>
        </row>
        <row r="20">
          <cell r="A20" t="str">
            <v>Annuities Multi-family - Landlord - C4 (euro)</v>
          </cell>
          <cell r="C20">
            <v>51062687.193000004</v>
          </cell>
          <cell r="D20">
            <v>105671651.998</v>
          </cell>
          <cell r="E20">
            <v>150828109.96200001</v>
          </cell>
          <cell r="F20">
            <v>197507137.259</v>
          </cell>
          <cell r="G20">
            <v>235387359.53600001</v>
          </cell>
          <cell r="H20">
            <v>263861870.933</v>
          </cell>
          <cell r="I20">
            <v>283500107.13800001</v>
          </cell>
          <cell r="J20">
            <v>327244168.22100002</v>
          </cell>
          <cell r="K20">
            <v>358778274.45499998</v>
          </cell>
          <cell r="L20">
            <v>389739828.083</v>
          </cell>
          <cell r="M20">
            <v>370379952.796</v>
          </cell>
          <cell r="N20">
            <v>348326951.28899997</v>
          </cell>
          <cell r="O20">
            <v>334109459.33499998</v>
          </cell>
          <cell r="P20">
            <v>340902440.07300001</v>
          </cell>
          <cell r="Q20">
            <v>356094614.91900003</v>
          </cell>
          <cell r="R20">
            <v>375921370.05599999</v>
          </cell>
          <cell r="S20">
            <v>407744151.38</v>
          </cell>
          <cell r="T20">
            <v>407326381.264</v>
          </cell>
          <cell r="U20">
            <v>417648285.458</v>
          </cell>
          <cell r="V20">
            <v>425030636.16600001</v>
          </cell>
          <cell r="W20">
            <v>431203596.84799999</v>
          </cell>
          <cell r="X20">
            <v>433505298.58399999</v>
          </cell>
          <cell r="Y20">
            <v>440211198.338</v>
          </cell>
          <cell r="Z20">
            <v>421891208.99199998</v>
          </cell>
          <cell r="AA20">
            <v>403942225.74900001</v>
          </cell>
          <cell r="AB20">
            <v>390982149.43699998</v>
          </cell>
          <cell r="AC20">
            <v>375137236.426</v>
          </cell>
        </row>
        <row r="21">
          <cell r="A21" t="str">
            <v>Annuities Multi-family - Landlord - C5 (euro)</v>
          </cell>
          <cell r="C21">
            <v>374779882.292</v>
          </cell>
          <cell r="D21">
            <v>810022945.66400003</v>
          </cell>
          <cell r="E21">
            <v>1211903741.572</v>
          </cell>
          <cell r="F21">
            <v>1648927682.803</v>
          </cell>
          <cell r="G21">
            <v>2038651980.8429999</v>
          </cell>
          <cell r="H21">
            <v>2364459622.882</v>
          </cell>
          <cell r="I21">
            <v>2623837630.8130002</v>
          </cell>
          <cell r="J21">
            <v>3025147318.349</v>
          </cell>
          <cell r="K21">
            <v>3340642329.5869999</v>
          </cell>
          <cell r="L21">
            <v>3669040090.7909999</v>
          </cell>
          <cell r="M21">
            <v>3653242551.75</v>
          </cell>
          <cell r="N21">
            <v>3595300985.1399999</v>
          </cell>
          <cell r="O21">
            <v>3552186476.711</v>
          </cell>
          <cell r="P21">
            <v>3562766798.5139999</v>
          </cell>
          <cell r="Q21">
            <v>3638881794.4530001</v>
          </cell>
          <cell r="R21">
            <v>3758043556.5749998</v>
          </cell>
          <cell r="S21">
            <v>3997517954.7800002</v>
          </cell>
          <cell r="T21">
            <v>4021730905.6680002</v>
          </cell>
          <cell r="U21">
            <v>4132504396.573</v>
          </cell>
          <cell r="V21">
            <v>4192125933.7080002</v>
          </cell>
          <cell r="W21">
            <v>4236193637.0640001</v>
          </cell>
          <cell r="X21">
            <v>4223190352.3309999</v>
          </cell>
          <cell r="Y21">
            <v>4267996988.9520001</v>
          </cell>
          <cell r="Z21">
            <v>4190298780.2950001</v>
          </cell>
          <cell r="AA21">
            <v>4103045090.651</v>
          </cell>
          <cell r="AB21">
            <v>4049258863.9910002</v>
          </cell>
          <cell r="AC21">
            <v>3954695252.7820001</v>
          </cell>
        </row>
        <row r="22">
          <cell r="A22" t="str">
            <v>Annuities Multi-family - Owner-occupied - C1 (euro)</v>
          </cell>
          <cell r="C22">
            <v>16382787.345000001</v>
          </cell>
          <cell r="D22">
            <v>34596358.799999997</v>
          </cell>
          <cell r="E22">
            <v>47363788.482000001</v>
          </cell>
          <cell r="F22">
            <v>61551949.762000002</v>
          </cell>
          <cell r="G22">
            <v>72630210.057999998</v>
          </cell>
          <cell r="H22">
            <v>80285862.187000006</v>
          </cell>
          <cell r="I22">
            <v>85365726.898000002</v>
          </cell>
          <cell r="J22">
            <v>94402484.609999999</v>
          </cell>
          <cell r="K22">
            <v>100033561.53300001</v>
          </cell>
          <cell r="L22">
            <v>106353291.543</v>
          </cell>
          <cell r="M22">
            <v>97213731.351999998</v>
          </cell>
          <cell r="N22">
            <v>86990509.452000007</v>
          </cell>
          <cell r="O22">
            <v>83773394.175999999</v>
          </cell>
          <cell r="P22">
            <v>80336878.716000006</v>
          </cell>
          <cell r="Q22">
            <v>80504289.657000005</v>
          </cell>
          <cell r="R22">
            <v>82962694.278999999</v>
          </cell>
          <cell r="S22">
            <v>90588983.215000004</v>
          </cell>
          <cell r="T22">
            <v>92210635.562000006</v>
          </cell>
          <cell r="U22">
            <v>96887173.421000004</v>
          </cell>
          <cell r="V22">
            <v>99776785.658000007</v>
          </cell>
          <cell r="W22">
            <v>101375184.977</v>
          </cell>
          <cell r="X22">
            <v>101347173.10600001</v>
          </cell>
          <cell r="Y22">
            <v>100426509.668</v>
          </cell>
          <cell r="Z22">
            <v>97456808.854000002</v>
          </cell>
          <cell r="AA22">
            <v>93805949.532000005</v>
          </cell>
          <cell r="AB22">
            <v>91313309.520999998</v>
          </cell>
          <cell r="AC22">
            <v>86354747.600999996</v>
          </cell>
        </row>
        <row r="23">
          <cell r="A23" t="str">
            <v>Annuities Multi-family - Owner-occupied - C2 (euro)</v>
          </cell>
          <cell r="C23">
            <v>23938534.785</v>
          </cell>
          <cell r="D23">
            <v>51100049.754000001</v>
          </cell>
          <cell r="E23">
            <v>71461847.441</v>
          </cell>
          <cell r="F23">
            <v>93532128.544</v>
          </cell>
          <cell r="G23">
            <v>111506055.811</v>
          </cell>
          <cell r="H23">
            <v>125137660.065</v>
          </cell>
          <cell r="I23">
            <v>134811554.586</v>
          </cell>
          <cell r="J23">
            <v>149630263.92399999</v>
          </cell>
          <cell r="K23">
            <v>159984548.27000001</v>
          </cell>
          <cell r="L23">
            <v>171214138.75999999</v>
          </cell>
          <cell r="M23">
            <v>159691556.11300001</v>
          </cell>
          <cell r="N23">
            <v>145908077.734</v>
          </cell>
          <cell r="O23">
            <v>140621432.366</v>
          </cell>
          <cell r="P23">
            <v>135191285.655</v>
          </cell>
          <cell r="Q23">
            <v>134599027.55599999</v>
          </cell>
          <cell r="R23">
            <v>136612949.52399999</v>
          </cell>
          <cell r="S23">
            <v>146971246.713</v>
          </cell>
          <cell r="T23">
            <v>148130471.222</v>
          </cell>
          <cell r="U23">
            <v>153299803.41499999</v>
          </cell>
          <cell r="V23">
            <v>156032836.28400001</v>
          </cell>
          <cell r="W23">
            <v>157818107.23500001</v>
          </cell>
          <cell r="X23">
            <v>157226163.072</v>
          </cell>
          <cell r="Y23">
            <v>156315540.83500001</v>
          </cell>
          <cell r="Z23">
            <v>152541244.359</v>
          </cell>
          <cell r="AA23">
            <v>147983282.002</v>
          </cell>
          <cell r="AB23">
            <v>145428792.96700001</v>
          </cell>
          <cell r="AC23">
            <v>138883199.794</v>
          </cell>
        </row>
        <row r="24">
          <cell r="A24" t="str">
            <v>Annuities Multi-family - Owner-occupied - C3 (euro)</v>
          </cell>
          <cell r="C24">
            <v>39020192.019000001</v>
          </cell>
          <cell r="D24">
            <v>82341320.910999998</v>
          </cell>
          <cell r="E24">
            <v>116114229.531</v>
          </cell>
          <cell r="F24">
            <v>152593799.98800001</v>
          </cell>
          <cell r="G24">
            <v>182670674.64899999</v>
          </cell>
          <cell r="H24">
            <v>206463261.104</v>
          </cell>
          <cell r="I24">
            <v>223946994.787</v>
          </cell>
          <cell r="J24">
            <v>249260556.84599999</v>
          </cell>
          <cell r="K24">
            <v>267520183.00600001</v>
          </cell>
          <cell r="L24">
            <v>287033905.45899999</v>
          </cell>
          <cell r="M24">
            <v>269303212.21200001</v>
          </cell>
          <cell r="N24">
            <v>248738050.75400001</v>
          </cell>
          <cell r="O24">
            <v>239590547.94600001</v>
          </cell>
          <cell r="P24">
            <v>230164032.40400001</v>
          </cell>
          <cell r="Q24">
            <v>228534178.465</v>
          </cell>
          <cell r="R24">
            <v>230481494.86000001</v>
          </cell>
          <cell r="S24">
            <v>249276390.514</v>
          </cell>
          <cell r="T24">
            <v>249870154.963</v>
          </cell>
          <cell r="U24">
            <v>256867257.67199999</v>
          </cell>
          <cell r="V24">
            <v>260240691.035</v>
          </cell>
          <cell r="W24">
            <v>263669860.45699999</v>
          </cell>
          <cell r="X24">
            <v>263563294.933</v>
          </cell>
          <cell r="Y24">
            <v>263799998.08899999</v>
          </cell>
          <cell r="Z24">
            <v>259744781.30399999</v>
          </cell>
          <cell r="AA24">
            <v>254256271.34400001</v>
          </cell>
          <cell r="AB24">
            <v>251817021.17699999</v>
          </cell>
          <cell r="AC24">
            <v>239267011.38</v>
          </cell>
        </row>
        <row r="25">
          <cell r="A25" t="str">
            <v>Annuities Multi-family - Owner-occupied - C4 (euro)</v>
          </cell>
          <cell r="C25">
            <v>51716648.876000002</v>
          </cell>
          <cell r="D25">
            <v>109247422.882</v>
          </cell>
          <cell r="E25">
            <v>154721366.68799999</v>
          </cell>
          <cell r="F25">
            <v>203770271.04899999</v>
          </cell>
          <cell r="G25">
            <v>244528244.93000001</v>
          </cell>
          <cell r="H25">
            <v>277075250.37099999</v>
          </cell>
          <cell r="I25">
            <v>301541834.77999997</v>
          </cell>
          <cell r="J25">
            <v>336334541.40899998</v>
          </cell>
          <cell r="K25">
            <v>361853800.43699998</v>
          </cell>
          <cell r="L25">
            <v>389038218.06999999</v>
          </cell>
          <cell r="M25">
            <v>366867391.89999998</v>
          </cell>
          <cell r="N25">
            <v>340846590.435</v>
          </cell>
          <cell r="O25">
            <v>329623273.24699998</v>
          </cell>
          <cell r="P25">
            <v>318054094.19499999</v>
          </cell>
          <cell r="Q25">
            <v>316647926.73100001</v>
          </cell>
          <cell r="R25">
            <v>319598160.93599999</v>
          </cell>
          <cell r="S25">
            <v>345174276.04400003</v>
          </cell>
          <cell r="T25">
            <v>346003152.48900002</v>
          </cell>
          <cell r="U25">
            <v>355248835.26800001</v>
          </cell>
          <cell r="V25">
            <v>359550375.542</v>
          </cell>
          <cell r="W25">
            <v>363970323.58200002</v>
          </cell>
          <cell r="X25">
            <v>363331601.898</v>
          </cell>
          <cell r="Y25">
            <v>363329296.98500001</v>
          </cell>
          <cell r="Z25">
            <v>357338842.19999999</v>
          </cell>
          <cell r="AA25">
            <v>349658478.19199997</v>
          </cell>
          <cell r="AB25">
            <v>346599475.20599997</v>
          </cell>
          <cell r="AC25">
            <v>329847803.005</v>
          </cell>
        </row>
        <row r="26">
          <cell r="A26" t="str">
            <v>Annuities Multi-family - Owner-occupied - C5 (euro)</v>
          </cell>
          <cell r="C26">
            <v>83740544.568000004</v>
          </cell>
          <cell r="D26">
            <v>176559300.24399999</v>
          </cell>
          <cell r="E26">
            <v>253396975.88499999</v>
          </cell>
          <cell r="F26">
            <v>336052860.59100002</v>
          </cell>
          <cell r="G26">
            <v>405796037.21600002</v>
          </cell>
          <cell r="H26">
            <v>464378753.74400002</v>
          </cell>
          <cell r="I26">
            <v>510433364.63599998</v>
          </cell>
          <cell r="J26">
            <v>571641492.60099995</v>
          </cell>
          <cell r="K26">
            <v>618157437.81599998</v>
          </cell>
          <cell r="L26">
            <v>666739728.24000001</v>
          </cell>
          <cell r="M26">
            <v>634802727.77400005</v>
          </cell>
          <cell r="N26">
            <v>596503379.33399999</v>
          </cell>
          <cell r="O26">
            <v>578596716.57200003</v>
          </cell>
          <cell r="P26">
            <v>559324361.63399994</v>
          </cell>
          <cell r="Q26">
            <v>556217834.29100001</v>
          </cell>
          <cell r="R26">
            <v>557523353.92999995</v>
          </cell>
          <cell r="S26">
            <v>610368808.39400005</v>
          </cell>
          <cell r="T26">
            <v>607422223.45000005</v>
          </cell>
          <cell r="U26">
            <v>617849890.56099999</v>
          </cell>
          <cell r="V26">
            <v>621035360.87600005</v>
          </cell>
          <cell r="W26">
            <v>626812135.67499995</v>
          </cell>
          <cell r="X26">
            <v>624625030.40100002</v>
          </cell>
          <cell r="Y26">
            <v>623658363.66499996</v>
          </cell>
          <cell r="Z26">
            <v>613633861.83800006</v>
          </cell>
          <cell r="AA26">
            <v>600974705.60800004</v>
          </cell>
          <cell r="AB26">
            <v>596667797.71200001</v>
          </cell>
          <cell r="AC26">
            <v>555214105.745</v>
          </cell>
        </row>
        <row r="27">
          <cell r="A27" t="str">
            <v>Annuities Multi-family - Privately rented - C1 (euro)</v>
          </cell>
          <cell r="C27">
            <v>84671843.859999999</v>
          </cell>
          <cell r="D27">
            <v>173915331.85800001</v>
          </cell>
          <cell r="E27">
            <v>250428279.252</v>
          </cell>
          <cell r="F27">
            <v>328252496.67400002</v>
          </cell>
          <cell r="G27">
            <v>391616263.91900003</v>
          </cell>
          <cell r="H27">
            <v>439882856.51200002</v>
          </cell>
          <cell r="I27">
            <v>473952977.65100002</v>
          </cell>
          <cell r="J27">
            <v>546481957.14100003</v>
          </cell>
          <cell r="K27">
            <v>599485593.10099995</v>
          </cell>
          <cell r="L27">
            <v>651103627.50999999</v>
          </cell>
          <cell r="M27">
            <v>618816778.93099999</v>
          </cell>
          <cell r="N27">
            <v>583009553.24199998</v>
          </cell>
          <cell r="O27">
            <v>557016567.847</v>
          </cell>
          <cell r="P27">
            <v>565866025.11300004</v>
          </cell>
          <cell r="Q27">
            <v>588388066.58700001</v>
          </cell>
          <cell r="R27">
            <v>618596313.46200001</v>
          </cell>
          <cell r="S27">
            <v>668008281.52999997</v>
          </cell>
          <cell r="T27">
            <v>665907161.89499998</v>
          </cell>
          <cell r="U27">
            <v>680913930.39400005</v>
          </cell>
          <cell r="V27">
            <v>691929029.52199996</v>
          </cell>
          <cell r="W27">
            <v>702461768.148</v>
          </cell>
          <cell r="X27">
            <v>707399761.39600003</v>
          </cell>
          <cell r="Y27">
            <v>719023882.421</v>
          </cell>
          <cell r="Z27">
            <v>690893886.53600001</v>
          </cell>
          <cell r="AA27">
            <v>663270662.87199998</v>
          </cell>
          <cell r="AB27">
            <v>643141698.99199998</v>
          </cell>
          <cell r="AC27">
            <v>618224578.26699996</v>
          </cell>
        </row>
        <row r="28">
          <cell r="A28" t="str">
            <v>Annuities Multi-family - Privately rented - C2 (euro)</v>
          </cell>
          <cell r="C28">
            <v>67071455.967</v>
          </cell>
          <cell r="D28">
            <v>139279624.99900001</v>
          </cell>
          <cell r="E28">
            <v>200275599.51699999</v>
          </cell>
          <cell r="F28">
            <v>263259360.22999999</v>
          </cell>
          <cell r="G28">
            <v>314752990.66000003</v>
          </cell>
          <cell r="H28">
            <v>353997794.73799998</v>
          </cell>
          <cell r="I28">
            <v>381651021.92000002</v>
          </cell>
          <cell r="J28">
            <v>438813637.19499999</v>
          </cell>
          <cell r="K28">
            <v>480388439.5</v>
          </cell>
          <cell r="L28">
            <v>521560637.72600001</v>
          </cell>
          <cell r="M28">
            <v>496933351.84200001</v>
          </cell>
          <cell r="N28">
            <v>468559519.77899998</v>
          </cell>
          <cell r="O28">
            <v>449565436.89399999</v>
          </cell>
          <cell r="P28">
            <v>459383146.68900001</v>
          </cell>
          <cell r="Q28">
            <v>480277982.42199999</v>
          </cell>
          <cell r="R28">
            <v>507066267.83899999</v>
          </cell>
          <cell r="S28">
            <v>550010996.04299998</v>
          </cell>
          <cell r="T28">
            <v>552268336.89900005</v>
          </cell>
          <cell r="U28">
            <v>568188671.67299998</v>
          </cell>
          <cell r="V28">
            <v>579885584.71200001</v>
          </cell>
          <cell r="W28">
            <v>590216651.81299996</v>
          </cell>
          <cell r="X28">
            <v>595139986.94700003</v>
          </cell>
          <cell r="Y28">
            <v>605497957.421</v>
          </cell>
          <cell r="Z28">
            <v>581792082.13300002</v>
          </cell>
          <cell r="AA28">
            <v>558462192.33700001</v>
          </cell>
          <cell r="AB28">
            <v>541777727.86800003</v>
          </cell>
          <cell r="AC28">
            <v>520917766.62400001</v>
          </cell>
        </row>
        <row r="29">
          <cell r="A29" t="str">
            <v>Annuities Multi-family - Privately rented - C3 (euro)</v>
          </cell>
          <cell r="C29">
            <v>58431568.072999999</v>
          </cell>
          <cell r="D29">
            <v>122131503.642</v>
          </cell>
          <cell r="E29">
            <v>176388101.03200001</v>
          </cell>
          <cell r="F29">
            <v>232674709.09200001</v>
          </cell>
          <cell r="G29">
            <v>278783751.903</v>
          </cell>
          <cell r="H29">
            <v>313951922.24299997</v>
          </cell>
          <cell r="I29">
            <v>338729078.34100002</v>
          </cell>
          <cell r="J29">
            <v>389836280.60799998</v>
          </cell>
          <cell r="K29">
            <v>426965144.31699997</v>
          </cell>
          <cell r="L29">
            <v>463851865.89899999</v>
          </cell>
          <cell r="M29">
            <v>443569379.86699998</v>
          </cell>
          <cell r="N29">
            <v>419377436.39399999</v>
          </cell>
          <cell r="O29">
            <v>403033337.03200001</v>
          </cell>
          <cell r="P29">
            <v>411055022.45099998</v>
          </cell>
          <cell r="Q29">
            <v>429005257.78100002</v>
          </cell>
          <cell r="R29">
            <v>451967949.61000001</v>
          </cell>
          <cell r="S29">
            <v>489734128.74599999</v>
          </cell>
          <cell r="T29">
            <v>491010971.53399998</v>
          </cell>
          <cell r="U29">
            <v>504719919.39099997</v>
          </cell>
          <cell r="V29">
            <v>514464576.73400003</v>
          </cell>
          <cell r="W29">
            <v>522714392.34500003</v>
          </cell>
          <cell r="X29">
            <v>525641639.264</v>
          </cell>
          <cell r="Y29">
            <v>534120523.01700002</v>
          </cell>
          <cell r="Z29">
            <v>512914767.04799998</v>
          </cell>
          <cell r="AA29">
            <v>492343161.861</v>
          </cell>
          <cell r="AB29">
            <v>478443366.449</v>
          </cell>
          <cell r="AC29">
            <v>460921794.89999998</v>
          </cell>
        </row>
        <row r="30">
          <cell r="A30" t="str">
            <v>Annuities Multi-family - Privately rented - C4 (euro)</v>
          </cell>
          <cell r="C30">
            <v>50950383.373999998</v>
          </cell>
          <cell r="D30">
            <v>106394026.20900001</v>
          </cell>
          <cell r="E30">
            <v>154207344.21399999</v>
          </cell>
          <cell r="F30">
            <v>203566745.26100001</v>
          </cell>
          <cell r="G30">
            <v>243924297.648</v>
          </cell>
          <cell r="H30">
            <v>274691669.36699998</v>
          </cell>
          <cell r="I30">
            <v>296364270.33200002</v>
          </cell>
          <cell r="J30">
            <v>342347589.912</v>
          </cell>
          <cell r="K30">
            <v>375860041.333</v>
          </cell>
          <cell r="L30">
            <v>408852214.32700002</v>
          </cell>
          <cell r="M30">
            <v>391730527.48699999</v>
          </cell>
          <cell r="N30">
            <v>371082274.12599999</v>
          </cell>
          <cell r="O30">
            <v>356769469.87300003</v>
          </cell>
          <cell r="P30">
            <v>363005538.59299999</v>
          </cell>
          <cell r="Q30">
            <v>378174973.30800003</v>
          </cell>
          <cell r="R30">
            <v>397604603.49199998</v>
          </cell>
          <cell r="S30">
            <v>430275068.77399999</v>
          </cell>
          <cell r="T30">
            <v>429484192.30199999</v>
          </cell>
          <cell r="U30">
            <v>439888279.579</v>
          </cell>
          <cell r="V30">
            <v>447068971.61900002</v>
          </cell>
          <cell r="W30">
            <v>453138375.22100002</v>
          </cell>
          <cell r="X30">
            <v>454599038.39099997</v>
          </cell>
          <cell r="Y30">
            <v>461100698.30500001</v>
          </cell>
          <cell r="Z30">
            <v>442413318.10600001</v>
          </cell>
          <cell r="AA30">
            <v>424269405.94599998</v>
          </cell>
          <cell r="AB30">
            <v>412273971.01200002</v>
          </cell>
          <cell r="AC30">
            <v>396983680.33600003</v>
          </cell>
        </row>
        <row r="31">
          <cell r="A31" t="str">
            <v>Annuities Multi-family - Privately rented - C5 (euro)</v>
          </cell>
          <cell r="C31">
            <v>41135067.206</v>
          </cell>
          <cell r="D31">
            <v>85922641.310000002</v>
          </cell>
          <cell r="E31">
            <v>125618582.742</v>
          </cell>
          <cell r="F31">
            <v>166317088.83500001</v>
          </cell>
          <cell r="G31">
            <v>199549239.73500001</v>
          </cell>
          <cell r="H31">
            <v>224924170.74700001</v>
          </cell>
          <cell r="I31">
            <v>242841826.745</v>
          </cell>
          <cell r="J31">
            <v>283323688.69499999</v>
          </cell>
          <cell r="K31">
            <v>313052646.79400003</v>
          </cell>
          <cell r="L31">
            <v>341767563.91799998</v>
          </cell>
          <cell r="M31">
            <v>329541903.87</v>
          </cell>
          <cell r="N31">
            <v>314061723.18400002</v>
          </cell>
          <cell r="O31">
            <v>302182152.37900001</v>
          </cell>
          <cell r="P31">
            <v>306614238.04799998</v>
          </cell>
          <cell r="Q31">
            <v>318478569.57499999</v>
          </cell>
          <cell r="R31">
            <v>333800289.83899999</v>
          </cell>
          <cell r="S31">
            <v>360066200.95499998</v>
          </cell>
          <cell r="T31">
            <v>356092793.546</v>
          </cell>
          <cell r="U31">
            <v>361814515.426</v>
          </cell>
          <cell r="V31">
            <v>365485790.60799998</v>
          </cell>
          <cell r="W31">
            <v>368627891.04299998</v>
          </cell>
          <cell r="X31">
            <v>368276404.27499998</v>
          </cell>
          <cell r="Y31">
            <v>372546714.14600003</v>
          </cell>
          <cell r="Z31">
            <v>356869584.57999998</v>
          </cell>
          <cell r="AA31">
            <v>341710571.366</v>
          </cell>
          <cell r="AB31">
            <v>331738648.92400002</v>
          </cell>
          <cell r="AC31">
            <v>319094045.98900002</v>
          </cell>
        </row>
        <row r="32">
          <cell r="A32" t="str">
            <v>Annuities Multi-family - Social-housing - C1 (euro)</v>
          </cell>
          <cell r="C32">
            <v>73159782.753000006</v>
          </cell>
          <cell r="D32">
            <v>163920283.94999999</v>
          </cell>
          <cell r="E32">
            <v>252903639.44100001</v>
          </cell>
          <cell r="F32">
            <v>354734806.278</v>
          </cell>
          <cell r="G32">
            <v>451724728.67000002</v>
          </cell>
          <cell r="H32">
            <v>537551497.99699998</v>
          </cell>
          <cell r="I32">
            <v>610201886.22300005</v>
          </cell>
          <cell r="J32">
            <v>703070625.222</v>
          </cell>
          <cell r="K32">
            <v>780184662.45799994</v>
          </cell>
          <cell r="L32">
            <v>863717917.06200004</v>
          </cell>
          <cell r="M32">
            <v>886053405.81799996</v>
          </cell>
          <cell r="N32">
            <v>896911272.005</v>
          </cell>
          <cell r="O32">
            <v>904279764.03199995</v>
          </cell>
          <cell r="P32">
            <v>898751752.65400004</v>
          </cell>
          <cell r="Q32">
            <v>905764377.05999994</v>
          </cell>
          <cell r="R32">
            <v>923413802.421</v>
          </cell>
          <cell r="S32">
            <v>970397744.00100005</v>
          </cell>
          <cell r="T32">
            <v>980951317.20899999</v>
          </cell>
          <cell r="U32">
            <v>1009789645.9349999</v>
          </cell>
          <cell r="V32">
            <v>1021719452.905</v>
          </cell>
          <cell r="W32">
            <v>1027913104.319</v>
          </cell>
          <cell r="X32">
            <v>1017333102.8839999</v>
          </cell>
          <cell r="Y32">
            <v>1023181193.911</v>
          </cell>
          <cell r="Z32">
            <v>1019500582.345</v>
          </cell>
          <cell r="AA32">
            <v>1011288301.3200001</v>
          </cell>
          <cell r="AB32">
            <v>1007894033.612</v>
          </cell>
          <cell r="AC32">
            <v>992757223.76100004</v>
          </cell>
        </row>
        <row r="33">
          <cell r="A33" t="str">
            <v>Annuities Multi-family - Social-housing - C2 (euro)</v>
          </cell>
          <cell r="C33">
            <v>50689640.722999997</v>
          </cell>
          <cell r="D33">
            <v>113973696.263</v>
          </cell>
          <cell r="E33">
            <v>175112374.41499999</v>
          </cell>
          <cell r="F33">
            <v>244658056.78</v>
          </cell>
          <cell r="G33">
            <v>310705768.34399998</v>
          </cell>
          <cell r="H33">
            <v>368892374.64399999</v>
          </cell>
          <cell r="I33">
            <v>417860131.24400002</v>
          </cell>
          <cell r="J33">
            <v>480897250.00199997</v>
          </cell>
          <cell r="K33">
            <v>532785437.07200003</v>
          </cell>
          <cell r="L33">
            <v>589007645.76100004</v>
          </cell>
          <cell r="M33">
            <v>602095758.64499998</v>
          </cell>
          <cell r="N33">
            <v>606878558.77499998</v>
          </cell>
          <cell r="O33">
            <v>610197059.69799995</v>
          </cell>
          <cell r="P33">
            <v>605696725.65699995</v>
          </cell>
          <cell r="Q33">
            <v>610509159.67400002</v>
          </cell>
          <cell r="R33">
            <v>623336369.78199995</v>
          </cell>
          <cell r="S33">
            <v>656585964.29900002</v>
          </cell>
          <cell r="T33">
            <v>665056541.00899994</v>
          </cell>
          <cell r="U33">
            <v>686538871.449</v>
          </cell>
          <cell r="V33">
            <v>697007123.45700002</v>
          </cell>
          <cell r="W33">
            <v>703872216.79700005</v>
          </cell>
          <cell r="X33">
            <v>699044174.19400001</v>
          </cell>
          <cell r="Y33">
            <v>705440693.02900004</v>
          </cell>
          <cell r="Z33">
            <v>704620731.80499995</v>
          </cell>
          <cell r="AA33">
            <v>700128749.43200004</v>
          </cell>
          <cell r="AB33">
            <v>698404529.71300006</v>
          </cell>
          <cell r="AC33">
            <v>688480121.79299998</v>
          </cell>
        </row>
        <row r="34">
          <cell r="A34" t="str">
            <v>Annuities Multi-family - Social-housing - C3 (euro)</v>
          </cell>
          <cell r="C34">
            <v>30918655.749000002</v>
          </cell>
          <cell r="D34">
            <v>69768937.150999993</v>
          </cell>
          <cell r="E34">
            <v>107289850.92399999</v>
          </cell>
          <cell r="F34">
            <v>149991137.70100001</v>
          </cell>
          <cell r="G34">
            <v>190058793.31099999</v>
          </cell>
          <cell r="H34">
            <v>225026756.32699999</v>
          </cell>
          <cell r="I34">
            <v>254281724.51499999</v>
          </cell>
          <cell r="J34">
            <v>292264407.167</v>
          </cell>
          <cell r="K34">
            <v>323365996.24000001</v>
          </cell>
          <cell r="L34">
            <v>357198866.55400002</v>
          </cell>
          <cell r="M34">
            <v>365095531.477</v>
          </cell>
          <cell r="N34">
            <v>367772859.26599997</v>
          </cell>
          <cell r="O34">
            <v>369162655.426</v>
          </cell>
          <cell r="P34">
            <v>365738993.542</v>
          </cell>
          <cell r="Q34">
            <v>368254249.83700001</v>
          </cell>
          <cell r="R34">
            <v>375651237.704</v>
          </cell>
          <cell r="S34">
            <v>395278388.57599998</v>
          </cell>
          <cell r="T34">
            <v>399651151.66299999</v>
          </cell>
          <cell r="U34">
            <v>411888836.06999999</v>
          </cell>
          <cell r="V34">
            <v>417200820.55000001</v>
          </cell>
          <cell r="W34">
            <v>419734271.93699998</v>
          </cell>
          <cell r="X34">
            <v>415181870.61199999</v>
          </cell>
          <cell r="Y34">
            <v>417754011.99400002</v>
          </cell>
          <cell r="Z34">
            <v>416030760.05900002</v>
          </cell>
          <cell r="AA34">
            <v>412229910.528</v>
          </cell>
          <cell r="AB34">
            <v>410334859.48500001</v>
          </cell>
          <cell r="AC34">
            <v>403645793.125</v>
          </cell>
        </row>
        <row r="35">
          <cell r="A35" t="str">
            <v>Annuities Multi-family - Social-housing - C4 (euro)</v>
          </cell>
          <cell r="C35">
            <v>15005290.392999999</v>
          </cell>
          <cell r="D35">
            <v>33710409.255000003</v>
          </cell>
          <cell r="E35">
            <v>51807036.472000003</v>
          </cell>
          <cell r="F35">
            <v>72388940.044</v>
          </cell>
          <cell r="G35">
            <v>91617164.297000006</v>
          </cell>
          <cell r="H35">
            <v>108358201.303</v>
          </cell>
          <cell r="I35">
            <v>122405941.54099999</v>
          </cell>
          <cell r="J35">
            <v>140546314.61700001</v>
          </cell>
          <cell r="K35">
            <v>155437559.05500001</v>
          </cell>
          <cell r="L35">
            <v>171642223.68599999</v>
          </cell>
          <cell r="M35">
            <v>175310343.18000001</v>
          </cell>
          <cell r="N35">
            <v>176576516.51300001</v>
          </cell>
          <cell r="O35">
            <v>177457839.37599999</v>
          </cell>
          <cell r="P35">
            <v>175987519.567</v>
          </cell>
          <cell r="Q35">
            <v>177504515.29300001</v>
          </cell>
          <cell r="R35">
            <v>181512725.86899999</v>
          </cell>
          <cell r="S35">
            <v>191455811.192</v>
          </cell>
          <cell r="T35">
            <v>194158668.377</v>
          </cell>
          <cell r="U35">
            <v>200637820.04499999</v>
          </cell>
          <cell r="V35">
            <v>203846239.961</v>
          </cell>
          <cell r="W35">
            <v>205634596.69400001</v>
          </cell>
          <cell r="X35">
            <v>204012617.21200001</v>
          </cell>
          <cell r="Y35">
            <v>205572190.63999999</v>
          </cell>
          <cell r="Z35">
            <v>205110155.634</v>
          </cell>
          <cell r="AA35">
            <v>203633128.197</v>
          </cell>
          <cell r="AB35">
            <v>202991768.61000001</v>
          </cell>
          <cell r="AC35">
            <v>199972895.23800001</v>
          </cell>
        </row>
        <row r="36">
          <cell r="A36" t="str">
            <v>Annuities Multi-family - Social-housing - C5 (euro)</v>
          </cell>
          <cell r="C36">
            <v>5491522.1430000002</v>
          </cell>
          <cell r="D36">
            <v>12512261.388</v>
          </cell>
          <cell r="E36">
            <v>19277881.208999999</v>
          </cell>
          <cell r="F36">
            <v>26912662.269000001</v>
          </cell>
          <cell r="G36">
            <v>33995400.141000003</v>
          </cell>
          <cell r="H36">
            <v>40187093.93</v>
          </cell>
          <cell r="I36">
            <v>45486404.803000003</v>
          </cell>
          <cell r="J36">
            <v>52239978.868000001</v>
          </cell>
          <cell r="K36">
            <v>57942880.722000003</v>
          </cell>
          <cell r="L36">
            <v>64111137.711000003</v>
          </cell>
          <cell r="M36">
            <v>65501329.185000002</v>
          </cell>
          <cell r="N36">
            <v>65743563.925999999</v>
          </cell>
          <cell r="O36">
            <v>65934475.336999997</v>
          </cell>
          <cell r="P36">
            <v>65220240.325000003</v>
          </cell>
          <cell r="Q36">
            <v>65521089.32</v>
          </cell>
          <cell r="R36">
            <v>66649892.516000003</v>
          </cell>
          <cell r="S36">
            <v>69615392.644999996</v>
          </cell>
          <cell r="T36">
            <v>70080510.001000002</v>
          </cell>
          <cell r="U36">
            <v>71713362.910999998</v>
          </cell>
          <cell r="V36">
            <v>72073915.898000002</v>
          </cell>
          <cell r="W36">
            <v>72035579.187999994</v>
          </cell>
          <cell r="X36">
            <v>70944437.370000005</v>
          </cell>
          <cell r="Y36">
            <v>70829903.834999993</v>
          </cell>
          <cell r="Z36">
            <v>70162641.893000007</v>
          </cell>
          <cell r="AA36">
            <v>69209436.255999997</v>
          </cell>
          <cell r="AB36">
            <v>68565762.894999996</v>
          </cell>
          <cell r="AC36">
            <v>67232459.916999996</v>
          </cell>
        </row>
        <row r="37">
          <cell r="A37" t="str">
            <v>Annuities Single-family - Landlord - C1 (euro)</v>
          </cell>
          <cell r="C37">
            <v>10911372.107999999</v>
          </cell>
          <cell r="D37">
            <v>20863467.351</v>
          </cell>
          <cell r="E37">
            <v>30675336.493999999</v>
          </cell>
          <cell r="F37">
            <v>39179231.858000003</v>
          </cell>
          <cell r="G37">
            <v>46740451.763999999</v>
          </cell>
          <cell r="H37">
            <v>53748469.625</v>
          </cell>
          <cell r="I37">
            <v>60411143.946000002</v>
          </cell>
          <cell r="J37">
            <v>68995586.677000001</v>
          </cell>
          <cell r="K37">
            <v>76675008.371999994</v>
          </cell>
          <cell r="L37">
            <v>83706184.972000003</v>
          </cell>
          <cell r="M37">
            <v>79345165.941</v>
          </cell>
          <cell r="N37">
            <v>75585679.106999993</v>
          </cell>
          <cell r="O37">
            <v>70931557.671000004</v>
          </cell>
          <cell r="P37">
            <v>72127604.909999996</v>
          </cell>
          <cell r="Q37">
            <v>73817810.438999996</v>
          </cell>
          <cell r="R37">
            <v>75193677.187999994</v>
          </cell>
          <cell r="S37">
            <v>76789741.606999993</v>
          </cell>
          <cell r="T37">
            <v>75630624.151999995</v>
          </cell>
          <cell r="U37">
            <v>75053685.548999995</v>
          </cell>
          <cell r="V37">
            <v>74614172.270999998</v>
          </cell>
          <cell r="W37">
            <v>74676240.716999993</v>
          </cell>
          <cell r="X37">
            <v>74848045.835999995</v>
          </cell>
          <cell r="Y37">
            <v>76086768.195999995</v>
          </cell>
          <cell r="Z37">
            <v>72545463.838</v>
          </cell>
          <cell r="AA37">
            <v>69242542.363999993</v>
          </cell>
          <cell r="AB37">
            <v>66579173.398999996</v>
          </cell>
          <cell r="AC37">
            <v>63815713.655000001</v>
          </cell>
        </row>
        <row r="38">
          <cell r="A38" t="str">
            <v>Annuities Single-family - Landlord - C2 (euro)</v>
          </cell>
          <cell r="C38">
            <v>16351288.380999999</v>
          </cell>
          <cell r="D38">
            <v>31361910.759</v>
          </cell>
          <cell r="E38">
            <v>50168717.846000001</v>
          </cell>
          <cell r="F38">
            <v>66428305.108000003</v>
          </cell>
          <cell r="G38">
            <v>80697867.769999996</v>
          </cell>
          <cell r="H38">
            <v>94007141.371999994</v>
          </cell>
          <cell r="I38">
            <v>106200468.103</v>
          </cell>
          <cell r="J38">
            <v>121968606.744</v>
          </cell>
          <cell r="K38">
            <v>135773464.02500001</v>
          </cell>
          <cell r="L38">
            <v>148141939.39399999</v>
          </cell>
          <cell r="M38">
            <v>143084898.604</v>
          </cell>
          <cell r="N38">
            <v>138565275.63600001</v>
          </cell>
          <cell r="O38">
            <v>128179086.54899999</v>
          </cell>
          <cell r="P38">
            <v>128260868.067</v>
          </cell>
          <cell r="Q38">
            <v>129487441.43799999</v>
          </cell>
          <cell r="R38">
            <v>130225148.59900001</v>
          </cell>
          <cell r="S38">
            <v>131876588.638</v>
          </cell>
          <cell r="T38">
            <v>128345754.45999999</v>
          </cell>
          <cell r="U38">
            <v>126131515.633</v>
          </cell>
          <cell r="V38">
            <v>124485874.01800001</v>
          </cell>
          <cell r="W38">
            <v>124441349.564</v>
          </cell>
          <cell r="X38">
            <v>124863279.088</v>
          </cell>
          <cell r="Y38">
            <v>127212099.705</v>
          </cell>
          <cell r="Z38">
            <v>121302838.617</v>
          </cell>
          <cell r="AA38">
            <v>115774046.684</v>
          </cell>
          <cell r="AB38">
            <v>111202851.958</v>
          </cell>
          <cell r="AC38">
            <v>106412827.433</v>
          </cell>
        </row>
        <row r="39">
          <cell r="A39" t="str">
            <v>Annuities Single-family - Landlord - C3 (euro)</v>
          </cell>
          <cell r="C39">
            <v>33473555.995000001</v>
          </cell>
          <cell r="D39">
            <v>63652901.700000003</v>
          </cell>
          <cell r="E39">
            <v>101263100.82099999</v>
          </cell>
          <cell r="F39">
            <v>133323167.95900001</v>
          </cell>
          <cell r="G39">
            <v>161249261.45100001</v>
          </cell>
          <cell r="H39">
            <v>186889056.23500001</v>
          </cell>
          <cell r="I39">
            <v>210293947.02599999</v>
          </cell>
          <cell r="J39">
            <v>240434617.586</v>
          </cell>
          <cell r="K39">
            <v>266856503.93000001</v>
          </cell>
          <cell r="L39">
            <v>290600281.10799998</v>
          </cell>
          <cell r="M39">
            <v>278892939.30299997</v>
          </cell>
          <cell r="N39">
            <v>269022120.27399999</v>
          </cell>
          <cell r="O39">
            <v>248054942.14500001</v>
          </cell>
          <cell r="P39">
            <v>246681292.169</v>
          </cell>
          <cell r="Q39">
            <v>248015451.36300001</v>
          </cell>
          <cell r="R39">
            <v>248882007.24599999</v>
          </cell>
          <cell r="S39">
            <v>252451090.99399999</v>
          </cell>
          <cell r="T39">
            <v>245329798.06999999</v>
          </cell>
          <cell r="U39">
            <v>240714489.26699999</v>
          </cell>
          <cell r="V39">
            <v>237152912.829</v>
          </cell>
          <cell r="W39">
            <v>237922538.18200001</v>
          </cell>
          <cell r="X39">
            <v>239581446.414</v>
          </cell>
          <cell r="Y39">
            <v>244497349.05000001</v>
          </cell>
          <cell r="Z39">
            <v>234882679.27599999</v>
          </cell>
          <cell r="AA39">
            <v>225682301.84099999</v>
          </cell>
          <cell r="AB39">
            <v>218160402.18799999</v>
          </cell>
          <cell r="AC39">
            <v>209228244.98199999</v>
          </cell>
        </row>
        <row r="40">
          <cell r="A40" t="str">
            <v>Annuities Single-family - Landlord - C4 (euro)</v>
          </cell>
          <cell r="C40">
            <v>54537652.178000003</v>
          </cell>
          <cell r="D40">
            <v>104000396.56</v>
          </cell>
          <cell r="E40">
            <v>167961197.965</v>
          </cell>
          <cell r="F40">
            <v>222999547.46700001</v>
          </cell>
          <cell r="G40">
            <v>271278973.00199997</v>
          </cell>
          <cell r="H40">
            <v>315648796.82099998</v>
          </cell>
          <cell r="I40">
            <v>356189710.75400001</v>
          </cell>
          <cell r="J40">
            <v>407729483.92400002</v>
          </cell>
          <cell r="K40">
            <v>453163022.06</v>
          </cell>
          <cell r="L40">
            <v>494240930.486</v>
          </cell>
          <cell r="M40">
            <v>477586637.75599998</v>
          </cell>
          <cell r="N40">
            <v>463685518.745</v>
          </cell>
          <cell r="O40">
            <v>429079150.83499998</v>
          </cell>
          <cell r="P40">
            <v>427177931.27200001</v>
          </cell>
          <cell r="Q40">
            <v>429769965.80599999</v>
          </cell>
          <cell r="R40">
            <v>431515197.37699997</v>
          </cell>
          <cell r="S40">
            <v>438484852.59799999</v>
          </cell>
          <cell r="T40">
            <v>427140657.68199998</v>
          </cell>
          <cell r="U40">
            <v>419899272.95999998</v>
          </cell>
          <cell r="V40">
            <v>414202800.51700002</v>
          </cell>
          <cell r="W40">
            <v>415948456.48900002</v>
          </cell>
          <cell r="X40">
            <v>419066338.14399999</v>
          </cell>
          <cell r="Y40">
            <v>427759495.403</v>
          </cell>
          <cell r="Z40">
            <v>411835468.49800003</v>
          </cell>
          <cell r="AA40">
            <v>396415932.25800002</v>
          </cell>
          <cell r="AB40">
            <v>383869972.22299999</v>
          </cell>
          <cell r="AC40">
            <v>368274724.31699997</v>
          </cell>
        </row>
        <row r="41">
          <cell r="A41" t="str">
            <v>Annuities Single-family - Landlord - C5 (euro)</v>
          </cell>
          <cell r="C41">
            <v>171943696.00299999</v>
          </cell>
          <cell r="D41">
            <v>346658485.37300003</v>
          </cell>
          <cell r="E41">
            <v>572426173.97899997</v>
          </cell>
          <cell r="F41">
            <v>786154381.53600001</v>
          </cell>
          <cell r="G41">
            <v>980036460.58800006</v>
          </cell>
          <cell r="H41">
            <v>1163311807.823</v>
          </cell>
          <cell r="I41">
            <v>1341070379.6530001</v>
          </cell>
          <cell r="J41">
            <v>1541354173.7460001</v>
          </cell>
          <cell r="K41">
            <v>1735198276.072</v>
          </cell>
          <cell r="L41">
            <v>1929302148.7920001</v>
          </cell>
          <cell r="M41">
            <v>1955081922.3180001</v>
          </cell>
          <cell r="N41">
            <v>1970341767.7739999</v>
          </cell>
          <cell r="O41">
            <v>1923532825.3410001</v>
          </cell>
          <cell r="P41">
            <v>1933138601.655</v>
          </cell>
          <cell r="Q41">
            <v>1957269361.934</v>
          </cell>
          <cell r="R41">
            <v>1973087578.8629999</v>
          </cell>
          <cell r="S41">
            <v>2012755620.5810001</v>
          </cell>
          <cell r="T41">
            <v>1987738366.359</v>
          </cell>
          <cell r="U41">
            <v>1962985368.677</v>
          </cell>
          <cell r="V41">
            <v>1901646264.921</v>
          </cell>
          <cell r="W41">
            <v>1858049389.4289999</v>
          </cell>
          <cell r="X41">
            <v>1817892969.0899999</v>
          </cell>
          <cell r="Y41">
            <v>1789429924.0929999</v>
          </cell>
          <cell r="Z41">
            <v>1712241251.118</v>
          </cell>
          <cell r="AA41">
            <v>1634826788.848</v>
          </cell>
          <cell r="AB41">
            <v>1570552418.359</v>
          </cell>
          <cell r="AC41">
            <v>1482816695.7690001</v>
          </cell>
        </row>
        <row r="42">
          <cell r="A42" t="str">
            <v>Annuities Single-family - Owner-occupied - C1 (euro)</v>
          </cell>
          <cell r="C42">
            <v>76222770.511000007</v>
          </cell>
          <cell r="D42">
            <v>151689503.36399999</v>
          </cell>
          <cell r="E42">
            <v>233182304.935</v>
          </cell>
          <cell r="F42">
            <v>317090079.542</v>
          </cell>
          <cell r="G42">
            <v>396500569.91799998</v>
          </cell>
          <cell r="H42">
            <v>473363785.21600002</v>
          </cell>
          <cell r="I42">
            <v>551822286.64900005</v>
          </cell>
          <cell r="J42">
            <v>627454123.60599995</v>
          </cell>
          <cell r="K42">
            <v>700404857.01999998</v>
          </cell>
          <cell r="L42">
            <v>771236193.98699999</v>
          </cell>
          <cell r="M42">
            <v>763904773.98199999</v>
          </cell>
          <cell r="N42">
            <v>755483619.53299999</v>
          </cell>
          <cell r="O42">
            <v>730310124.34200001</v>
          </cell>
          <cell r="P42">
            <v>701800183.54100001</v>
          </cell>
          <cell r="Q42">
            <v>677138742.67799997</v>
          </cell>
          <cell r="R42">
            <v>650057969.579</v>
          </cell>
          <cell r="S42">
            <v>634572009.505</v>
          </cell>
          <cell r="T42">
            <v>616408239.29900002</v>
          </cell>
          <cell r="U42">
            <v>599454164.69299996</v>
          </cell>
          <cell r="V42">
            <v>581321037.38699996</v>
          </cell>
          <cell r="W42">
            <v>569634702.84000003</v>
          </cell>
          <cell r="X42">
            <v>558155445.17900002</v>
          </cell>
          <cell r="Y42">
            <v>558321804.94799995</v>
          </cell>
          <cell r="Z42">
            <v>557702606.87300003</v>
          </cell>
          <cell r="AA42">
            <v>556272700.40900004</v>
          </cell>
          <cell r="AB42">
            <v>558264906.77100003</v>
          </cell>
          <cell r="AC42">
            <v>545499641.46599996</v>
          </cell>
        </row>
        <row r="43">
          <cell r="A43" t="str">
            <v>Annuities Single-family - Owner-occupied - C2 (euro)</v>
          </cell>
          <cell r="C43">
            <v>139310549.34200001</v>
          </cell>
          <cell r="D43">
            <v>277141330.20099998</v>
          </cell>
          <cell r="E43">
            <v>428448098.176</v>
          </cell>
          <cell r="F43">
            <v>583489856.27100003</v>
          </cell>
          <cell r="G43">
            <v>740029712.39600003</v>
          </cell>
          <cell r="H43">
            <v>895667507.11699998</v>
          </cell>
          <cell r="I43">
            <v>1055131108.345</v>
          </cell>
          <cell r="J43">
            <v>1209636228.175</v>
          </cell>
          <cell r="K43">
            <v>1356595452.928</v>
          </cell>
          <cell r="L43">
            <v>1497446617.631</v>
          </cell>
          <cell r="M43">
            <v>1493550622.4949999</v>
          </cell>
          <cell r="N43">
            <v>1486185137.641</v>
          </cell>
          <cell r="O43">
            <v>1445790854.572</v>
          </cell>
          <cell r="P43">
            <v>1398675940.6070001</v>
          </cell>
          <cell r="Q43">
            <v>1348526914.171</v>
          </cell>
          <cell r="R43">
            <v>1289669787.6070001</v>
          </cell>
          <cell r="S43">
            <v>1256252304.891</v>
          </cell>
          <cell r="T43">
            <v>1213050211.0899999</v>
          </cell>
          <cell r="U43">
            <v>1173638470.9690001</v>
          </cell>
          <cell r="V43">
            <v>1133792190.3610001</v>
          </cell>
          <cell r="W43">
            <v>1114380452.78</v>
          </cell>
          <cell r="X43">
            <v>1097292726.039</v>
          </cell>
          <cell r="Y43">
            <v>1099963835.674</v>
          </cell>
          <cell r="Z43">
            <v>1103061198.842</v>
          </cell>
          <cell r="AA43">
            <v>1104041296.9200001</v>
          </cell>
          <cell r="AB43">
            <v>1110816522.954</v>
          </cell>
          <cell r="AC43">
            <v>1087923419.7160001</v>
          </cell>
        </row>
        <row r="44">
          <cell r="A44" t="str">
            <v>Annuities Single-family - Owner-occupied - C3 (euro)</v>
          </cell>
          <cell r="C44">
            <v>272912138.01899999</v>
          </cell>
          <cell r="D44">
            <v>537624242.56599998</v>
          </cell>
          <cell r="E44">
            <v>816404419.97599995</v>
          </cell>
          <cell r="F44">
            <v>1089645142.753</v>
          </cell>
          <cell r="G44">
            <v>1342626772.753</v>
          </cell>
          <cell r="H44">
            <v>1596640622.1700001</v>
          </cell>
          <cell r="I44">
            <v>1853134194.865</v>
          </cell>
          <cell r="J44">
            <v>2092244232.54</v>
          </cell>
          <cell r="K44">
            <v>2317720158.3779998</v>
          </cell>
          <cell r="L44">
            <v>2533218087.4120002</v>
          </cell>
          <cell r="M44">
            <v>2467645802.4980001</v>
          </cell>
          <cell r="N44">
            <v>2403266692.4770002</v>
          </cell>
          <cell r="O44">
            <v>2295931894.4369998</v>
          </cell>
          <cell r="P44">
            <v>2189576069.1360002</v>
          </cell>
          <cell r="Q44">
            <v>2102579699.5320001</v>
          </cell>
          <cell r="R44">
            <v>1999733448.783</v>
          </cell>
          <cell r="S44">
            <v>1932310397.118</v>
          </cell>
          <cell r="T44">
            <v>1857362145.46</v>
          </cell>
          <cell r="U44">
            <v>1790769109.1229999</v>
          </cell>
          <cell r="V44">
            <v>1724716067.714</v>
          </cell>
          <cell r="W44">
            <v>1702469682.312</v>
          </cell>
          <cell r="X44">
            <v>1685051370.8759999</v>
          </cell>
          <cell r="Y44">
            <v>1696058334.776</v>
          </cell>
          <cell r="Z44">
            <v>1709535792.8099999</v>
          </cell>
          <cell r="AA44">
            <v>1717393976.803</v>
          </cell>
          <cell r="AB44">
            <v>1733107396.78</v>
          </cell>
          <cell r="AC44">
            <v>1705466823.7290001</v>
          </cell>
        </row>
        <row r="45">
          <cell r="A45" t="str">
            <v>Annuities Single-family - Owner-occupied - C4 (euro)</v>
          </cell>
          <cell r="C45">
            <v>290712940.06999999</v>
          </cell>
          <cell r="D45">
            <v>575102466.85899997</v>
          </cell>
          <cell r="E45">
            <v>888970982.05999994</v>
          </cell>
          <cell r="F45">
            <v>1200584215.3929999</v>
          </cell>
          <cell r="G45">
            <v>1491855688.4990001</v>
          </cell>
          <cell r="H45">
            <v>1787173314.424</v>
          </cell>
          <cell r="I45">
            <v>2079995845.8610001</v>
          </cell>
          <cell r="J45">
            <v>2356812524.1240001</v>
          </cell>
          <cell r="K45">
            <v>2620470056.448</v>
          </cell>
          <cell r="L45">
            <v>2874307930.2069998</v>
          </cell>
          <cell r="M45">
            <v>2829097356.073</v>
          </cell>
          <cell r="N45">
            <v>2782975569.2350001</v>
          </cell>
          <cell r="O45">
            <v>2676005919.368</v>
          </cell>
          <cell r="P45">
            <v>2566040080.8369999</v>
          </cell>
          <cell r="Q45">
            <v>2475478685.9889998</v>
          </cell>
          <cell r="R45">
            <v>2362422906.0089998</v>
          </cell>
          <cell r="S45">
            <v>2298345255.5840001</v>
          </cell>
          <cell r="T45">
            <v>2216268997.0100002</v>
          </cell>
          <cell r="U45">
            <v>2141387948.9400001</v>
          </cell>
          <cell r="V45">
            <v>2064796009.5409999</v>
          </cell>
          <cell r="W45">
            <v>2041404218.687</v>
          </cell>
          <cell r="X45">
            <v>2022468025.5550001</v>
          </cell>
          <cell r="Y45">
            <v>2034941331.8499999</v>
          </cell>
          <cell r="Z45">
            <v>2049849123.71</v>
          </cell>
          <cell r="AA45">
            <v>2057903508.7520001</v>
          </cell>
          <cell r="AB45">
            <v>2076246073.6570001</v>
          </cell>
          <cell r="AC45">
            <v>2041681763.632</v>
          </cell>
        </row>
        <row r="46">
          <cell r="A46" t="str">
            <v>Annuities Single-family - Owner-occupied - C5 (euro)</v>
          </cell>
          <cell r="C46">
            <v>355989405.50099999</v>
          </cell>
          <cell r="D46">
            <v>694834970.51499999</v>
          </cell>
          <cell r="E46">
            <v>1074779176.493</v>
          </cell>
          <cell r="F46">
            <v>1446975314.8789999</v>
          </cell>
          <cell r="G46">
            <v>1790090577.2390001</v>
          </cell>
          <cell r="H46">
            <v>2145521276.9719999</v>
          </cell>
          <cell r="I46">
            <v>2489626592.3850002</v>
          </cell>
          <cell r="J46">
            <v>2812733844.8779998</v>
          </cell>
          <cell r="K46">
            <v>3118897737.4089999</v>
          </cell>
          <cell r="L46">
            <v>3412878434.1820002</v>
          </cell>
          <cell r="M46">
            <v>3340975750.1199999</v>
          </cell>
          <cell r="N46">
            <v>3277881143.645</v>
          </cell>
          <cell r="O46">
            <v>3135600426.658</v>
          </cell>
          <cell r="P46">
            <v>2995611819.1020002</v>
          </cell>
          <cell r="Q46">
            <v>2884978682.8920002</v>
          </cell>
          <cell r="R46">
            <v>2738178827.4060001</v>
          </cell>
          <cell r="S46">
            <v>2679178779.8080001</v>
          </cell>
          <cell r="T46">
            <v>2577062315.5339999</v>
          </cell>
          <cell r="U46">
            <v>2485310401.5040002</v>
          </cell>
          <cell r="V46">
            <v>2391603440.552</v>
          </cell>
          <cell r="W46">
            <v>2372156069.8140001</v>
          </cell>
          <cell r="X46">
            <v>2357906466.0180001</v>
          </cell>
          <cell r="Y46">
            <v>2381331238.2810001</v>
          </cell>
          <cell r="Z46">
            <v>2406725937.7210002</v>
          </cell>
          <cell r="AA46">
            <v>2422257463.263</v>
          </cell>
          <cell r="AB46">
            <v>2451430450.3000002</v>
          </cell>
          <cell r="AC46">
            <v>2396509792.757</v>
          </cell>
        </row>
        <row r="47">
          <cell r="A47" t="str">
            <v>Annuities Single-family - Privately rented - C1 (euro)</v>
          </cell>
          <cell r="C47">
            <v>59843048.056999996</v>
          </cell>
          <cell r="D47">
            <v>112889145.624</v>
          </cell>
          <cell r="E47">
            <v>182165178.377</v>
          </cell>
          <cell r="F47">
            <v>240832610.70899999</v>
          </cell>
          <cell r="G47">
            <v>291446542.72000003</v>
          </cell>
          <cell r="H47">
            <v>337554349.34899998</v>
          </cell>
          <cell r="I47">
            <v>379155876.46899998</v>
          </cell>
          <cell r="J47">
            <v>430532940.833</v>
          </cell>
          <cell r="K47">
            <v>475642153.10100001</v>
          </cell>
          <cell r="L47">
            <v>516258999.26300001</v>
          </cell>
          <cell r="M47">
            <v>493731007.19700003</v>
          </cell>
          <cell r="N47">
            <v>475587888.50700003</v>
          </cell>
          <cell r="O47">
            <v>434959870.38099998</v>
          </cell>
          <cell r="P47">
            <v>428943524.49000001</v>
          </cell>
          <cell r="Q47">
            <v>428737525.259</v>
          </cell>
          <cell r="R47">
            <v>428270824.43000001</v>
          </cell>
          <cell r="S47">
            <v>434157711.34600002</v>
          </cell>
          <cell r="T47">
            <v>422412626.17900002</v>
          </cell>
          <cell r="U47">
            <v>414918602.12199998</v>
          </cell>
          <cell r="V47">
            <v>409135209.07700002</v>
          </cell>
          <cell r="W47">
            <v>410943703.06599998</v>
          </cell>
          <cell r="X47">
            <v>414208416.10399997</v>
          </cell>
          <cell r="Y47">
            <v>422947102.241</v>
          </cell>
          <cell r="Z47">
            <v>406825458.45899999</v>
          </cell>
          <cell r="AA47">
            <v>391164731.833</v>
          </cell>
          <cell r="AB47">
            <v>378369709.20099998</v>
          </cell>
          <cell r="AC47">
            <v>362086954.509</v>
          </cell>
        </row>
        <row r="48">
          <cell r="A48" t="str">
            <v>Annuities Single-family - Privately rented - C2 (euro)</v>
          </cell>
          <cell r="C48">
            <v>55452382.776000001</v>
          </cell>
          <cell r="D48">
            <v>106648997.47400001</v>
          </cell>
          <cell r="E48">
            <v>178813091.528</v>
          </cell>
          <cell r="F48">
            <v>241271044.31999999</v>
          </cell>
          <cell r="G48">
            <v>296057182.074</v>
          </cell>
          <cell r="H48">
            <v>346411214.75300002</v>
          </cell>
          <cell r="I48">
            <v>392418930.25800002</v>
          </cell>
          <cell r="J48">
            <v>449937591.62900001</v>
          </cell>
          <cell r="K48">
            <v>500634843.477</v>
          </cell>
          <cell r="L48">
            <v>546439828.94700003</v>
          </cell>
          <cell r="M48">
            <v>533192483.49800003</v>
          </cell>
          <cell r="N48">
            <v>521572552.89099997</v>
          </cell>
          <cell r="O48">
            <v>482216787.92799997</v>
          </cell>
          <cell r="P48">
            <v>478597732.42000002</v>
          </cell>
          <cell r="Q48">
            <v>480241633.55400002</v>
          </cell>
          <cell r="R48">
            <v>481007046.801</v>
          </cell>
          <cell r="S48">
            <v>488126753.37300003</v>
          </cell>
          <cell r="T48">
            <v>475141962.45099998</v>
          </cell>
          <cell r="U48">
            <v>466781988.86199999</v>
          </cell>
          <cell r="V48">
            <v>460184714.74299997</v>
          </cell>
          <cell r="W48">
            <v>462247640.773</v>
          </cell>
          <cell r="X48">
            <v>465941527.25300002</v>
          </cell>
          <cell r="Y48">
            <v>475612124.07700002</v>
          </cell>
          <cell r="Z48">
            <v>458348214.241</v>
          </cell>
          <cell r="AA48">
            <v>441505550.65499997</v>
          </cell>
          <cell r="AB48">
            <v>427849412.66299999</v>
          </cell>
          <cell r="AC48">
            <v>410338933.24400002</v>
          </cell>
        </row>
        <row r="49">
          <cell r="A49" t="str">
            <v>Annuities Single-family - Privately rented - C3 (euro)</v>
          </cell>
          <cell r="C49">
            <v>50381505.618000001</v>
          </cell>
          <cell r="D49">
            <v>96145503.100999996</v>
          </cell>
          <cell r="E49">
            <v>155190838.692</v>
          </cell>
          <cell r="F49">
            <v>206305240.956</v>
          </cell>
          <cell r="G49">
            <v>251292983.329</v>
          </cell>
          <cell r="H49">
            <v>292875752.88300002</v>
          </cell>
          <cell r="I49">
            <v>331043382.153</v>
          </cell>
          <cell r="J49">
            <v>377653280.68099999</v>
          </cell>
          <cell r="K49">
            <v>419265846.85799998</v>
          </cell>
          <cell r="L49">
            <v>457327681.92000002</v>
          </cell>
          <cell r="M49">
            <v>442398185.61500001</v>
          </cell>
          <cell r="N49">
            <v>430179827.75099999</v>
          </cell>
          <cell r="O49">
            <v>399267122.35399997</v>
          </cell>
          <cell r="P49">
            <v>398942406.04000002</v>
          </cell>
          <cell r="Q49">
            <v>402755590.17699999</v>
          </cell>
          <cell r="R49">
            <v>405361774.96499997</v>
          </cell>
          <cell r="S49">
            <v>413154934.09600002</v>
          </cell>
          <cell r="T49">
            <v>405063402.07300001</v>
          </cell>
          <cell r="U49">
            <v>400076294.46600002</v>
          </cell>
          <cell r="V49">
            <v>395897232.79100001</v>
          </cell>
          <cell r="W49">
            <v>398706399.59799999</v>
          </cell>
          <cell r="X49">
            <v>402547748.35100001</v>
          </cell>
          <cell r="Y49">
            <v>411155692.074</v>
          </cell>
          <cell r="Z49">
            <v>396317709.19</v>
          </cell>
          <cell r="AA49">
            <v>381751394.41299999</v>
          </cell>
          <cell r="AB49">
            <v>369961325.38499999</v>
          </cell>
          <cell r="AC49">
            <v>354805289.33999997</v>
          </cell>
        </row>
        <row r="50">
          <cell r="A50" t="str">
            <v>Annuities Single-family - Privately rented - C4 (euro)</v>
          </cell>
          <cell r="C50">
            <v>37203623.880999997</v>
          </cell>
          <cell r="D50">
            <v>71154311.428000003</v>
          </cell>
          <cell r="E50">
            <v>112718831.678</v>
          </cell>
          <cell r="F50">
            <v>149351929.08500001</v>
          </cell>
          <cell r="G50">
            <v>182022994.47600001</v>
          </cell>
          <cell r="H50">
            <v>212524726.31</v>
          </cell>
          <cell r="I50">
            <v>240801421.405</v>
          </cell>
          <cell r="J50">
            <v>275811850.82999998</v>
          </cell>
          <cell r="K50">
            <v>307251684.23199999</v>
          </cell>
          <cell r="L50">
            <v>336167747.79000002</v>
          </cell>
          <cell r="M50">
            <v>326023209.36000001</v>
          </cell>
          <cell r="N50">
            <v>317771860.50800002</v>
          </cell>
          <cell r="O50">
            <v>298168777.95200002</v>
          </cell>
          <cell r="P50">
            <v>300615036.75400001</v>
          </cell>
          <cell r="Q50">
            <v>305507471.84500003</v>
          </cell>
          <cell r="R50">
            <v>308852869.55400002</v>
          </cell>
          <cell r="S50">
            <v>315918180.713</v>
          </cell>
          <cell r="T50">
            <v>310349666.45599997</v>
          </cell>
          <cell r="U50">
            <v>306920505.37</v>
          </cell>
          <cell r="V50">
            <v>303826416.699</v>
          </cell>
          <cell r="W50">
            <v>306064297.44499999</v>
          </cell>
          <cell r="X50">
            <v>308946524.65799999</v>
          </cell>
          <cell r="Y50">
            <v>315235965.32099998</v>
          </cell>
          <cell r="Z50">
            <v>303741315.315</v>
          </cell>
          <cell r="AA50">
            <v>292486804.79500002</v>
          </cell>
          <cell r="AB50">
            <v>283590337.20700002</v>
          </cell>
          <cell r="AC50">
            <v>272011863.148</v>
          </cell>
        </row>
        <row r="51">
          <cell r="A51" t="str">
            <v>Annuities Single-family - Privately rented - C5 (euro)</v>
          </cell>
          <cell r="C51">
            <v>24414119.449000001</v>
          </cell>
          <cell r="D51">
            <v>46783968.535999998</v>
          </cell>
          <cell r="E51">
            <v>75806833.153999999</v>
          </cell>
          <cell r="F51">
            <v>101332721.652</v>
          </cell>
          <cell r="G51">
            <v>124039175.84900001</v>
          </cell>
          <cell r="H51">
            <v>145201674.92399999</v>
          </cell>
          <cell r="I51">
            <v>164768539.78200001</v>
          </cell>
          <cell r="J51">
            <v>188622733.23500001</v>
          </cell>
          <cell r="K51">
            <v>210092687.40799999</v>
          </cell>
          <cell r="L51">
            <v>229883104.01300001</v>
          </cell>
          <cell r="M51">
            <v>224024292.80199999</v>
          </cell>
          <cell r="N51">
            <v>219305484.23899999</v>
          </cell>
          <cell r="O51">
            <v>205465220.87400001</v>
          </cell>
          <cell r="P51">
            <v>206133832.43700001</v>
          </cell>
          <cell r="Q51">
            <v>208677287.84900001</v>
          </cell>
          <cell r="R51">
            <v>210191177.91600001</v>
          </cell>
          <cell r="S51">
            <v>214504022.70199999</v>
          </cell>
          <cell r="T51">
            <v>210388107.43700001</v>
          </cell>
          <cell r="U51">
            <v>207744565.706</v>
          </cell>
          <cell r="V51">
            <v>205293340.21799999</v>
          </cell>
          <cell r="W51">
            <v>206707372.56900001</v>
          </cell>
          <cell r="X51">
            <v>208501607.48500001</v>
          </cell>
          <cell r="Y51">
            <v>212644241.78299999</v>
          </cell>
          <cell r="Z51">
            <v>205273558.926</v>
          </cell>
          <cell r="AA51">
            <v>198014729.46399999</v>
          </cell>
          <cell r="AB51">
            <v>192449841.493</v>
          </cell>
          <cell r="AC51">
            <v>184912574.30700001</v>
          </cell>
        </row>
        <row r="52">
          <cell r="A52" t="str">
            <v>Annuities Single-family - Social-housing - C1 (euro)</v>
          </cell>
          <cell r="C52">
            <v>21492625.642999999</v>
          </cell>
          <cell r="D52">
            <v>47465229.546999998</v>
          </cell>
          <cell r="E52">
            <v>77579486.474999994</v>
          </cell>
          <cell r="F52">
            <v>109871470.189</v>
          </cell>
          <cell r="G52">
            <v>140303786.55899999</v>
          </cell>
          <cell r="H52">
            <v>169914191.34200001</v>
          </cell>
          <cell r="I52">
            <v>200607889.542</v>
          </cell>
          <cell r="J52">
            <v>233084701.616</v>
          </cell>
          <cell r="K52">
            <v>267330902.331</v>
          </cell>
          <cell r="L52">
            <v>304541817.93599999</v>
          </cell>
          <cell r="M52">
            <v>323458114.57499999</v>
          </cell>
          <cell r="N52">
            <v>336432963.78299999</v>
          </cell>
          <cell r="O52">
            <v>345511932.50800002</v>
          </cell>
          <cell r="P52">
            <v>350253194.00300002</v>
          </cell>
          <cell r="Q52">
            <v>356448625.81800002</v>
          </cell>
          <cell r="R52">
            <v>360741968.19499999</v>
          </cell>
          <cell r="S52">
            <v>368108218.71100003</v>
          </cell>
          <cell r="T52">
            <v>365883320.67199999</v>
          </cell>
          <cell r="U52">
            <v>361229248.38700002</v>
          </cell>
          <cell r="V52">
            <v>343182334.50999999</v>
          </cell>
          <cell r="W52">
            <v>325020192.63200003</v>
          </cell>
          <cell r="X52">
            <v>307483591.15200001</v>
          </cell>
          <cell r="Y52">
            <v>290483060.24699998</v>
          </cell>
          <cell r="Z52">
            <v>274741368.06800002</v>
          </cell>
          <cell r="AA52">
            <v>258918995.64899999</v>
          </cell>
          <cell r="AB52">
            <v>245350965.01699999</v>
          </cell>
          <cell r="AC52">
            <v>227166485.639</v>
          </cell>
        </row>
        <row r="53">
          <cell r="A53" t="str">
            <v>Annuities Single-family - Social-housing - C2 (euro)</v>
          </cell>
          <cell r="C53">
            <v>20423977.848000001</v>
          </cell>
          <cell r="D53">
            <v>44888968.195</v>
          </cell>
          <cell r="E53">
            <v>73633465.549999997</v>
          </cell>
          <cell r="F53">
            <v>104749131.904</v>
          </cell>
          <cell r="G53">
            <v>134871220.00799999</v>
          </cell>
          <cell r="H53">
            <v>164523569.919</v>
          </cell>
          <cell r="I53">
            <v>195226207.24000001</v>
          </cell>
          <cell r="J53">
            <v>227660013.065</v>
          </cell>
          <cell r="K53">
            <v>261717206.537</v>
          </cell>
          <cell r="L53">
            <v>298599891.03600001</v>
          </cell>
          <cell r="M53">
            <v>318880122.83399999</v>
          </cell>
          <cell r="N53">
            <v>334578897.625</v>
          </cell>
          <cell r="O53">
            <v>346260988.81699997</v>
          </cell>
          <cell r="P53">
            <v>353360634.76300001</v>
          </cell>
          <cell r="Q53">
            <v>361016511.338</v>
          </cell>
          <cell r="R53">
            <v>366357354.66000003</v>
          </cell>
          <cell r="S53">
            <v>374768509.676</v>
          </cell>
          <cell r="T53">
            <v>373538593.31900001</v>
          </cell>
          <cell r="U53">
            <v>369958643.875</v>
          </cell>
          <cell r="V53">
            <v>352636494.93699998</v>
          </cell>
          <cell r="W53">
            <v>334597999.43300003</v>
          </cell>
          <cell r="X53">
            <v>316291158.12699997</v>
          </cell>
          <cell r="Y53">
            <v>298477058.26200002</v>
          </cell>
          <cell r="Z53">
            <v>282000522.67900002</v>
          </cell>
          <cell r="AA53">
            <v>265448150.75400001</v>
          </cell>
          <cell r="AB53">
            <v>251177913.43399999</v>
          </cell>
          <cell r="AC53">
            <v>232293141.639</v>
          </cell>
        </row>
        <row r="54">
          <cell r="A54" t="str">
            <v>Annuities Single-family - Social-housing - C3 (euro)</v>
          </cell>
          <cell r="C54">
            <v>11948559.601</v>
          </cell>
          <cell r="D54">
            <v>27317629.102000002</v>
          </cell>
          <cell r="E54">
            <v>45130355.365000002</v>
          </cell>
          <cell r="F54">
            <v>64120358.174999997</v>
          </cell>
          <cell r="G54">
            <v>81543743.719999999</v>
          </cell>
          <cell r="H54">
            <v>98288150.484999999</v>
          </cell>
          <cell r="I54">
            <v>115665928.02</v>
          </cell>
          <cell r="J54">
            <v>134080302.462</v>
          </cell>
          <cell r="K54">
            <v>153576348.20699999</v>
          </cell>
          <cell r="L54">
            <v>174832347.134</v>
          </cell>
          <cell r="M54">
            <v>185623011.18900001</v>
          </cell>
          <cell r="N54">
            <v>191637470.245</v>
          </cell>
          <cell r="O54">
            <v>195269088.63600001</v>
          </cell>
          <cell r="P54">
            <v>196540934.03400001</v>
          </cell>
          <cell r="Q54">
            <v>199151103.53099999</v>
          </cell>
          <cell r="R54">
            <v>200940896.192</v>
          </cell>
          <cell r="S54">
            <v>204266462.41800001</v>
          </cell>
          <cell r="T54">
            <v>202449165.514</v>
          </cell>
          <cell r="U54">
            <v>199215901.81099999</v>
          </cell>
          <cell r="V54">
            <v>188645307.34</v>
          </cell>
          <cell r="W54">
            <v>178251102.50600001</v>
          </cell>
          <cell r="X54">
            <v>168737365.09099999</v>
          </cell>
          <cell r="Y54">
            <v>159609380.042</v>
          </cell>
          <cell r="Z54">
            <v>151150707.141</v>
          </cell>
          <cell r="AA54">
            <v>142651394.361</v>
          </cell>
          <cell r="AB54">
            <v>135392536.63100001</v>
          </cell>
          <cell r="AC54">
            <v>125709778.63</v>
          </cell>
        </row>
        <row r="55">
          <cell r="A55" t="str">
            <v>Annuities Single-family - Social-housing - C4 (euro)</v>
          </cell>
          <cell r="C55">
            <v>4863596.07</v>
          </cell>
          <cell r="D55">
            <v>10793255.189999999</v>
          </cell>
          <cell r="E55">
            <v>17632648.170000002</v>
          </cell>
          <cell r="F55">
            <v>24986895.962000001</v>
          </cell>
          <cell r="G55">
            <v>31703896.66</v>
          </cell>
          <cell r="H55">
            <v>38110645.419</v>
          </cell>
          <cell r="I55">
            <v>44745042.045999996</v>
          </cell>
          <cell r="J55">
            <v>51749863.196999997</v>
          </cell>
          <cell r="K55">
            <v>59106111.964000002</v>
          </cell>
          <cell r="L55">
            <v>67056137.207000002</v>
          </cell>
          <cell r="M55">
            <v>70964565.877000004</v>
          </cell>
          <cell r="N55">
            <v>73720853.408000007</v>
          </cell>
          <cell r="O55">
            <v>75621308.662</v>
          </cell>
          <cell r="P55">
            <v>76515687.050999999</v>
          </cell>
          <cell r="Q55">
            <v>77936120.761000007</v>
          </cell>
          <cell r="R55">
            <v>79043881.797000006</v>
          </cell>
          <cell r="S55">
            <v>80799442.484999999</v>
          </cell>
          <cell r="T55">
            <v>80486450.288000003</v>
          </cell>
          <cell r="U55">
            <v>79667950.542999998</v>
          </cell>
          <cell r="V55">
            <v>75912817.394999996</v>
          </cell>
          <cell r="W55">
            <v>72011850.251000002</v>
          </cell>
          <cell r="X55">
            <v>68009850.975999996</v>
          </cell>
          <cell r="Y55">
            <v>64131898.277000003</v>
          </cell>
          <cell r="Z55">
            <v>60543375.622000001</v>
          </cell>
          <cell r="AA55">
            <v>56960895.351000004</v>
          </cell>
          <cell r="AB55">
            <v>53900005.807999998</v>
          </cell>
          <cell r="AC55">
            <v>49863621.917000003</v>
          </cell>
        </row>
        <row r="56">
          <cell r="A56" t="str">
            <v>Annuities Single-family - Social-housing - C5 (euro)</v>
          </cell>
          <cell r="C56">
            <v>1194125.723</v>
          </cell>
          <cell r="D56">
            <v>2450153.5449999999</v>
          </cell>
          <cell r="E56">
            <v>3823798.1140000001</v>
          </cell>
          <cell r="F56">
            <v>5263230.9740000004</v>
          </cell>
          <cell r="G56">
            <v>6721489.1789999995</v>
          </cell>
          <cell r="H56">
            <v>8200996.4910000004</v>
          </cell>
          <cell r="I56">
            <v>9732432.568</v>
          </cell>
          <cell r="J56">
            <v>11349191.131999999</v>
          </cell>
          <cell r="K56">
            <v>13048490.341</v>
          </cell>
          <cell r="L56">
            <v>14883929.505000001</v>
          </cell>
          <cell r="M56">
            <v>15696570.976</v>
          </cell>
          <cell r="N56">
            <v>16412562.578</v>
          </cell>
          <cell r="O56">
            <v>17036464.43</v>
          </cell>
          <cell r="P56">
            <v>17483316.081999999</v>
          </cell>
          <cell r="Q56">
            <v>17888160.848000001</v>
          </cell>
          <cell r="R56">
            <v>18135814.761999998</v>
          </cell>
          <cell r="S56">
            <v>18553658.897</v>
          </cell>
          <cell r="T56">
            <v>18471906.333000001</v>
          </cell>
          <cell r="U56">
            <v>18270630.943999998</v>
          </cell>
          <cell r="V56">
            <v>17388156.846000001</v>
          </cell>
          <cell r="W56">
            <v>16487416.106000001</v>
          </cell>
          <cell r="X56">
            <v>15584289.374</v>
          </cell>
          <cell r="Y56">
            <v>14689114.123</v>
          </cell>
          <cell r="Z56">
            <v>13865471.706</v>
          </cell>
          <cell r="AA56">
            <v>13038964.721000001</v>
          </cell>
          <cell r="AB56">
            <v>12322771.288000001</v>
          </cell>
          <cell r="AC56">
            <v>11359563.784</v>
          </cell>
        </row>
        <row r="57">
          <cell r="A57" t="str">
            <v>Average cost Cee (euro)</v>
          </cell>
          <cell r="C57">
            <v>8806.9030000000002</v>
          </cell>
          <cell r="D57">
            <v>8898.2819999999992</v>
          </cell>
          <cell r="E57">
            <v>10108.040000000001</v>
          </cell>
          <cell r="F57">
            <v>10200.003000000001</v>
          </cell>
          <cell r="G57">
            <v>9449.7330000000002</v>
          </cell>
          <cell r="H57">
            <v>9126.634</v>
          </cell>
          <cell r="I57">
            <v>8783.7180000000008</v>
          </cell>
          <cell r="J57">
            <v>8866.2739999999994</v>
          </cell>
          <cell r="K57">
            <v>8215.8050000000003</v>
          </cell>
          <cell r="L57">
            <v>8055.0709999999999</v>
          </cell>
          <cell r="M57">
            <v>7921.3519999999999</v>
          </cell>
          <cell r="N57">
            <v>7839.3040000000001</v>
          </cell>
          <cell r="O57">
            <v>7896.6180000000004</v>
          </cell>
          <cell r="P57">
            <v>7745.924</v>
          </cell>
          <cell r="Q57">
            <v>7883.2219999999998</v>
          </cell>
          <cell r="R57">
            <v>7887.2190000000001</v>
          </cell>
          <cell r="S57">
            <v>8707.4979999999996</v>
          </cell>
          <cell r="T57">
            <v>8023.8720000000003</v>
          </cell>
          <cell r="U57">
            <v>7944.3190000000004</v>
          </cell>
          <cell r="V57">
            <v>7919.8990000000003</v>
          </cell>
          <cell r="W57">
            <v>7956.4809999999998</v>
          </cell>
          <cell r="X57">
            <v>8332.8080000000009</v>
          </cell>
          <cell r="Y57">
            <v>7781.0550000000003</v>
          </cell>
          <cell r="Z57">
            <v>8008.4530000000004</v>
          </cell>
          <cell r="AA57">
            <v>7581.46</v>
          </cell>
          <cell r="AB57">
            <v>7129.4709999999995</v>
          </cell>
          <cell r="AC57">
            <v>6799.7889999999998</v>
          </cell>
        </row>
        <row r="58">
          <cell r="A58" t="str">
            <v>Average cost Cee heater (euro)</v>
          </cell>
          <cell r="C58">
            <v>7868.634</v>
          </cell>
          <cell r="D58">
            <v>8233.2810000000009</v>
          </cell>
          <cell r="E58">
            <v>7712.62</v>
          </cell>
          <cell r="F58">
            <v>7944.0190000000002</v>
          </cell>
          <cell r="G58">
            <v>7405.37</v>
          </cell>
          <cell r="H58">
            <v>6816.5950000000003</v>
          </cell>
          <cell r="I58">
            <v>6273.1719999999996</v>
          </cell>
          <cell r="J58">
            <v>7011.0940000000001</v>
          </cell>
          <cell r="K58">
            <v>6426.915</v>
          </cell>
          <cell r="L58">
            <v>6587.9650000000001</v>
          </cell>
          <cell r="M58">
            <v>6792.5020000000004</v>
          </cell>
          <cell r="N58">
            <v>6965.7960000000003</v>
          </cell>
          <cell r="O58">
            <v>6977.1719999999996</v>
          </cell>
          <cell r="P58">
            <v>7326.0789999999997</v>
          </cell>
          <cell r="Q58">
            <v>7492.0540000000001</v>
          </cell>
          <cell r="R58">
            <v>7720.6080000000002</v>
          </cell>
          <cell r="S58">
            <v>7879.8850000000002</v>
          </cell>
          <cell r="T58">
            <v>7797.0789999999997</v>
          </cell>
          <cell r="U58">
            <v>7772.4459999999999</v>
          </cell>
          <cell r="V58">
            <v>7800.6319999999996</v>
          </cell>
          <cell r="W58">
            <v>8028.7730000000001</v>
          </cell>
          <cell r="X58">
            <v>8672.7080000000005</v>
          </cell>
          <cell r="Y58">
            <v>7766.71</v>
          </cell>
          <cell r="Z58">
            <v>8134.0370000000003</v>
          </cell>
          <cell r="AA58">
            <v>7496.6660000000002</v>
          </cell>
          <cell r="AB58">
            <v>6859.9570000000003</v>
          </cell>
          <cell r="AC58">
            <v>6339.2110000000002</v>
          </cell>
        </row>
        <row r="59">
          <cell r="A59" t="str">
            <v>Average cost Cee insulation (euro)</v>
          </cell>
          <cell r="C59">
            <v>11629.843999999999</v>
          </cell>
          <cell r="D59">
            <v>10793.415000000001</v>
          </cell>
          <cell r="E59">
            <v>14862.906999999999</v>
          </cell>
          <cell r="F59">
            <v>14554.617</v>
          </cell>
          <cell r="G59">
            <v>13473.579</v>
          </cell>
          <cell r="H59">
            <v>13621.773999999999</v>
          </cell>
          <cell r="I59">
            <v>13739.965</v>
          </cell>
          <cell r="J59">
            <v>11925.120999999999</v>
          </cell>
          <cell r="K59">
            <v>11478.571</v>
          </cell>
          <cell r="L59">
            <v>10880.592000000001</v>
          </cell>
          <cell r="M59">
            <v>10106.272999999999</v>
          </cell>
          <cell r="N59">
            <v>9602.9</v>
          </cell>
          <cell r="O59">
            <v>9553.0239999999994</v>
          </cell>
          <cell r="P59">
            <v>8277.8459999999995</v>
          </cell>
          <cell r="Q59">
            <v>8401.35</v>
          </cell>
          <cell r="R59">
            <v>8088.08</v>
          </cell>
          <cell r="S59">
            <v>9595.8860000000004</v>
          </cell>
          <cell r="T59">
            <v>8274.893</v>
          </cell>
          <cell r="U59">
            <v>8144.5839999999998</v>
          </cell>
          <cell r="V59">
            <v>8065.2179999999998</v>
          </cell>
          <cell r="W59">
            <v>7842.6559999999999</v>
          </cell>
          <cell r="X59">
            <v>7822.3509999999997</v>
          </cell>
          <cell r="Y59">
            <v>7807.723</v>
          </cell>
          <cell r="Z59">
            <v>7778.652</v>
          </cell>
          <cell r="AA59">
            <v>7754.7139999999999</v>
          </cell>
          <cell r="AB59">
            <v>7748.8490000000002</v>
          </cell>
          <cell r="AC59">
            <v>7964.7889999999998</v>
          </cell>
        </row>
        <row r="60">
          <cell r="A60" t="str">
            <v>Average cost Mpr (euro)</v>
          </cell>
          <cell r="C60">
            <v>9620.5990000000002</v>
          </cell>
          <cell r="D60">
            <v>9683.4860000000008</v>
          </cell>
        </row>
        <row r="61">
          <cell r="A61" t="str">
            <v>Average cost Mpr efficacite (euro)</v>
          </cell>
          <cell r="E61">
            <v>9239.3610000000008</v>
          </cell>
          <cell r="F61">
            <v>9415.1730000000007</v>
          </cell>
          <cell r="G61">
            <v>9012.3060000000005</v>
          </cell>
          <cell r="H61">
            <v>8605.3040000000001</v>
          </cell>
          <cell r="I61">
            <v>8192.0149999999994</v>
          </cell>
          <cell r="J61">
            <v>8650.8119999999999</v>
          </cell>
          <cell r="K61">
            <v>8222.4110000000001</v>
          </cell>
          <cell r="L61">
            <v>8297.1450000000004</v>
          </cell>
          <cell r="M61">
            <v>8402.9549999999999</v>
          </cell>
          <cell r="N61">
            <v>8490.4850000000006</v>
          </cell>
          <cell r="O61">
            <v>8434.7379999999994</v>
          </cell>
          <cell r="P61">
            <v>8670.634</v>
          </cell>
          <cell r="Q61">
            <v>8797.3919999999998</v>
          </cell>
          <cell r="R61">
            <v>9002.33</v>
          </cell>
          <cell r="S61">
            <v>9103.0239999999994</v>
          </cell>
          <cell r="T61">
            <v>9068.5519999999997</v>
          </cell>
          <cell r="U61">
            <v>9045.6329999999998</v>
          </cell>
          <cell r="V61">
            <v>9092.1830000000009</v>
          </cell>
          <cell r="W61">
            <v>9324.1810000000005</v>
          </cell>
          <cell r="X61">
            <v>9772.0859999999993</v>
          </cell>
          <cell r="Y61">
            <v>9141.9419999999991</v>
          </cell>
          <cell r="Z61">
            <v>9421.3950000000004</v>
          </cell>
          <cell r="AA61">
            <v>8972.8510000000006</v>
          </cell>
          <cell r="AB61">
            <v>8475.3449999999993</v>
          </cell>
          <cell r="AC61">
            <v>8043.5060000000003</v>
          </cell>
        </row>
        <row r="62">
          <cell r="A62" t="str">
            <v>Average cost Mpr efficacite heater (euro)</v>
          </cell>
          <cell r="E62">
            <v>8749.8799999999992</v>
          </cell>
          <cell r="F62">
            <v>8917.1489999999994</v>
          </cell>
          <cell r="G62">
            <v>8506.4590000000007</v>
          </cell>
          <cell r="H62">
            <v>8062.884</v>
          </cell>
          <cell r="I62">
            <v>7651.6589999999997</v>
          </cell>
          <cell r="J62">
            <v>8140.8310000000001</v>
          </cell>
          <cell r="K62">
            <v>7710.0619999999999</v>
          </cell>
          <cell r="L62">
            <v>7796.8159999999998</v>
          </cell>
          <cell r="M62">
            <v>7914.1279999999997</v>
          </cell>
          <cell r="N62">
            <v>8011.0839999999998</v>
          </cell>
          <cell r="O62">
            <v>8056.2139999999999</v>
          </cell>
          <cell r="P62">
            <v>8304.9480000000003</v>
          </cell>
          <cell r="Q62">
            <v>8426.4439999999995</v>
          </cell>
          <cell r="R62">
            <v>8642.0300000000007</v>
          </cell>
          <cell r="S62">
            <v>8740.2540000000008</v>
          </cell>
          <cell r="T62">
            <v>8729.7340000000004</v>
          </cell>
          <cell r="U62">
            <v>8715.8950000000004</v>
          </cell>
          <cell r="V62">
            <v>8771.7479999999996</v>
          </cell>
          <cell r="W62">
            <v>9092.9240000000009</v>
          </cell>
          <cell r="X62">
            <v>9549.23</v>
          </cell>
          <cell r="Y62">
            <v>8927.1910000000007</v>
          </cell>
          <cell r="Z62">
            <v>9216.4279999999999</v>
          </cell>
          <cell r="AA62">
            <v>8774.0439999999999</v>
          </cell>
          <cell r="AB62">
            <v>8285.0939999999991</v>
          </cell>
          <cell r="AC62">
            <v>7849.5219999999999</v>
          </cell>
        </row>
        <row r="63">
          <cell r="A63" t="str">
            <v>Average cost Mpr efficacite insulation (euro)</v>
          </cell>
          <cell r="E63">
            <v>23070.091</v>
          </cell>
          <cell r="F63">
            <v>23229.927</v>
          </cell>
          <cell r="G63">
            <v>23187.526999999998</v>
          </cell>
          <cell r="H63">
            <v>23459.217000000001</v>
          </cell>
          <cell r="I63">
            <v>23239.444</v>
          </cell>
          <cell r="J63">
            <v>23021.446</v>
          </cell>
          <cell r="K63">
            <v>22841.56</v>
          </cell>
          <cell r="L63">
            <v>22686.397000000001</v>
          </cell>
          <cell r="M63">
            <v>22556.063999999998</v>
          </cell>
          <cell r="N63">
            <v>22451.463</v>
          </cell>
          <cell r="O63">
            <v>21468.432000000001</v>
          </cell>
          <cell r="P63">
            <v>21380.973999999998</v>
          </cell>
          <cell r="Q63">
            <v>21568.947</v>
          </cell>
          <cell r="R63">
            <v>21573.063999999998</v>
          </cell>
          <cell r="S63">
            <v>21548.496999999999</v>
          </cell>
          <cell r="T63">
            <v>21404.451000000001</v>
          </cell>
          <cell r="U63">
            <v>21303.919000000002</v>
          </cell>
          <cell r="V63">
            <v>21274.098000000002</v>
          </cell>
          <cell r="W63">
            <v>22064.858</v>
          </cell>
          <cell r="X63">
            <v>22166.828000000001</v>
          </cell>
          <cell r="Y63">
            <v>21814.534</v>
          </cell>
          <cell r="Z63">
            <v>21916.580999999998</v>
          </cell>
          <cell r="AA63">
            <v>21637.098999999998</v>
          </cell>
          <cell r="AB63">
            <v>21312.268</v>
          </cell>
          <cell r="AC63">
            <v>21408.395</v>
          </cell>
        </row>
        <row r="64">
          <cell r="A64" t="str">
            <v>Average cost Mpr heater (euro)</v>
          </cell>
          <cell r="C64">
            <v>8732.0550000000003</v>
          </cell>
          <cell r="D64">
            <v>8977.5990000000002</v>
          </cell>
        </row>
        <row r="65">
          <cell r="A65" t="str">
            <v>Average cost Mpr insulation (euro)</v>
          </cell>
          <cell r="C65">
            <v>12349.084000000001</v>
          </cell>
          <cell r="D65">
            <v>11944.415999999999</v>
          </cell>
        </row>
        <row r="66">
          <cell r="A66" t="str">
            <v>Average cost Mpr multifamily (euro)</v>
          </cell>
          <cell r="C66">
            <v>7499.8029999999999</v>
          </cell>
        </row>
        <row r="67">
          <cell r="A67" t="str">
            <v>Average cost Mpr multifamily deep (euro)</v>
          </cell>
          <cell r="D67">
            <v>8021.7619999999997</v>
          </cell>
          <cell r="E67">
            <v>8135.3779999999997</v>
          </cell>
          <cell r="F67">
            <v>8029.2280000000001</v>
          </cell>
          <cell r="G67">
            <v>7687.3879999999999</v>
          </cell>
          <cell r="H67">
            <v>7795.067</v>
          </cell>
          <cell r="I67">
            <v>7760.4939999999997</v>
          </cell>
          <cell r="J67">
            <v>6978.27</v>
          </cell>
          <cell r="K67">
            <v>6944.44</v>
          </cell>
          <cell r="L67">
            <v>6892.0379999999996</v>
          </cell>
          <cell r="M67">
            <v>6794.0360000000001</v>
          </cell>
          <cell r="N67">
            <v>6701.1120000000001</v>
          </cell>
          <cell r="O67">
            <v>7004.5259999999998</v>
          </cell>
          <cell r="P67">
            <v>6086.6790000000001</v>
          </cell>
          <cell r="Q67">
            <v>6298.5910000000003</v>
          </cell>
          <cell r="R67">
            <v>6259.7070000000003</v>
          </cell>
          <cell r="S67">
            <v>8187.759</v>
          </cell>
          <cell r="T67">
            <v>6205.9369999999999</v>
          </cell>
          <cell r="U67">
            <v>6168.3620000000001</v>
          </cell>
          <cell r="V67">
            <v>6076.2169999999996</v>
          </cell>
          <cell r="W67">
            <v>6054.49</v>
          </cell>
          <cell r="X67">
            <v>6036.8230000000003</v>
          </cell>
          <cell r="Y67">
            <v>5996.8339999999998</v>
          </cell>
          <cell r="Z67">
            <v>5958.8649999999998</v>
          </cell>
          <cell r="AA67">
            <v>5915.1059999999998</v>
          </cell>
          <cell r="AB67">
            <v>5928.6369999999997</v>
          </cell>
          <cell r="AC67">
            <v>6127.4210000000003</v>
          </cell>
        </row>
        <row r="68">
          <cell r="A68" t="str">
            <v>Average cost Mpr multifamily deep insulation (euro)</v>
          </cell>
          <cell r="D68">
            <v>8021.7619999999997</v>
          </cell>
          <cell r="E68">
            <v>8135.3779999999997</v>
          </cell>
          <cell r="F68">
            <v>8029.2280000000001</v>
          </cell>
          <cell r="G68">
            <v>7687.3879999999999</v>
          </cell>
          <cell r="H68">
            <v>7795.067</v>
          </cell>
          <cell r="I68">
            <v>7760.4939999999997</v>
          </cell>
          <cell r="J68">
            <v>6978.27</v>
          </cell>
          <cell r="K68">
            <v>6944.44</v>
          </cell>
          <cell r="L68">
            <v>6892.0379999999996</v>
          </cell>
          <cell r="M68">
            <v>6794.0360000000001</v>
          </cell>
          <cell r="N68">
            <v>6701.1120000000001</v>
          </cell>
          <cell r="O68">
            <v>7004.5259999999998</v>
          </cell>
          <cell r="P68">
            <v>6086.6790000000001</v>
          </cell>
          <cell r="Q68">
            <v>6298.5910000000003</v>
          </cell>
          <cell r="R68">
            <v>6259.7070000000003</v>
          </cell>
          <cell r="S68">
            <v>8187.759</v>
          </cell>
          <cell r="T68">
            <v>6205.9369999999999</v>
          </cell>
          <cell r="U68">
            <v>6168.3620000000001</v>
          </cell>
          <cell r="V68">
            <v>6076.2169999999996</v>
          </cell>
          <cell r="W68">
            <v>6054.49</v>
          </cell>
          <cell r="X68">
            <v>6036.8230000000003</v>
          </cell>
          <cell r="Y68">
            <v>5996.8339999999998</v>
          </cell>
          <cell r="Z68">
            <v>5958.8649999999998</v>
          </cell>
          <cell r="AA68">
            <v>5915.1059999999998</v>
          </cell>
          <cell r="AB68">
            <v>5928.6369999999997</v>
          </cell>
          <cell r="AC68">
            <v>6127.4210000000003</v>
          </cell>
        </row>
        <row r="69">
          <cell r="A69" t="str">
            <v>Average cost Mpr multifamily insulation (euro)</v>
          </cell>
          <cell r="C69">
            <v>7499.8029999999999</v>
          </cell>
        </row>
        <row r="70">
          <cell r="A70" t="str">
            <v>Average cost Mpr performance (euro)</v>
          </cell>
          <cell r="E70">
            <v>23366.63</v>
          </cell>
          <cell r="F70">
            <v>23892.04</v>
          </cell>
          <cell r="G70">
            <v>23674.881000000001</v>
          </cell>
          <cell r="H70">
            <v>24268.946</v>
          </cell>
          <cell r="I70">
            <v>24835.083999999999</v>
          </cell>
          <cell r="J70">
            <v>23767.300999999999</v>
          </cell>
          <cell r="K70">
            <v>22911.418000000001</v>
          </cell>
          <cell r="L70">
            <v>22029.871999999999</v>
          </cell>
          <cell r="M70">
            <v>21392.272000000001</v>
          </cell>
          <cell r="N70">
            <v>21039.565999999999</v>
          </cell>
          <cell r="O70">
            <v>20610.512999999999</v>
          </cell>
          <cell r="P70">
            <v>19076.871999999999</v>
          </cell>
          <cell r="Q70">
            <v>19277.592000000001</v>
          </cell>
          <cell r="R70">
            <v>18804.523000000001</v>
          </cell>
          <cell r="S70">
            <v>18614.664000000001</v>
          </cell>
          <cell r="T70">
            <v>17598.524000000001</v>
          </cell>
          <cell r="U70">
            <v>17322.289000000001</v>
          </cell>
          <cell r="V70">
            <v>17211.636999999999</v>
          </cell>
          <cell r="W70">
            <v>17084.505000000001</v>
          </cell>
          <cell r="X70">
            <v>16892.473999999998</v>
          </cell>
          <cell r="Y70">
            <v>16742.377</v>
          </cell>
          <cell r="Z70">
            <v>16566.826000000001</v>
          </cell>
          <cell r="AA70">
            <v>16393.138999999999</v>
          </cell>
          <cell r="AB70">
            <v>16322.767</v>
          </cell>
          <cell r="AC70">
            <v>16824.062000000002</v>
          </cell>
        </row>
        <row r="71">
          <cell r="A71" t="str">
            <v>Average cost Mpr performance insulation (euro)</v>
          </cell>
          <cell r="E71">
            <v>23366.63</v>
          </cell>
          <cell r="F71">
            <v>23892.04</v>
          </cell>
          <cell r="G71">
            <v>23674.881000000001</v>
          </cell>
          <cell r="H71">
            <v>24268.946</v>
          </cell>
          <cell r="I71">
            <v>24835.083999999999</v>
          </cell>
          <cell r="J71">
            <v>23767.300999999999</v>
          </cell>
          <cell r="K71">
            <v>22911.418000000001</v>
          </cell>
          <cell r="L71">
            <v>22029.871999999999</v>
          </cell>
          <cell r="M71">
            <v>21392.272000000001</v>
          </cell>
          <cell r="N71">
            <v>21039.565999999999</v>
          </cell>
          <cell r="O71">
            <v>20610.512999999999</v>
          </cell>
          <cell r="P71">
            <v>19076.871999999999</v>
          </cell>
          <cell r="Q71">
            <v>19277.592000000001</v>
          </cell>
          <cell r="R71">
            <v>18804.523000000001</v>
          </cell>
          <cell r="S71">
            <v>18614.664000000001</v>
          </cell>
          <cell r="T71">
            <v>17598.524000000001</v>
          </cell>
          <cell r="U71">
            <v>17322.289000000001</v>
          </cell>
          <cell r="V71">
            <v>17211.636999999999</v>
          </cell>
          <cell r="W71">
            <v>17084.505000000001</v>
          </cell>
          <cell r="X71">
            <v>16892.473999999998</v>
          </cell>
          <cell r="Y71">
            <v>16742.377</v>
          </cell>
          <cell r="Z71">
            <v>16566.826000000001</v>
          </cell>
          <cell r="AA71">
            <v>16393.138999999999</v>
          </cell>
          <cell r="AB71">
            <v>16322.767</v>
          </cell>
          <cell r="AC71">
            <v>16824.062000000002</v>
          </cell>
        </row>
        <row r="72">
          <cell r="A72" t="str">
            <v>Average cost Mpr serenite (euro)</v>
          </cell>
          <cell r="C72">
            <v>9775.1389999999992</v>
          </cell>
          <cell r="D72">
            <v>9306.9599999999991</v>
          </cell>
        </row>
        <row r="73">
          <cell r="A73" t="str">
            <v>Average cost Mpr serenite insulation (euro)</v>
          </cell>
          <cell r="C73">
            <v>9775.1389999999992</v>
          </cell>
          <cell r="D73">
            <v>9306.9599999999991</v>
          </cell>
        </row>
        <row r="74">
          <cell r="A74" t="str">
            <v>Average cost Over cap (euro)</v>
          </cell>
          <cell r="C74">
            <v>4618.2550000000001</v>
          </cell>
          <cell r="D74">
            <v>8065.2269999999999</v>
          </cell>
          <cell r="E74">
            <v>10791.208000000001</v>
          </cell>
          <cell r="F74">
            <v>10723.087</v>
          </cell>
          <cell r="G74">
            <v>13865.715</v>
          </cell>
          <cell r="H74">
            <v>14441.195</v>
          </cell>
          <cell r="I74">
            <v>16954.467000000001</v>
          </cell>
          <cell r="J74">
            <v>12617.538</v>
          </cell>
          <cell r="K74">
            <v>11058.168</v>
          </cell>
          <cell r="L74">
            <v>10748.069</v>
          </cell>
          <cell r="M74">
            <v>10508.467000000001</v>
          </cell>
          <cell r="N74">
            <v>10299.629999999999</v>
          </cell>
          <cell r="O74">
            <v>10065.629000000001</v>
          </cell>
          <cell r="P74">
            <v>8916.741</v>
          </cell>
          <cell r="Q74">
            <v>9253.2379999999994</v>
          </cell>
          <cell r="R74">
            <v>9235.0580000000009</v>
          </cell>
          <cell r="S74">
            <v>10305.395</v>
          </cell>
          <cell r="T74">
            <v>9364.7610000000004</v>
          </cell>
          <cell r="U74">
            <v>9368.09</v>
          </cell>
          <cell r="V74">
            <v>9562.607</v>
          </cell>
          <cell r="W74">
            <v>9699.1440000000002</v>
          </cell>
          <cell r="X74">
            <v>9760.4809999999998</v>
          </cell>
          <cell r="Y74">
            <v>9766.9069999999992</v>
          </cell>
          <cell r="Z74">
            <v>9829.3549999999996</v>
          </cell>
          <cell r="AA74">
            <v>9831.3520000000008</v>
          </cell>
          <cell r="AB74">
            <v>9837.6479999999992</v>
          </cell>
          <cell r="AC74">
            <v>10014.147000000001</v>
          </cell>
        </row>
        <row r="75">
          <cell r="A75" t="str">
            <v>Average cost Over cap heater (euro)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8753.8989999999994</v>
          </cell>
          <cell r="L75">
            <v>8657.2019999999993</v>
          </cell>
          <cell r="M75">
            <v>8563.1029999999992</v>
          </cell>
          <cell r="N75">
            <v>8475.3179999999993</v>
          </cell>
          <cell r="O75">
            <v>8467.143</v>
          </cell>
          <cell r="P75">
            <v>8468.0499999999993</v>
          </cell>
          <cell r="Q75">
            <v>8467.8169999999991</v>
          </cell>
          <cell r="R75">
            <v>8544.259</v>
          </cell>
          <cell r="S75">
            <v>8512.1630000000005</v>
          </cell>
          <cell r="T75">
            <v>8560.0190000000002</v>
          </cell>
          <cell r="U75">
            <v>8543.4</v>
          </cell>
          <cell r="V75">
            <v>8581.59</v>
          </cell>
          <cell r="W75">
            <v>9149.4320000000007</v>
          </cell>
          <cell r="X75">
            <v>9229.5589999999993</v>
          </cell>
          <cell r="Y75">
            <v>9183.6170000000002</v>
          </cell>
          <cell r="Z75">
            <v>9275.6350000000002</v>
          </cell>
          <cell r="AA75">
            <v>9247.8799999999992</v>
          </cell>
          <cell r="AB75">
            <v>9212.3359999999993</v>
          </cell>
          <cell r="AC75">
            <v>9179.74</v>
          </cell>
        </row>
        <row r="76">
          <cell r="A76" t="str">
            <v>Average cost Over cap insulation (euro)</v>
          </cell>
          <cell r="C76">
            <v>4618.2550000000001</v>
          </cell>
          <cell r="D76">
            <v>8065.2269999999999</v>
          </cell>
          <cell r="E76">
            <v>10791.208000000001</v>
          </cell>
          <cell r="F76">
            <v>10723.087</v>
          </cell>
          <cell r="G76">
            <v>13865.715</v>
          </cell>
          <cell r="H76">
            <v>14441.195</v>
          </cell>
          <cell r="I76">
            <v>16954.467000000001</v>
          </cell>
          <cell r="J76">
            <v>12617.538</v>
          </cell>
          <cell r="K76">
            <v>12308.171</v>
          </cell>
          <cell r="L76">
            <v>12048.941000000001</v>
          </cell>
          <cell r="M76">
            <v>11904.796</v>
          </cell>
          <cell r="N76">
            <v>11779.656999999999</v>
          </cell>
          <cell r="O76">
            <v>11144.057000000001</v>
          </cell>
          <cell r="P76">
            <v>9129.6769999999997</v>
          </cell>
          <cell r="Q76">
            <v>9664.5959999999995</v>
          </cell>
          <cell r="R76">
            <v>9593.5450000000001</v>
          </cell>
          <cell r="S76">
            <v>11179.776</v>
          </cell>
          <cell r="T76">
            <v>9835.7929999999997</v>
          </cell>
          <cell r="U76">
            <v>9899.9449999999997</v>
          </cell>
          <cell r="V76">
            <v>10282.289000000001</v>
          </cell>
          <cell r="W76">
            <v>10372.076999999999</v>
          </cell>
          <cell r="X76">
            <v>10478.001</v>
          </cell>
          <cell r="Y76">
            <v>10642.751</v>
          </cell>
          <cell r="Z76">
            <v>10743.608</v>
          </cell>
          <cell r="AA76">
            <v>10832.916999999999</v>
          </cell>
          <cell r="AB76">
            <v>10930.540999999999</v>
          </cell>
          <cell r="AC76">
            <v>11460.118</v>
          </cell>
        </row>
        <row r="77">
          <cell r="A77" t="str">
            <v>Average cost Reduced vat (euro)</v>
          </cell>
          <cell r="C77">
            <v>8806.9030000000002</v>
          </cell>
          <cell r="D77">
            <v>8898.2819999999992</v>
          </cell>
          <cell r="E77">
            <v>10108.040000000001</v>
          </cell>
          <cell r="F77">
            <v>10200.003000000001</v>
          </cell>
          <cell r="G77">
            <v>9449.7330000000002</v>
          </cell>
          <cell r="H77">
            <v>9126.634</v>
          </cell>
          <cell r="I77">
            <v>8783.7180000000008</v>
          </cell>
          <cell r="J77">
            <v>8866.2739999999994</v>
          </cell>
          <cell r="K77">
            <v>8215.8050000000003</v>
          </cell>
          <cell r="L77">
            <v>8055.0709999999999</v>
          </cell>
          <cell r="M77">
            <v>7921.3519999999999</v>
          </cell>
          <cell r="N77">
            <v>7839.3040000000001</v>
          </cell>
          <cell r="O77">
            <v>7896.6180000000004</v>
          </cell>
          <cell r="P77">
            <v>7745.924</v>
          </cell>
          <cell r="Q77">
            <v>7883.2219999999998</v>
          </cell>
          <cell r="R77">
            <v>7887.2190000000001</v>
          </cell>
          <cell r="S77">
            <v>8707.4979999999996</v>
          </cell>
          <cell r="T77">
            <v>8023.8720000000003</v>
          </cell>
          <cell r="U77">
            <v>7944.3190000000004</v>
          </cell>
          <cell r="V77">
            <v>7919.8990000000003</v>
          </cell>
          <cell r="W77">
            <v>7956.4809999999998</v>
          </cell>
          <cell r="X77">
            <v>8332.8080000000009</v>
          </cell>
          <cell r="Y77">
            <v>7781.0550000000003</v>
          </cell>
          <cell r="Z77">
            <v>8008.4530000000004</v>
          </cell>
          <cell r="AA77">
            <v>7581.46</v>
          </cell>
          <cell r="AB77">
            <v>7129.4709999999995</v>
          </cell>
          <cell r="AC77">
            <v>6799.7889999999998</v>
          </cell>
        </row>
        <row r="78">
          <cell r="A78" t="str">
            <v>Average cost Reduced vat heater (euro)</v>
          </cell>
          <cell r="C78">
            <v>7868.634</v>
          </cell>
          <cell r="D78">
            <v>8233.2810000000009</v>
          </cell>
          <cell r="E78">
            <v>7712.62</v>
          </cell>
          <cell r="F78">
            <v>7944.0190000000002</v>
          </cell>
          <cell r="G78">
            <v>7405.37</v>
          </cell>
          <cell r="H78">
            <v>6816.5950000000003</v>
          </cell>
          <cell r="I78">
            <v>6273.1719999999996</v>
          </cell>
          <cell r="J78">
            <v>7011.0940000000001</v>
          </cell>
          <cell r="K78">
            <v>6426.915</v>
          </cell>
          <cell r="L78">
            <v>6587.9650000000001</v>
          </cell>
          <cell r="M78">
            <v>6792.5020000000004</v>
          </cell>
          <cell r="N78">
            <v>6965.7960000000003</v>
          </cell>
          <cell r="O78">
            <v>6977.1719999999996</v>
          </cell>
          <cell r="P78">
            <v>7326.0789999999997</v>
          </cell>
          <cell r="Q78">
            <v>7492.0540000000001</v>
          </cell>
          <cell r="R78">
            <v>7720.6080000000002</v>
          </cell>
          <cell r="S78">
            <v>7879.8850000000002</v>
          </cell>
          <cell r="T78">
            <v>7797.0789999999997</v>
          </cell>
          <cell r="U78">
            <v>7772.4459999999999</v>
          </cell>
          <cell r="V78">
            <v>7800.6319999999996</v>
          </cell>
          <cell r="W78">
            <v>8028.7730000000001</v>
          </cell>
          <cell r="X78">
            <v>8672.7080000000005</v>
          </cell>
          <cell r="Y78">
            <v>7766.71</v>
          </cell>
          <cell r="Z78">
            <v>8134.0370000000003</v>
          </cell>
          <cell r="AA78">
            <v>7496.6660000000002</v>
          </cell>
          <cell r="AB78">
            <v>6859.9570000000003</v>
          </cell>
          <cell r="AC78">
            <v>6339.2110000000002</v>
          </cell>
        </row>
        <row r="79">
          <cell r="A79" t="str">
            <v>Average cost Reduced vat insulation (euro)</v>
          </cell>
          <cell r="C79">
            <v>11629.843999999999</v>
          </cell>
          <cell r="D79">
            <v>10793.415000000001</v>
          </cell>
          <cell r="E79">
            <v>14862.906999999999</v>
          </cell>
          <cell r="F79">
            <v>14554.617</v>
          </cell>
          <cell r="G79">
            <v>13473.579</v>
          </cell>
          <cell r="H79">
            <v>13621.773999999999</v>
          </cell>
          <cell r="I79">
            <v>13739.965</v>
          </cell>
          <cell r="J79">
            <v>11925.120999999999</v>
          </cell>
          <cell r="K79">
            <v>11478.571</v>
          </cell>
          <cell r="L79">
            <v>10880.592000000001</v>
          </cell>
          <cell r="M79">
            <v>10106.272999999999</v>
          </cell>
          <cell r="N79">
            <v>9602.9</v>
          </cell>
          <cell r="O79">
            <v>9553.0239999999994</v>
          </cell>
          <cell r="P79">
            <v>8277.8459999999995</v>
          </cell>
          <cell r="Q79">
            <v>8401.35</v>
          </cell>
          <cell r="R79">
            <v>8088.08</v>
          </cell>
          <cell r="S79">
            <v>9595.8860000000004</v>
          </cell>
          <cell r="T79">
            <v>8274.893</v>
          </cell>
          <cell r="U79">
            <v>8144.5839999999998</v>
          </cell>
          <cell r="V79">
            <v>8065.2179999999998</v>
          </cell>
          <cell r="W79">
            <v>7842.6559999999999</v>
          </cell>
          <cell r="X79">
            <v>7822.3509999999997</v>
          </cell>
          <cell r="Y79">
            <v>7807.723</v>
          </cell>
          <cell r="Z79">
            <v>7778.652</v>
          </cell>
          <cell r="AA79">
            <v>7754.7139999999999</v>
          </cell>
          <cell r="AB79">
            <v>7748.8490000000002</v>
          </cell>
          <cell r="AC79">
            <v>7964.7889999999998</v>
          </cell>
        </row>
        <row r="80">
          <cell r="A80" t="str">
            <v>Average cost Zero interest loan (euro)</v>
          </cell>
          <cell r="C80">
            <v>11629.843999999999</v>
          </cell>
          <cell r="D80">
            <v>10793.415000000001</v>
          </cell>
          <cell r="E80">
            <v>14862.906999999999</v>
          </cell>
          <cell r="F80">
            <v>14554.617</v>
          </cell>
          <cell r="G80">
            <v>13473.579</v>
          </cell>
          <cell r="H80">
            <v>13621.773999999999</v>
          </cell>
          <cell r="I80">
            <v>13739.965</v>
          </cell>
          <cell r="J80">
            <v>11925.120999999999</v>
          </cell>
          <cell r="K80">
            <v>11478.571</v>
          </cell>
          <cell r="L80">
            <v>10880.592000000001</v>
          </cell>
          <cell r="M80">
            <v>10106.272999999999</v>
          </cell>
          <cell r="N80">
            <v>9602.9</v>
          </cell>
          <cell r="O80">
            <v>9553.0239999999994</v>
          </cell>
          <cell r="P80">
            <v>8277.8459999999995</v>
          </cell>
          <cell r="Q80">
            <v>8401.35</v>
          </cell>
          <cell r="R80">
            <v>8088.08</v>
          </cell>
          <cell r="S80">
            <v>9595.8860000000004</v>
          </cell>
          <cell r="T80">
            <v>8274.893</v>
          </cell>
          <cell r="U80">
            <v>8144.5839999999998</v>
          </cell>
          <cell r="V80">
            <v>8065.2179999999998</v>
          </cell>
          <cell r="W80">
            <v>7842.6559999999999</v>
          </cell>
          <cell r="X80">
            <v>7822.3509999999997</v>
          </cell>
          <cell r="Y80">
            <v>7807.723</v>
          </cell>
          <cell r="Z80">
            <v>7778.652</v>
          </cell>
          <cell r="AA80">
            <v>7754.7139999999999</v>
          </cell>
          <cell r="AB80">
            <v>7748.8490000000002</v>
          </cell>
          <cell r="AC80">
            <v>7964.7889999999998</v>
          </cell>
        </row>
        <row r="81">
          <cell r="A81" t="str">
            <v>Average cost Zero interest loan insulation (euro)</v>
          </cell>
          <cell r="C81">
            <v>11629.843999999999</v>
          </cell>
          <cell r="D81">
            <v>10793.415000000001</v>
          </cell>
          <cell r="E81">
            <v>14862.906999999999</v>
          </cell>
          <cell r="F81">
            <v>14554.617</v>
          </cell>
          <cell r="G81">
            <v>13473.579</v>
          </cell>
          <cell r="H81">
            <v>13621.773999999999</v>
          </cell>
          <cell r="I81">
            <v>13739.965</v>
          </cell>
          <cell r="J81">
            <v>11925.120999999999</v>
          </cell>
          <cell r="K81">
            <v>11478.571</v>
          </cell>
          <cell r="L81">
            <v>10880.592000000001</v>
          </cell>
          <cell r="M81">
            <v>10106.272999999999</v>
          </cell>
          <cell r="N81">
            <v>9602.9</v>
          </cell>
          <cell r="O81">
            <v>9553.0239999999994</v>
          </cell>
          <cell r="P81">
            <v>8277.8459999999995</v>
          </cell>
          <cell r="Q81">
            <v>8401.35</v>
          </cell>
          <cell r="R81">
            <v>8088.08</v>
          </cell>
          <cell r="S81">
            <v>9595.8860000000004</v>
          </cell>
          <cell r="T81">
            <v>8274.893</v>
          </cell>
          <cell r="U81">
            <v>8144.5839999999998</v>
          </cell>
          <cell r="V81">
            <v>8065.2179999999998</v>
          </cell>
          <cell r="W81">
            <v>7842.6559999999999</v>
          </cell>
          <cell r="X81">
            <v>7822.3509999999997</v>
          </cell>
          <cell r="Y81">
            <v>7807.723</v>
          </cell>
          <cell r="Z81">
            <v>7778.652</v>
          </cell>
          <cell r="AA81">
            <v>7754.7139999999999</v>
          </cell>
          <cell r="AB81">
            <v>7748.8490000000002</v>
          </cell>
          <cell r="AC81">
            <v>7964.7889999999998</v>
          </cell>
        </row>
        <row r="82">
          <cell r="A82" t="str">
            <v>Average energy std saved Cee insulation (MWh)</v>
          </cell>
          <cell r="C82">
            <v>5.6890000000000001</v>
          </cell>
          <cell r="D82">
            <v>4.87</v>
          </cell>
          <cell r="E82">
            <v>7.2649999999999997</v>
          </cell>
          <cell r="F82">
            <v>7.03</v>
          </cell>
          <cell r="G82">
            <v>5.9870000000000001</v>
          </cell>
          <cell r="H82">
            <v>5.8959999999999999</v>
          </cell>
          <cell r="I82">
            <v>5.423</v>
          </cell>
          <cell r="J82">
            <v>4.6639999999999997</v>
          </cell>
          <cell r="K82">
            <v>4.1849999999999996</v>
          </cell>
          <cell r="L82">
            <v>3.6429999999999998</v>
          </cell>
          <cell r="M82">
            <v>3.028</v>
          </cell>
          <cell r="N82">
            <v>2.633</v>
          </cell>
          <cell r="O82">
            <v>2.6589999999999998</v>
          </cell>
          <cell r="P82">
            <v>2.1520000000000001</v>
          </cell>
          <cell r="Q82">
            <v>2.1030000000000002</v>
          </cell>
          <cell r="R82">
            <v>1.909</v>
          </cell>
          <cell r="S82">
            <v>2.52</v>
          </cell>
          <cell r="T82">
            <v>1.6539999999999999</v>
          </cell>
          <cell r="U82">
            <v>1.5589999999999999</v>
          </cell>
          <cell r="V82">
            <v>1.48</v>
          </cell>
          <cell r="W82">
            <v>1.381</v>
          </cell>
          <cell r="X82">
            <v>1.319</v>
          </cell>
          <cell r="Y82">
            <v>1.254</v>
          </cell>
          <cell r="Z82">
            <v>1.194</v>
          </cell>
          <cell r="AA82">
            <v>1.135</v>
          </cell>
          <cell r="AB82">
            <v>1.1080000000000001</v>
          </cell>
          <cell r="AC82">
            <v>1.1319999999999999</v>
          </cell>
        </row>
        <row r="83">
          <cell r="A83" t="str">
            <v>Average energy std saved Mpr efficacite insulation (MWh)</v>
          </cell>
          <cell r="E83">
            <v>2.7719999999999998</v>
          </cell>
          <cell r="F83">
            <v>2.6869999999999998</v>
          </cell>
          <cell r="G83">
            <v>2.5910000000000002</v>
          </cell>
          <cell r="H83">
            <v>2.5880000000000001</v>
          </cell>
          <cell r="I83">
            <v>2.4580000000000002</v>
          </cell>
          <cell r="J83">
            <v>2.327</v>
          </cell>
          <cell r="K83">
            <v>2.2120000000000002</v>
          </cell>
          <cell r="L83">
            <v>2.1080000000000001</v>
          </cell>
          <cell r="M83">
            <v>2.0169999999999999</v>
          </cell>
          <cell r="N83">
            <v>1.9339999999999999</v>
          </cell>
          <cell r="O83">
            <v>1.661</v>
          </cell>
          <cell r="P83">
            <v>1.613</v>
          </cell>
          <cell r="Q83">
            <v>1.6259999999999999</v>
          </cell>
          <cell r="R83">
            <v>1.6120000000000001</v>
          </cell>
          <cell r="S83">
            <v>1.7270000000000001</v>
          </cell>
          <cell r="T83">
            <v>1.536</v>
          </cell>
          <cell r="U83">
            <v>1.5</v>
          </cell>
          <cell r="V83">
            <v>1.4870000000000001</v>
          </cell>
          <cell r="W83">
            <v>2.0489999999999999</v>
          </cell>
          <cell r="X83">
            <v>2.0609999999999999</v>
          </cell>
          <cell r="Y83">
            <v>1.974</v>
          </cell>
          <cell r="Z83">
            <v>1.988</v>
          </cell>
          <cell r="AA83">
            <v>1.9630000000000001</v>
          </cell>
          <cell r="AB83">
            <v>1.9259999999999999</v>
          </cell>
          <cell r="AC83">
            <v>1.966</v>
          </cell>
        </row>
        <row r="84">
          <cell r="A84" t="str">
            <v>Average energy std saved Mpr insulation (MWh)</v>
          </cell>
          <cell r="C84">
            <v>5.3040000000000003</v>
          </cell>
          <cell r="D84">
            <v>4.6529999999999996</v>
          </cell>
        </row>
        <row r="85">
          <cell r="A85" t="str">
            <v>Average energy std saved Mpr multifamily deep insulation (MWh)</v>
          </cell>
          <cell r="D85">
            <v>5.4720000000000004</v>
          </cell>
          <cell r="E85">
            <v>5.4130000000000003</v>
          </cell>
          <cell r="F85">
            <v>5.3410000000000002</v>
          </cell>
          <cell r="G85">
            <v>5.15</v>
          </cell>
          <cell r="H85">
            <v>5.2489999999999997</v>
          </cell>
          <cell r="I85">
            <v>5.218</v>
          </cell>
          <cell r="J85">
            <v>4.96</v>
          </cell>
          <cell r="K85">
            <v>4.9050000000000002</v>
          </cell>
          <cell r="L85">
            <v>4.7910000000000004</v>
          </cell>
          <cell r="M85">
            <v>4.5350000000000001</v>
          </cell>
          <cell r="N85">
            <v>4.3550000000000004</v>
          </cell>
          <cell r="O85">
            <v>4.7140000000000004</v>
          </cell>
          <cell r="P85">
            <v>3.69</v>
          </cell>
          <cell r="Q85">
            <v>3.8039999999999998</v>
          </cell>
          <cell r="R85">
            <v>3.7480000000000002</v>
          </cell>
          <cell r="S85">
            <v>5.2130000000000001</v>
          </cell>
          <cell r="T85">
            <v>3.5579999999999998</v>
          </cell>
          <cell r="U85">
            <v>3.484</v>
          </cell>
          <cell r="V85">
            <v>3.4260000000000002</v>
          </cell>
          <cell r="W85">
            <v>3.3679999999999999</v>
          </cell>
          <cell r="X85">
            <v>3.2890000000000001</v>
          </cell>
          <cell r="Y85">
            <v>3.1709999999999998</v>
          </cell>
          <cell r="Z85">
            <v>3.0659999999999998</v>
          </cell>
          <cell r="AA85">
            <v>2.9380000000000002</v>
          </cell>
          <cell r="AB85">
            <v>2.915</v>
          </cell>
          <cell r="AC85">
            <v>3.0030000000000001</v>
          </cell>
        </row>
        <row r="86">
          <cell r="A86" t="str">
            <v>Average energy std saved Mpr multifamily insulation (MWh)</v>
          </cell>
          <cell r="C86">
            <v>4.7720000000000002</v>
          </cell>
        </row>
        <row r="87">
          <cell r="A87" t="str">
            <v>Average energy std saved Mpr performance insulation (MWh)</v>
          </cell>
          <cell r="E87">
            <v>12.547000000000001</v>
          </cell>
          <cell r="F87">
            <v>12.848000000000001</v>
          </cell>
          <cell r="G87">
            <v>11.82</v>
          </cell>
          <cell r="H87">
            <v>11.778</v>
          </cell>
          <cell r="I87">
            <v>10.718</v>
          </cell>
          <cell r="J87">
            <v>9.0939999999999994</v>
          </cell>
          <cell r="K87">
            <v>7.9859999999999998</v>
          </cell>
          <cell r="L87">
            <v>6.9420000000000002</v>
          </cell>
          <cell r="M87">
            <v>6.1159999999999997</v>
          </cell>
          <cell r="N87">
            <v>5.5019999999999998</v>
          </cell>
          <cell r="O87">
            <v>5.0970000000000004</v>
          </cell>
          <cell r="P87">
            <v>4.3</v>
          </cell>
          <cell r="Q87">
            <v>4.1879999999999997</v>
          </cell>
          <cell r="R87">
            <v>3.8460000000000001</v>
          </cell>
          <cell r="S87">
            <v>4.0359999999999996</v>
          </cell>
          <cell r="T87">
            <v>3.0750000000000002</v>
          </cell>
          <cell r="U87">
            <v>2.91</v>
          </cell>
          <cell r="V87">
            <v>2.8119999999999998</v>
          </cell>
          <cell r="W87">
            <v>2.754</v>
          </cell>
          <cell r="X87">
            <v>2.629</v>
          </cell>
          <cell r="Y87">
            <v>2.4990000000000001</v>
          </cell>
          <cell r="Z87">
            <v>2.3860000000000001</v>
          </cell>
          <cell r="AA87">
            <v>2.274</v>
          </cell>
          <cell r="AB87">
            <v>2.2370000000000001</v>
          </cell>
          <cell r="AC87">
            <v>2.31</v>
          </cell>
        </row>
        <row r="88">
          <cell r="A88" t="str">
            <v>Average energy std saved Mpr serenite insulation (MWh)</v>
          </cell>
          <cell r="C88">
            <v>4.4000000000000004</v>
          </cell>
          <cell r="D88">
            <v>3.8239999999999998</v>
          </cell>
        </row>
        <row r="89">
          <cell r="A89" t="str">
            <v>Average energy std saved Over cap insulation (MWh)</v>
          </cell>
          <cell r="C89">
            <v>0.61499999999999999</v>
          </cell>
          <cell r="D89">
            <v>5.4690000000000003</v>
          </cell>
          <cell r="E89">
            <v>4.9980000000000002</v>
          </cell>
          <cell r="F89">
            <v>4.875</v>
          </cell>
          <cell r="G89">
            <v>6.8410000000000002</v>
          </cell>
          <cell r="H89">
            <v>7.1890000000000001</v>
          </cell>
          <cell r="I89">
            <v>7.944</v>
          </cell>
          <cell r="J89">
            <v>6.2510000000000003</v>
          </cell>
          <cell r="K89">
            <v>5.8540000000000001</v>
          </cell>
          <cell r="L89">
            <v>5.4569999999999999</v>
          </cell>
          <cell r="M89">
            <v>4.9960000000000004</v>
          </cell>
          <cell r="N89">
            <v>4.6360000000000001</v>
          </cell>
          <cell r="O89">
            <v>4.7439999999999998</v>
          </cell>
          <cell r="P89">
            <v>3.7709999999999999</v>
          </cell>
          <cell r="Q89">
            <v>3.86</v>
          </cell>
          <cell r="R89">
            <v>3.7349999999999999</v>
          </cell>
          <cell r="S89">
            <v>5.0179999999999998</v>
          </cell>
          <cell r="T89">
            <v>3.4020000000000001</v>
          </cell>
          <cell r="U89">
            <v>3.2919999999999998</v>
          </cell>
          <cell r="V89">
            <v>3.1819999999999999</v>
          </cell>
          <cell r="W89">
            <v>3.1789999999999998</v>
          </cell>
          <cell r="X89">
            <v>3.0830000000000002</v>
          </cell>
          <cell r="Y89">
            <v>2.9430000000000001</v>
          </cell>
          <cell r="Z89">
            <v>2.8319999999999999</v>
          </cell>
          <cell r="AA89">
            <v>2.6989999999999998</v>
          </cell>
          <cell r="AB89">
            <v>2.66</v>
          </cell>
          <cell r="AC89">
            <v>2.74</v>
          </cell>
        </row>
        <row r="90">
          <cell r="A90" t="str">
            <v>Average energy std saved Reduced vat insulation (MWh)</v>
          </cell>
          <cell r="C90">
            <v>5.6890000000000001</v>
          </cell>
          <cell r="D90">
            <v>4.87</v>
          </cell>
          <cell r="E90">
            <v>7.2649999999999997</v>
          </cell>
          <cell r="F90">
            <v>7.03</v>
          </cell>
          <cell r="G90">
            <v>5.9870000000000001</v>
          </cell>
          <cell r="H90">
            <v>5.8959999999999999</v>
          </cell>
          <cell r="I90">
            <v>5.423</v>
          </cell>
          <cell r="J90">
            <v>4.6639999999999997</v>
          </cell>
          <cell r="K90">
            <v>4.1849999999999996</v>
          </cell>
          <cell r="L90">
            <v>3.6429999999999998</v>
          </cell>
          <cell r="M90">
            <v>3.028</v>
          </cell>
          <cell r="N90">
            <v>2.633</v>
          </cell>
          <cell r="O90">
            <v>2.6589999999999998</v>
          </cell>
          <cell r="P90">
            <v>2.1520000000000001</v>
          </cell>
          <cell r="Q90">
            <v>2.1030000000000002</v>
          </cell>
          <cell r="R90">
            <v>1.909</v>
          </cell>
          <cell r="S90">
            <v>2.52</v>
          </cell>
          <cell r="T90">
            <v>1.6539999999999999</v>
          </cell>
          <cell r="U90">
            <v>1.5589999999999999</v>
          </cell>
          <cell r="V90">
            <v>1.48</v>
          </cell>
          <cell r="W90">
            <v>1.381</v>
          </cell>
          <cell r="X90">
            <v>1.319</v>
          </cell>
          <cell r="Y90">
            <v>1.254</v>
          </cell>
          <cell r="Z90">
            <v>1.194</v>
          </cell>
          <cell r="AA90">
            <v>1.135</v>
          </cell>
          <cell r="AB90">
            <v>1.1080000000000001</v>
          </cell>
          <cell r="AC90">
            <v>1.1319999999999999</v>
          </cell>
        </row>
        <row r="91">
          <cell r="A91" t="str">
            <v>Average energy std saved Zero interest loan insulation (MWh)</v>
          </cell>
          <cell r="C91">
            <v>5.6890000000000001</v>
          </cell>
          <cell r="D91">
            <v>4.87</v>
          </cell>
          <cell r="E91">
            <v>7.2649999999999997</v>
          </cell>
          <cell r="F91">
            <v>7.03</v>
          </cell>
          <cell r="G91">
            <v>5.9870000000000001</v>
          </cell>
          <cell r="H91">
            <v>5.8959999999999999</v>
          </cell>
          <cell r="I91">
            <v>5.423</v>
          </cell>
          <cell r="J91">
            <v>4.6639999999999997</v>
          </cell>
          <cell r="K91">
            <v>4.1849999999999996</v>
          </cell>
          <cell r="L91">
            <v>3.6429999999999998</v>
          </cell>
          <cell r="M91">
            <v>3.028</v>
          </cell>
          <cell r="N91">
            <v>2.633</v>
          </cell>
          <cell r="O91">
            <v>2.6589999999999998</v>
          </cell>
          <cell r="P91">
            <v>2.1520000000000001</v>
          </cell>
          <cell r="Q91">
            <v>2.1030000000000002</v>
          </cell>
          <cell r="R91">
            <v>1.909</v>
          </cell>
          <cell r="S91">
            <v>2.52</v>
          </cell>
          <cell r="T91">
            <v>1.6539999999999999</v>
          </cell>
          <cell r="U91">
            <v>1.5589999999999999</v>
          </cell>
          <cell r="V91">
            <v>1.48</v>
          </cell>
          <cell r="W91">
            <v>1.381</v>
          </cell>
          <cell r="X91">
            <v>1.319</v>
          </cell>
          <cell r="Y91">
            <v>1.254</v>
          </cell>
          <cell r="Z91">
            <v>1.194</v>
          </cell>
          <cell r="AA91">
            <v>1.135</v>
          </cell>
          <cell r="AB91">
            <v>1.1080000000000001</v>
          </cell>
          <cell r="AC91">
            <v>1.1319999999999999</v>
          </cell>
        </row>
        <row r="92">
          <cell r="A92" t="str">
            <v>Balance Owner-occupied - C1 (euro/year,household)</v>
          </cell>
          <cell r="C92">
            <v>-232.11500000000001</v>
          </cell>
          <cell r="D92">
            <v>-229.10400000000001</v>
          </cell>
          <cell r="E92">
            <v>129.00200000000001</v>
          </cell>
          <cell r="F92">
            <v>225.863</v>
          </cell>
          <cell r="G92">
            <v>234.88399999999999</v>
          </cell>
          <cell r="H92">
            <v>252.54900000000001</v>
          </cell>
          <cell r="I92">
            <v>227.95099999999999</v>
          </cell>
          <cell r="J92">
            <v>172.56200000000001</v>
          </cell>
          <cell r="K92">
            <v>122.413</v>
          </cell>
          <cell r="L92">
            <v>77.341999999999999</v>
          </cell>
          <cell r="M92">
            <v>37.902000000000001</v>
          </cell>
          <cell r="N92">
            <v>4.5309999999999997</v>
          </cell>
          <cell r="O92">
            <v>-50.085000000000001</v>
          </cell>
          <cell r="P92">
            <v>-72.471999999999994</v>
          </cell>
          <cell r="Q92">
            <v>-83.501000000000005</v>
          </cell>
          <cell r="R92">
            <v>-106.849</v>
          </cell>
          <cell r="S92">
            <v>-199.952</v>
          </cell>
          <cell r="T92">
            <v>-289.78699999999998</v>
          </cell>
          <cell r="U92">
            <v>-299.02699999999999</v>
          </cell>
          <cell r="V92">
            <v>-309.28300000000002</v>
          </cell>
          <cell r="W92">
            <v>-321.14100000000002</v>
          </cell>
          <cell r="X92">
            <v>-331.41899999999998</v>
          </cell>
          <cell r="Y92">
            <v>-337.86099999999999</v>
          </cell>
          <cell r="Z92">
            <v>-347.23200000000003</v>
          </cell>
          <cell r="AA92">
            <v>-356.25099999999998</v>
          </cell>
          <cell r="AB92">
            <v>-358.30700000000002</v>
          </cell>
          <cell r="AC92">
            <v>-358.38099999999997</v>
          </cell>
        </row>
        <row r="93">
          <cell r="A93" t="str">
            <v>Balance Owner-occupied - C2 (euro/year,household)</v>
          </cell>
          <cell r="C93">
            <v>-333.05099999999999</v>
          </cell>
          <cell r="D93">
            <v>-330.51400000000001</v>
          </cell>
          <cell r="E93">
            <v>-217.821</v>
          </cell>
          <cell r="F93">
            <v>-154.61799999999999</v>
          </cell>
          <cell r="G93">
            <v>-141.76599999999999</v>
          </cell>
          <cell r="H93">
            <v>-129.19900000000001</v>
          </cell>
          <cell r="I93">
            <v>-177.84800000000001</v>
          </cell>
          <cell r="J93">
            <v>-249.3</v>
          </cell>
          <cell r="K93">
            <v>-286.63600000000002</v>
          </cell>
          <cell r="L93">
            <v>-320.13299999999998</v>
          </cell>
          <cell r="M93">
            <v>-349.58199999999999</v>
          </cell>
          <cell r="N93">
            <v>-374.68400000000003</v>
          </cell>
          <cell r="O93">
            <v>-379.37400000000002</v>
          </cell>
          <cell r="P93">
            <v>-392.94799999999998</v>
          </cell>
          <cell r="Q93">
            <v>-396.90699999999998</v>
          </cell>
          <cell r="R93">
            <v>-409.39699999999999</v>
          </cell>
          <cell r="S93">
            <v>-389.72800000000001</v>
          </cell>
          <cell r="T93">
            <v>-521.875</v>
          </cell>
          <cell r="U93">
            <v>-528.84299999999996</v>
          </cell>
          <cell r="V93">
            <v>-535.78300000000002</v>
          </cell>
          <cell r="W93">
            <v>-540.84699999999998</v>
          </cell>
          <cell r="X93">
            <v>-547.52</v>
          </cell>
          <cell r="Y93">
            <v>-554.03700000000003</v>
          </cell>
          <cell r="Z93">
            <v>-560.57399999999996</v>
          </cell>
          <cell r="AA93">
            <v>-568.73500000000001</v>
          </cell>
          <cell r="AB93">
            <v>-570.87599999999998</v>
          </cell>
          <cell r="AC93">
            <v>-603.255</v>
          </cell>
        </row>
        <row r="94">
          <cell r="A94" t="str">
            <v>Balance Owner-occupied - C3 (euro/year,household)</v>
          </cell>
          <cell r="C94">
            <v>-520.74</v>
          </cell>
          <cell r="D94">
            <v>-523.755</v>
          </cell>
          <cell r="E94">
            <v>-340.40699999999998</v>
          </cell>
          <cell r="F94">
            <v>-322.62700000000001</v>
          </cell>
          <cell r="G94">
            <v>-365.35199999999998</v>
          </cell>
          <cell r="H94">
            <v>-369.53</v>
          </cell>
          <cell r="I94">
            <v>-465.55399999999997</v>
          </cell>
          <cell r="J94">
            <v>-502.88299999999998</v>
          </cell>
          <cell r="K94">
            <v>-532.07299999999998</v>
          </cell>
          <cell r="L94">
            <v>-555.59199999999998</v>
          </cell>
          <cell r="M94">
            <v>-574.01499999999999</v>
          </cell>
          <cell r="N94">
            <v>-588.17999999999995</v>
          </cell>
          <cell r="O94">
            <v>-569.83100000000002</v>
          </cell>
          <cell r="P94">
            <v>-578.97900000000004</v>
          </cell>
          <cell r="Q94">
            <v>-588.47199999999998</v>
          </cell>
          <cell r="R94">
            <v>-595.74400000000003</v>
          </cell>
          <cell r="S94">
            <v>-540.38</v>
          </cell>
          <cell r="T94">
            <v>-650.91700000000003</v>
          </cell>
          <cell r="U94">
            <v>-656.21199999999999</v>
          </cell>
          <cell r="V94">
            <v>-661.33299999999997</v>
          </cell>
          <cell r="W94">
            <v>-667.59100000000001</v>
          </cell>
          <cell r="X94">
            <v>-672.99300000000005</v>
          </cell>
          <cell r="Y94">
            <v>-678.69500000000005</v>
          </cell>
          <cell r="Z94">
            <v>-683.90700000000004</v>
          </cell>
          <cell r="AA94">
            <v>-689.16099999999994</v>
          </cell>
          <cell r="AB94">
            <v>-690.851</v>
          </cell>
          <cell r="AC94">
            <v>-700.27</v>
          </cell>
        </row>
        <row r="95">
          <cell r="A95" t="str">
            <v>Balance Owner-occupied - C4 (euro/year,household)</v>
          </cell>
          <cell r="C95">
            <v>-545.66300000000001</v>
          </cell>
          <cell r="D95">
            <v>-544.97799999999995</v>
          </cell>
          <cell r="E95">
            <v>-439.69299999999998</v>
          </cell>
          <cell r="F95">
            <v>-426.77300000000002</v>
          </cell>
          <cell r="G95">
            <v>-462.62099999999998</v>
          </cell>
          <cell r="H95">
            <v>-480.46600000000001</v>
          </cell>
          <cell r="I95">
            <v>-522.29999999999995</v>
          </cell>
          <cell r="J95">
            <v>-544.04999999999995</v>
          </cell>
          <cell r="K95">
            <v>-561.50699999999995</v>
          </cell>
          <cell r="L95">
            <v>-577.03200000000004</v>
          </cell>
          <cell r="M95">
            <v>-590.39700000000005</v>
          </cell>
          <cell r="N95">
            <v>-601.34500000000003</v>
          </cell>
          <cell r="O95">
            <v>-573.44399999999996</v>
          </cell>
          <cell r="P95">
            <v>-581.70799999999997</v>
          </cell>
          <cell r="Q95">
            <v>-592.274</v>
          </cell>
          <cell r="R95">
            <v>-601.67700000000002</v>
          </cell>
          <cell r="S95">
            <v>-503.46100000000001</v>
          </cell>
          <cell r="T95">
            <v>-640.596</v>
          </cell>
          <cell r="U95">
            <v>-645.09900000000005</v>
          </cell>
          <cell r="V95">
            <v>-649.54999999999995</v>
          </cell>
          <cell r="W95">
            <v>-654.90200000000004</v>
          </cell>
          <cell r="X95">
            <v>-660.14</v>
          </cell>
          <cell r="Y95">
            <v>-665.61800000000005</v>
          </cell>
          <cell r="Z95">
            <v>-670.65800000000002</v>
          </cell>
          <cell r="AA95">
            <v>-675.80899999999997</v>
          </cell>
          <cell r="AB95">
            <v>-677.14599999999996</v>
          </cell>
          <cell r="AC95">
            <v>-687.05</v>
          </cell>
        </row>
        <row r="96">
          <cell r="A96" t="str">
            <v>Balance Owner-occupied - C5 (euro/year,household)</v>
          </cell>
          <cell r="C96">
            <v>-544.29100000000005</v>
          </cell>
          <cell r="D96">
            <v>-537.70399999999995</v>
          </cell>
          <cell r="E96">
            <v>-462.45800000000003</v>
          </cell>
          <cell r="F96">
            <v>-468.35599999999999</v>
          </cell>
          <cell r="G96">
            <v>-493.55399999999997</v>
          </cell>
          <cell r="H96">
            <v>-503.57100000000003</v>
          </cell>
          <cell r="I96">
            <v>-536.173</v>
          </cell>
          <cell r="J96">
            <v>-548.36599999999999</v>
          </cell>
          <cell r="K96">
            <v>-558.56600000000003</v>
          </cell>
          <cell r="L96">
            <v>-568.62599999999998</v>
          </cell>
          <cell r="M96">
            <v>-577.53599999999994</v>
          </cell>
          <cell r="N96">
            <v>-584.84</v>
          </cell>
          <cell r="O96">
            <v>-535.471</v>
          </cell>
          <cell r="P96">
            <v>-544.37699999999995</v>
          </cell>
          <cell r="Q96">
            <v>-559.37300000000005</v>
          </cell>
          <cell r="R96">
            <v>-567.55799999999999</v>
          </cell>
          <cell r="S96">
            <v>-352.89299999999997</v>
          </cell>
          <cell r="T96">
            <v>-625</v>
          </cell>
          <cell r="U96">
            <v>-629.54300000000001</v>
          </cell>
          <cell r="V96">
            <v>-634.09400000000005</v>
          </cell>
          <cell r="W96">
            <v>-639.39300000000003</v>
          </cell>
          <cell r="X96">
            <v>-644.91300000000001</v>
          </cell>
          <cell r="Y96">
            <v>-650.63900000000001</v>
          </cell>
          <cell r="Z96">
            <v>-656.01599999999996</v>
          </cell>
          <cell r="AA96">
            <v>-661.51400000000001</v>
          </cell>
          <cell r="AB96">
            <v>-662.16300000000001</v>
          </cell>
          <cell r="AC96">
            <v>-674.86800000000005</v>
          </cell>
        </row>
        <row r="97">
          <cell r="A97" t="str">
            <v>Balance standard Owner-occupied - C1 (euro/year,household)</v>
          </cell>
          <cell r="C97">
            <v>-100.774</v>
          </cell>
          <cell r="D97">
            <v>-95.534999999999997</v>
          </cell>
          <cell r="E97">
            <v>942.904</v>
          </cell>
          <cell r="F97">
            <v>1197.2</v>
          </cell>
          <cell r="G97">
            <v>1138.3810000000001</v>
          </cell>
          <cell r="H97">
            <v>1123.8689999999999</v>
          </cell>
          <cell r="I97">
            <v>1062.1379999999999</v>
          </cell>
          <cell r="J97">
            <v>907.24900000000002</v>
          </cell>
          <cell r="K97">
            <v>767.16200000000003</v>
          </cell>
          <cell r="L97">
            <v>640.54600000000005</v>
          </cell>
          <cell r="M97">
            <v>529.16099999999994</v>
          </cell>
          <cell r="N97">
            <v>434.017</v>
          </cell>
          <cell r="O97">
            <v>352.964</v>
          </cell>
          <cell r="P97">
            <v>291.28199999999998</v>
          </cell>
          <cell r="Q97">
            <v>256.911</v>
          </cell>
          <cell r="R97">
            <v>202.88200000000001</v>
          </cell>
          <cell r="S97">
            <v>175.76599999999999</v>
          </cell>
          <cell r="T97">
            <v>-82.100999999999999</v>
          </cell>
          <cell r="U97">
            <v>-107.13</v>
          </cell>
          <cell r="V97">
            <v>-130.87100000000001</v>
          </cell>
          <cell r="W97">
            <v>-147.34100000000001</v>
          </cell>
          <cell r="X97">
            <v>-168.40199999999999</v>
          </cell>
          <cell r="Y97">
            <v>-186.09200000000001</v>
          </cell>
          <cell r="Z97">
            <v>-204.98</v>
          </cell>
          <cell r="AA97">
            <v>-223.792</v>
          </cell>
          <cell r="AB97">
            <v>-229.56700000000001</v>
          </cell>
          <cell r="AC97">
            <v>-230.56299999999999</v>
          </cell>
        </row>
        <row r="98">
          <cell r="A98" t="str">
            <v>Balance standard Owner-occupied - C2 (euro/year,household)</v>
          </cell>
          <cell r="C98">
            <v>-201.11600000000001</v>
          </cell>
          <cell r="D98">
            <v>-194.226</v>
          </cell>
          <cell r="E98">
            <v>388.36</v>
          </cell>
          <cell r="F98">
            <v>568.24</v>
          </cell>
          <cell r="G98">
            <v>600.30399999999997</v>
          </cell>
          <cell r="H98">
            <v>606.69600000000003</v>
          </cell>
          <cell r="I98">
            <v>509.70699999999999</v>
          </cell>
          <cell r="J98">
            <v>334.64600000000002</v>
          </cell>
          <cell r="K98">
            <v>220.11</v>
          </cell>
          <cell r="L98">
            <v>117.425</v>
          </cell>
          <cell r="M98">
            <v>27.111000000000001</v>
          </cell>
          <cell r="N98">
            <v>-50.176000000000002</v>
          </cell>
          <cell r="O98">
            <v>-65.927999999999997</v>
          </cell>
          <cell r="P98">
            <v>-109.384</v>
          </cell>
          <cell r="Q98">
            <v>-124.042</v>
          </cell>
          <cell r="R98">
            <v>-162.22399999999999</v>
          </cell>
          <cell r="S98">
            <v>30.134</v>
          </cell>
          <cell r="T98">
            <v>-352.87599999999998</v>
          </cell>
          <cell r="U98">
            <v>-372.62400000000002</v>
          </cell>
          <cell r="V98">
            <v>-390.89100000000002</v>
          </cell>
          <cell r="W98">
            <v>-401.66699999999997</v>
          </cell>
          <cell r="X98">
            <v>-417.51400000000001</v>
          </cell>
          <cell r="Y98">
            <v>-433.553</v>
          </cell>
          <cell r="Z98">
            <v>-448.52300000000002</v>
          </cell>
          <cell r="AA98">
            <v>-465.17599999999999</v>
          </cell>
          <cell r="AB98">
            <v>-471.05200000000002</v>
          </cell>
          <cell r="AC98">
            <v>-500.78500000000003</v>
          </cell>
        </row>
        <row r="99">
          <cell r="A99" t="str">
            <v>Balance standard Owner-occupied - C3 (euro/year,household)</v>
          </cell>
          <cell r="C99">
            <v>-34.997999999999998</v>
          </cell>
          <cell r="D99">
            <v>-87.256</v>
          </cell>
          <cell r="E99">
            <v>386.49700000000001</v>
          </cell>
          <cell r="F99">
            <v>398.61799999999999</v>
          </cell>
          <cell r="G99">
            <v>235.25200000000001</v>
          </cell>
          <cell r="H99">
            <v>218.62200000000001</v>
          </cell>
          <cell r="I99">
            <v>67.661000000000001</v>
          </cell>
          <cell r="J99">
            <v>-61.302</v>
          </cell>
          <cell r="K99">
            <v>-163.874</v>
          </cell>
          <cell r="L99">
            <v>-246.49799999999999</v>
          </cell>
          <cell r="M99">
            <v>-311.60300000000001</v>
          </cell>
          <cell r="N99">
            <v>-362.15300000000002</v>
          </cell>
          <cell r="O99">
            <v>-349.18700000000001</v>
          </cell>
          <cell r="P99">
            <v>-381.92399999999998</v>
          </cell>
          <cell r="Q99">
            <v>-394.33600000000001</v>
          </cell>
          <cell r="R99">
            <v>-422.19099999999997</v>
          </cell>
          <cell r="S99">
            <v>-217.303</v>
          </cell>
          <cell r="T99">
            <v>-530.66600000000005</v>
          </cell>
          <cell r="U99">
            <v>-545.58100000000002</v>
          </cell>
          <cell r="V99">
            <v>-559.09400000000005</v>
          </cell>
          <cell r="W99">
            <v>-571.06899999999996</v>
          </cell>
          <cell r="X99">
            <v>-582.86199999999997</v>
          </cell>
          <cell r="Y99">
            <v>-595.09699999999998</v>
          </cell>
          <cell r="Z99">
            <v>-606.15300000000002</v>
          </cell>
          <cell r="AA99">
            <v>-616.99099999999999</v>
          </cell>
          <cell r="AB99">
            <v>-621.71600000000001</v>
          </cell>
          <cell r="AC99">
            <v>-629.57899999999995</v>
          </cell>
        </row>
        <row r="100">
          <cell r="A100" t="str">
            <v>Balance standard Owner-occupied - C4 (euro/year,household)</v>
          </cell>
          <cell r="C100">
            <v>-185.816</v>
          </cell>
          <cell r="D100">
            <v>-215.39699999999999</v>
          </cell>
          <cell r="E100">
            <v>159.84399999999999</v>
          </cell>
          <cell r="F100">
            <v>172.953</v>
          </cell>
          <cell r="G100">
            <v>34.863999999999997</v>
          </cell>
          <cell r="H100">
            <v>12.497999999999999</v>
          </cell>
          <cell r="I100">
            <v>-74.790000000000006</v>
          </cell>
          <cell r="J100">
            <v>-161.33600000000001</v>
          </cell>
          <cell r="K100">
            <v>-232.84800000000001</v>
          </cell>
          <cell r="L100">
            <v>-295.255</v>
          </cell>
          <cell r="M100">
            <v>-348.69200000000001</v>
          </cell>
          <cell r="N100">
            <v>-392.875</v>
          </cell>
          <cell r="O100">
            <v>-371.90899999999999</v>
          </cell>
          <cell r="P100">
            <v>-401.90899999999999</v>
          </cell>
          <cell r="Q100">
            <v>-415.26400000000001</v>
          </cell>
          <cell r="R100">
            <v>-444.714</v>
          </cell>
          <cell r="S100">
            <v>-169.643</v>
          </cell>
          <cell r="T100">
            <v>-537.91099999999994</v>
          </cell>
          <cell r="U100">
            <v>-550.72400000000005</v>
          </cell>
          <cell r="V100">
            <v>-562.57299999999998</v>
          </cell>
          <cell r="W100">
            <v>-573.34900000000005</v>
          </cell>
          <cell r="X100">
            <v>-584.26300000000003</v>
          </cell>
          <cell r="Y100">
            <v>-595.63</v>
          </cell>
          <cell r="Z100">
            <v>-606.05700000000002</v>
          </cell>
          <cell r="AA100">
            <v>-616.36099999999999</v>
          </cell>
          <cell r="AB100">
            <v>-620.19399999999996</v>
          </cell>
          <cell r="AC100">
            <v>-628.56799999999998</v>
          </cell>
        </row>
        <row r="101">
          <cell r="A101" t="str">
            <v>Balance standard Owner-occupied - C5 (euro/year,household)</v>
          </cell>
          <cell r="C101">
            <v>-135.137</v>
          </cell>
          <cell r="D101">
            <v>-181.00700000000001</v>
          </cell>
          <cell r="E101">
            <v>17.039000000000001</v>
          </cell>
          <cell r="F101">
            <v>-25.117000000000001</v>
          </cell>
          <cell r="G101">
            <v>-136.40199999999999</v>
          </cell>
          <cell r="H101">
            <v>-131.488</v>
          </cell>
          <cell r="I101">
            <v>-209.369</v>
          </cell>
          <cell r="J101">
            <v>-275.93700000000001</v>
          </cell>
          <cell r="K101">
            <v>-331.22800000000001</v>
          </cell>
          <cell r="L101">
            <v>-378.762</v>
          </cell>
          <cell r="M101">
            <v>-418.11</v>
          </cell>
          <cell r="N101">
            <v>-449.54399999999998</v>
          </cell>
          <cell r="O101">
            <v>-404.721</v>
          </cell>
          <cell r="P101">
            <v>-428.87700000000001</v>
          </cell>
          <cell r="Q101">
            <v>-444.74099999999999</v>
          </cell>
          <cell r="R101">
            <v>-467.13900000000001</v>
          </cell>
          <cell r="S101">
            <v>19.654</v>
          </cell>
          <cell r="T101">
            <v>-558.65599999999995</v>
          </cell>
          <cell r="U101">
            <v>-569.178</v>
          </cell>
          <cell r="V101">
            <v>-578.976</v>
          </cell>
          <cell r="W101">
            <v>-588.221</v>
          </cell>
          <cell r="X101">
            <v>-597.58100000000002</v>
          </cell>
          <cell r="Y101">
            <v>-607.43299999999999</v>
          </cell>
          <cell r="Z101">
            <v>-616.529</v>
          </cell>
          <cell r="AA101">
            <v>-625.51900000000001</v>
          </cell>
          <cell r="AB101">
            <v>-628.221</v>
          </cell>
          <cell r="AC101">
            <v>-639.92999999999995</v>
          </cell>
        </row>
        <row r="102">
          <cell r="A102" t="str">
            <v>Balance standard Tenant private - C1 (euro/year,household)</v>
          </cell>
          <cell r="C102">
            <v>667.36300000000006</v>
          </cell>
          <cell r="D102">
            <v>681.27499999999998</v>
          </cell>
          <cell r="E102">
            <v>647.52800000000002</v>
          </cell>
          <cell r="F102">
            <v>611.89700000000005</v>
          </cell>
          <cell r="G102">
            <v>544.78300000000002</v>
          </cell>
          <cell r="H102">
            <v>481.41199999999998</v>
          </cell>
          <cell r="I102">
            <v>385.16399999999999</v>
          </cell>
          <cell r="J102">
            <v>155.93899999999999</v>
          </cell>
          <cell r="K102">
            <v>141.637</v>
          </cell>
          <cell r="L102">
            <v>124.80200000000001</v>
          </cell>
          <cell r="M102">
            <v>105.696</v>
          </cell>
          <cell r="N102">
            <v>84.682000000000002</v>
          </cell>
          <cell r="O102">
            <v>52.793999999999997</v>
          </cell>
          <cell r="P102">
            <v>-186.78200000000001</v>
          </cell>
          <cell r="Q102">
            <v>-203.559</v>
          </cell>
          <cell r="R102">
            <v>-217.81200000000001</v>
          </cell>
          <cell r="S102">
            <v>-81.841999999999999</v>
          </cell>
          <cell r="T102">
            <v>-244.941</v>
          </cell>
          <cell r="U102">
            <v>-256.52800000000002</v>
          </cell>
          <cell r="V102">
            <v>-266.928</v>
          </cell>
          <cell r="W102">
            <v>-277.92500000000001</v>
          </cell>
          <cell r="X102">
            <v>-288.31900000000002</v>
          </cell>
          <cell r="Y102">
            <v>-298.166</v>
          </cell>
          <cell r="Z102">
            <v>-307.22800000000001</v>
          </cell>
          <cell r="AA102">
            <v>-315.44099999999997</v>
          </cell>
          <cell r="AB102">
            <v>-321.07</v>
          </cell>
          <cell r="AC102">
            <v>-329.30799999999999</v>
          </cell>
        </row>
        <row r="103">
          <cell r="A103" t="str">
            <v>Balance standard Tenant private - C2 (euro/year,household)</v>
          </cell>
          <cell r="C103">
            <v>472.35899999999998</v>
          </cell>
          <cell r="D103">
            <v>463.95699999999999</v>
          </cell>
          <cell r="E103">
            <v>486.36200000000002</v>
          </cell>
          <cell r="F103">
            <v>468.34</v>
          </cell>
          <cell r="G103">
            <v>407.697</v>
          </cell>
          <cell r="H103">
            <v>350.31099999999998</v>
          </cell>
          <cell r="I103">
            <v>259.69200000000001</v>
          </cell>
          <cell r="J103">
            <v>84.120999999999995</v>
          </cell>
          <cell r="K103">
            <v>74.078999999999994</v>
          </cell>
          <cell r="L103">
            <v>60.978999999999999</v>
          </cell>
          <cell r="M103">
            <v>45.052</v>
          </cell>
          <cell r="N103">
            <v>26.675999999999998</v>
          </cell>
          <cell r="O103">
            <v>-6.3520000000000003</v>
          </cell>
          <cell r="P103">
            <v>-233.27500000000001</v>
          </cell>
          <cell r="Q103">
            <v>-250.369</v>
          </cell>
          <cell r="R103">
            <v>-264.11599999999999</v>
          </cell>
          <cell r="S103">
            <v>-140.72399999999999</v>
          </cell>
          <cell r="T103">
            <v>-290.08499999999998</v>
          </cell>
          <cell r="U103">
            <v>-301.00299999999999</v>
          </cell>
          <cell r="V103">
            <v>-310.779</v>
          </cell>
          <cell r="W103">
            <v>-321.26600000000002</v>
          </cell>
          <cell r="X103">
            <v>-331.21600000000001</v>
          </cell>
          <cell r="Y103">
            <v>-340.54</v>
          </cell>
          <cell r="Z103">
            <v>-349.12099999999998</v>
          </cell>
          <cell r="AA103">
            <v>-356.89499999999998</v>
          </cell>
          <cell r="AB103">
            <v>-362.45299999999997</v>
          </cell>
          <cell r="AC103">
            <v>-371.40100000000001</v>
          </cell>
        </row>
        <row r="104">
          <cell r="A104" t="str">
            <v>Balance standard Tenant private - C3 (euro/year,household)</v>
          </cell>
          <cell r="C104">
            <v>498.63400000000001</v>
          </cell>
          <cell r="D104">
            <v>474.36700000000002</v>
          </cell>
          <cell r="E104">
            <v>525.34100000000001</v>
          </cell>
          <cell r="F104">
            <v>480.202</v>
          </cell>
          <cell r="G104">
            <v>402.75</v>
          </cell>
          <cell r="H104">
            <v>336.25099999999998</v>
          </cell>
          <cell r="I104">
            <v>238.95599999999999</v>
          </cell>
          <cell r="J104">
            <v>103.114</v>
          </cell>
          <cell r="K104">
            <v>89.08</v>
          </cell>
          <cell r="L104">
            <v>71.911000000000001</v>
          </cell>
          <cell r="M104">
            <v>51.966999999999999</v>
          </cell>
          <cell r="N104">
            <v>29.774000000000001</v>
          </cell>
          <cell r="O104">
            <v>-3.9529999999999998</v>
          </cell>
          <cell r="P104">
            <v>-236.17</v>
          </cell>
          <cell r="Q104">
            <v>-253.70400000000001</v>
          </cell>
          <cell r="R104">
            <v>-267.57799999999997</v>
          </cell>
          <cell r="S104">
            <v>-142.489</v>
          </cell>
          <cell r="T104">
            <v>-293.77</v>
          </cell>
          <cell r="U104">
            <v>-304.75200000000001</v>
          </cell>
          <cell r="V104">
            <v>-314.48200000000003</v>
          </cell>
          <cell r="W104">
            <v>-325.36200000000002</v>
          </cell>
          <cell r="X104">
            <v>-335.54700000000003</v>
          </cell>
          <cell r="Y104">
            <v>-345.24799999999999</v>
          </cell>
          <cell r="Z104">
            <v>-354.09300000000002</v>
          </cell>
          <cell r="AA104">
            <v>-362.11</v>
          </cell>
          <cell r="AB104">
            <v>-367.86599999999999</v>
          </cell>
          <cell r="AC104">
            <v>-377.12799999999999</v>
          </cell>
        </row>
        <row r="105">
          <cell r="A105" t="str">
            <v>Balance standard Tenant private - C4 (euro/year,household)</v>
          </cell>
          <cell r="C105">
            <v>437.06599999999997</v>
          </cell>
          <cell r="D105">
            <v>421.15499999999997</v>
          </cell>
          <cell r="E105">
            <v>489.24900000000002</v>
          </cell>
          <cell r="F105">
            <v>462.18799999999999</v>
          </cell>
          <cell r="G105">
            <v>391.404</v>
          </cell>
          <cell r="H105">
            <v>324.77699999999999</v>
          </cell>
          <cell r="I105">
            <v>234.89099999999999</v>
          </cell>
          <cell r="J105">
            <v>114.75</v>
          </cell>
          <cell r="K105">
            <v>100.785</v>
          </cell>
          <cell r="L105">
            <v>83.644000000000005</v>
          </cell>
          <cell r="M105">
            <v>63.877000000000002</v>
          </cell>
          <cell r="N105">
            <v>42.152000000000001</v>
          </cell>
          <cell r="O105">
            <v>11.347</v>
          </cell>
          <cell r="P105">
            <v>-223.72800000000001</v>
          </cell>
          <cell r="Q105">
            <v>-239.685</v>
          </cell>
          <cell r="R105">
            <v>-252.583</v>
          </cell>
          <cell r="S105">
            <v>-110.23</v>
          </cell>
          <cell r="T105">
            <v>-277.42500000000001</v>
          </cell>
          <cell r="U105">
            <v>-287.54199999999997</v>
          </cell>
          <cell r="V105">
            <v>-296.33699999999999</v>
          </cell>
          <cell r="W105">
            <v>-307.02100000000002</v>
          </cell>
          <cell r="X105">
            <v>-317.08499999999998</v>
          </cell>
          <cell r="Y105">
            <v>-326.82600000000002</v>
          </cell>
          <cell r="Z105">
            <v>-335.73099999999999</v>
          </cell>
          <cell r="AA105">
            <v>-343.85599999999999</v>
          </cell>
          <cell r="AB105">
            <v>-349.63</v>
          </cell>
          <cell r="AC105">
            <v>-358.505</v>
          </cell>
        </row>
        <row r="106">
          <cell r="A106" t="str">
            <v>Balance standard Tenant private - C5 (euro/year,household)</v>
          </cell>
          <cell r="C106">
            <v>465.04500000000002</v>
          </cell>
          <cell r="D106">
            <v>455.875</v>
          </cell>
          <cell r="E106">
            <v>498.12099999999998</v>
          </cell>
          <cell r="F106">
            <v>473.86799999999999</v>
          </cell>
          <cell r="G106">
            <v>408.63299999999998</v>
          </cell>
          <cell r="H106">
            <v>345.18799999999999</v>
          </cell>
          <cell r="I106">
            <v>262.12299999999999</v>
          </cell>
          <cell r="J106">
            <v>148.613</v>
          </cell>
          <cell r="K106">
            <v>134.101</v>
          </cell>
          <cell r="L106">
            <v>116.80800000000001</v>
          </cell>
          <cell r="M106">
            <v>97.179000000000002</v>
          </cell>
          <cell r="N106">
            <v>75.861000000000004</v>
          </cell>
          <cell r="O106">
            <v>47.149000000000001</v>
          </cell>
          <cell r="P106">
            <v>-187.28700000000001</v>
          </cell>
          <cell r="Q106">
            <v>-203.02699999999999</v>
          </cell>
          <cell r="R106">
            <v>-216.41900000000001</v>
          </cell>
          <cell r="S106">
            <v>-45.258000000000003</v>
          </cell>
          <cell r="T106">
            <v>-242.76499999999999</v>
          </cell>
          <cell r="U106">
            <v>-253.315</v>
          </cell>
          <cell r="V106">
            <v>-262.43200000000002</v>
          </cell>
          <cell r="W106">
            <v>-273.48200000000003</v>
          </cell>
          <cell r="X106">
            <v>-283.815</v>
          </cell>
          <cell r="Y106">
            <v>-294.02600000000001</v>
          </cell>
          <cell r="Z106">
            <v>-303.34500000000003</v>
          </cell>
          <cell r="AA106">
            <v>-311.87200000000001</v>
          </cell>
          <cell r="AB106">
            <v>-317.798</v>
          </cell>
          <cell r="AC106">
            <v>-326.22500000000002</v>
          </cell>
        </row>
        <row r="107">
          <cell r="A107" t="str">
            <v>Balance state (Billion euro)</v>
          </cell>
          <cell r="C107">
            <v>4.1890000000000001</v>
          </cell>
          <cell r="D107">
            <v>4.5810000000000004</v>
          </cell>
          <cell r="E107">
            <v>4.5999999999999999E-2</v>
          </cell>
          <cell r="F107">
            <v>0.14599999999999999</v>
          </cell>
          <cell r="G107">
            <v>0.36499999999999999</v>
          </cell>
          <cell r="H107">
            <v>-3.9E-2</v>
          </cell>
          <cell r="I107">
            <v>-0.39500000000000002</v>
          </cell>
          <cell r="J107">
            <v>-0.55700000000000005</v>
          </cell>
          <cell r="K107">
            <v>4.0000000000000001E-3</v>
          </cell>
          <cell r="L107">
            <v>0.26500000000000001</v>
          </cell>
          <cell r="M107">
            <v>0.40600000000000003</v>
          </cell>
          <cell r="N107">
            <v>0.503</v>
          </cell>
          <cell r="O107">
            <v>1.075</v>
          </cell>
          <cell r="P107">
            <v>0.56599999999999995</v>
          </cell>
          <cell r="Q107">
            <v>0.53100000000000003</v>
          </cell>
          <cell r="R107">
            <v>0.82199999999999995</v>
          </cell>
          <cell r="S107">
            <v>3.45</v>
          </cell>
          <cell r="T107">
            <v>0.54600000000000004</v>
          </cell>
          <cell r="U107">
            <v>0.626</v>
          </cell>
          <cell r="V107">
            <v>0.871</v>
          </cell>
          <cell r="W107">
            <v>-0.33400000000000002</v>
          </cell>
          <cell r="X107">
            <v>-0.35199999999999998</v>
          </cell>
          <cell r="Y107">
            <v>-0.37</v>
          </cell>
          <cell r="Z107">
            <v>-0.45400000000000001</v>
          </cell>
          <cell r="AA107">
            <v>-0.27400000000000002</v>
          </cell>
          <cell r="AB107">
            <v>-9.5000000000000001E-2</v>
          </cell>
          <cell r="AC107">
            <v>6.0000000000000001E-3</v>
          </cell>
        </row>
        <row r="108">
          <cell r="A108" t="str">
            <v>Balance Tenant private - C1 (euro/year,household)</v>
          </cell>
          <cell r="C108">
            <v>-310.17200000000003</v>
          </cell>
          <cell r="D108">
            <v>-249.267</v>
          </cell>
          <cell r="E108">
            <v>-249.625</v>
          </cell>
          <cell r="F108">
            <v>-230.85900000000001</v>
          </cell>
          <cell r="G108">
            <v>-224.21299999999999</v>
          </cell>
          <cell r="H108">
            <v>-229.553</v>
          </cell>
          <cell r="I108">
            <v>-238.351</v>
          </cell>
          <cell r="J108">
            <v>-239.69</v>
          </cell>
          <cell r="K108">
            <v>-231.49799999999999</v>
          </cell>
          <cell r="L108">
            <v>-224.35900000000001</v>
          </cell>
          <cell r="M108">
            <v>-218.31200000000001</v>
          </cell>
          <cell r="N108">
            <v>-213.512</v>
          </cell>
          <cell r="O108">
            <v>-222.67400000000001</v>
          </cell>
          <cell r="P108">
            <v>-319.59899999999999</v>
          </cell>
          <cell r="Q108">
            <v>-332.91399999999999</v>
          </cell>
          <cell r="R108">
            <v>-339.93099999999998</v>
          </cell>
          <cell r="S108">
            <v>-316.875</v>
          </cell>
          <cell r="T108">
            <v>-352.767</v>
          </cell>
          <cell r="U108">
            <v>-358.40899999999999</v>
          </cell>
          <cell r="V108">
            <v>-363.56700000000001</v>
          </cell>
          <cell r="W108">
            <v>-369.49099999999999</v>
          </cell>
          <cell r="X108">
            <v>-375.15300000000002</v>
          </cell>
          <cell r="Y108">
            <v>-380.089</v>
          </cell>
          <cell r="Z108">
            <v>-384.678</v>
          </cell>
          <cell r="AA108">
            <v>-388.78300000000002</v>
          </cell>
          <cell r="AB108">
            <v>-391.50299999999999</v>
          </cell>
          <cell r="AC108">
            <v>-399.83600000000001</v>
          </cell>
        </row>
        <row r="109">
          <cell r="A109" t="str">
            <v>Balance Tenant private - C2 (euro/year,household)</v>
          </cell>
          <cell r="C109">
            <v>-287.72199999999998</v>
          </cell>
          <cell r="D109">
            <v>-248.41800000000001</v>
          </cell>
          <cell r="E109">
            <v>-285.34500000000003</v>
          </cell>
          <cell r="F109">
            <v>-262.59899999999999</v>
          </cell>
          <cell r="G109">
            <v>-256.358</v>
          </cell>
          <cell r="H109">
            <v>-260.31099999999998</v>
          </cell>
          <cell r="I109">
            <v>-271.36399999999998</v>
          </cell>
          <cell r="J109">
            <v>-266.81799999999998</v>
          </cell>
          <cell r="K109">
            <v>-255.251</v>
          </cell>
          <cell r="L109">
            <v>-244.75899999999999</v>
          </cell>
          <cell r="M109">
            <v>-235.51900000000001</v>
          </cell>
          <cell r="N109">
            <v>-227.821</v>
          </cell>
          <cell r="O109">
            <v>-238.43199999999999</v>
          </cell>
          <cell r="P109">
            <v>-338.25900000000001</v>
          </cell>
          <cell r="Q109">
            <v>-352.42</v>
          </cell>
          <cell r="R109">
            <v>-360.09</v>
          </cell>
          <cell r="S109">
            <v>-335.82499999999999</v>
          </cell>
          <cell r="T109">
            <v>-374.04599999999999</v>
          </cell>
          <cell r="U109">
            <v>-380.09800000000001</v>
          </cell>
          <cell r="V109">
            <v>-385.58800000000002</v>
          </cell>
          <cell r="W109">
            <v>-391.99900000000002</v>
          </cell>
          <cell r="X109">
            <v>-398.15</v>
          </cell>
          <cell r="Y109">
            <v>-403.52</v>
          </cell>
          <cell r="Z109">
            <v>-408.49200000000002</v>
          </cell>
          <cell r="AA109">
            <v>-412.95299999999997</v>
          </cell>
          <cell r="AB109">
            <v>-416.09300000000002</v>
          </cell>
          <cell r="AC109">
            <v>-425.02499999999998</v>
          </cell>
        </row>
        <row r="110">
          <cell r="A110" t="str">
            <v>Balance Tenant private - C3 (euro/year,household)</v>
          </cell>
          <cell r="C110">
            <v>-266.87200000000001</v>
          </cell>
          <cell r="D110">
            <v>-231.423</v>
          </cell>
          <cell r="E110">
            <v>-195.56299999999999</v>
          </cell>
          <cell r="F110">
            <v>-184.501</v>
          </cell>
          <cell r="G110">
            <v>-188.39</v>
          </cell>
          <cell r="H110">
            <v>-199.875</v>
          </cell>
          <cell r="I110">
            <v>-218.21199999999999</v>
          </cell>
          <cell r="J110">
            <v>-198.27799999999999</v>
          </cell>
          <cell r="K110">
            <v>-193.196</v>
          </cell>
          <cell r="L110">
            <v>-189.65899999999999</v>
          </cell>
          <cell r="M110">
            <v>-187.70500000000001</v>
          </cell>
          <cell r="N110">
            <v>-187.40700000000001</v>
          </cell>
          <cell r="O110">
            <v>-201.54499999999999</v>
          </cell>
          <cell r="P110">
            <v>-325.19200000000001</v>
          </cell>
          <cell r="Q110">
            <v>-340.26499999999999</v>
          </cell>
          <cell r="R110">
            <v>-348.93900000000002</v>
          </cell>
          <cell r="S110">
            <v>-316.87200000000001</v>
          </cell>
          <cell r="T110">
            <v>-364.69900000000001</v>
          </cell>
          <cell r="U110">
            <v>-371.39299999999997</v>
          </cell>
          <cell r="V110">
            <v>-377.32299999999998</v>
          </cell>
          <cell r="W110">
            <v>-384.589</v>
          </cell>
          <cell r="X110">
            <v>-391.40199999999999</v>
          </cell>
          <cell r="Y110">
            <v>-397.572</v>
          </cell>
          <cell r="Z110">
            <v>-403.19200000000001</v>
          </cell>
          <cell r="AA110">
            <v>-408.25</v>
          </cell>
          <cell r="AB110">
            <v>-411.81700000000001</v>
          </cell>
          <cell r="AC110">
            <v>-420.904</v>
          </cell>
        </row>
        <row r="111">
          <cell r="A111" t="str">
            <v>Balance Tenant private - C4 (euro/year,household)</v>
          </cell>
          <cell r="C111">
            <v>-174.67599999999999</v>
          </cell>
          <cell r="D111">
            <v>-143.994</v>
          </cell>
          <cell r="E111">
            <v>-94.843999999999994</v>
          </cell>
          <cell r="F111">
            <v>-86.177999999999997</v>
          </cell>
          <cell r="G111">
            <v>-97.899000000000001</v>
          </cell>
          <cell r="H111">
            <v>-117.861</v>
          </cell>
          <cell r="I111">
            <v>-142.77799999999999</v>
          </cell>
          <cell r="J111">
            <v>-130.643</v>
          </cell>
          <cell r="K111">
            <v>-129.46</v>
          </cell>
          <cell r="L111">
            <v>-130.16499999999999</v>
          </cell>
          <cell r="M111">
            <v>-132.62100000000001</v>
          </cell>
          <cell r="N111">
            <v>-136.69300000000001</v>
          </cell>
          <cell r="O111">
            <v>-151.91300000000001</v>
          </cell>
          <cell r="P111">
            <v>-297.24</v>
          </cell>
          <cell r="Q111">
            <v>-310.93799999999999</v>
          </cell>
          <cell r="R111">
            <v>-319.26900000000001</v>
          </cell>
          <cell r="S111">
            <v>-268.476</v>
          </cell>
          <cell r="T111">
            <v>-334.78699999999998</v>
          </cell>
          <cell r="U111">
            <v>-341.05599999999998</v>
          </cell>
          <cell r="V111">
            <v>-346.42599999999999</v>
          </cell>
          <cell r="W111">
            <v>-353.92700000000002</v>
          </cell>
          <cell r="X111">
            <v>-361.03300000000002</v>
          </cell>
          <cell r="Y111">
            <v>-367.65499999999997</v>
          </cell>
          <cell r="Z111">
            <v>-373.71300000000002</v>
          </cell>
          <cell r="AA111">
            <v>-379.23200000000003</v>
          </cell>
          <cell r="AB111">
            <v>-383.10599999999999</v>
          </cell>
          <cell r="AC111">
            <v>-391.65199999999999</v>
          </cell>
        </row>
        <row r="112">
          <cell r="A112" t="str">
            <v>Balance Tenant private - C5 (euro/year,household)</v>
          </cell>
          <cell r="C112">
            <v>26.888999999999999</v>
          </cell>
          <cell r="D112">
            <v>49.933</v>
          </cell>
          <cell r="E112">
            <v>81.403000000000006</v>
          </cell>
          <cell r="F112">
            <v>81.251000000000005</v>
          </cell>
          <cell r="G112">
            <v>58.323</v>
          </cell>
          <cell r="H112">
            <v>28.863</v>
          </cell>
          <cell r="I112">
            <v>-7.0590000000000002</v>
          </cell>
          <cell r="J112">
            <v>-5.4329999999999998</v>
          </cell>
          <cell r="K112">
            <v>-9.8409999999999993</v>
          </cell>
          <cell r="L112">
            <v>-16.452999999999999</v>
          </cell>
          <cell r="M112">
            <v>-24.975000000000001</v>
          </cell>
          <cell r="N112">
            <v>-35.116</v>
          </cell>
          <cell r="O112">
            <v>-53.615000000000002</v>
          </cell>
          <cell r="P112">
            <v>-230.499</v>
          </cell>
          <cell r="Q112">
            <v>-243.672</v>
          </cell>
          <cell r="R112">
            <v>-253.31800000000001</v>
          </cell>
          <cell r="S112">
            <v>-164.261</v>
          </cell>
          <cell r="T112">
            <v>-272.03699999999998</v>
          </cell>
          <cell r="U112">
            <v>-279.42599999999999</v>
          </cell>
          <cell r="V112">
            <v>-285.70299999999997</v>
          </cell>
          <cell r="W112">
            <v>-294.34300000000002</v>
          </cell>
          <cell r="X112">
            <v>-302.47899999999998</v>
          </cell>
          <cell r="Y112">
            <v>-310.38799999999998</v>
          </cell>
          <cell r="Z112">
            <v>-317.62099999999998</v>
          </cell>
          <cell r="AA112">
            <v>-324.26799999999997</v>
          </cell>
          <cell r="AB112">
            <v>-328.84</v>
          </cell>
          <cell r="AC112">
            <v>-336.48700000000002</v>
          </cell>
        </row>
        <row r="113">
          <cell r="A113" t="str">
            <v>Bill saving Owner-occupied - C1 (euro/year,household)</v>
          </cell>
          <cell r="C113">
            <v>83.031000000000006</v>
          </cell>
          <cell r="D113">
            <v>86.611999999999995</v>
          </cell>
          <cell r="E113">
            <v>538.61099999999999</v>
          </cell>
          <cell r="F113">
            <v>639.80700000000002</v>
          </cell>
          <cell r="G113">
            <v>606.74199999999996</v>
          </cell>
          <cell r="H113">
            <v>594.59400000000005</v>
          </cell>
          <cell r="I113">
            <v>587.99300000000005</v>
          </cell>
          <cell r="J113">
            <v>530.38599999999997</v>
          </cell>
          <cell r="K113">
            <v>477.834</v>
          </cell>
          <cell r="L113">
            <v>429.69600000000003</v>
          </cell>
          <cell r="M113">
            <v>386.86799999999999</v>
          </cell>
          <cell r="N113">
            <v>349.78199999999998</v>
          </cell>
          <cell r="O113">
            <v>337.93599999999998</v>
          </cell>
          <cell r="P113">
            <v>313.11</v>
          </cell>
          <cell r="Q113">
            <v>299.495</v>
          </cell>
          <cell r="R113">
            <v>279.83499999999998</v>
          </cell>
          <cell r="S113">
            <v>294.32</v>
          </cell>
          <cell r="T113">
            <v>204.66399999999999</v>
          </cell>
          <cell r="U113">
            <v>194.08500000000001</v>
          </cell>
          <cell r="V113">
            <v>184.98599999999999</v>
          </cell>
          <cell r="W113">
            <v>183.68199999999999</v>
          </cell>
          <cell r="X113">
            <v>175.756</v>
          </cell>
          <cell r="Y113">
            <v>167.148</v>
          </cell>
          <cell r="Z113">
            <v>160.02699999999999</v>
          </cell>
          <cell r="AA113">
            <v>152.38900000000001</v>
          </cell>
          <cell r="AB113">
            <v>149.459</v>
          </cell>
          <cell r="AC113">
            <v>149.72300000000001</v>
          </cell>
        </row>
        <row r="114">
          <cell r="A114" t="str">
            <v>Bill saving Owner-occupied - C2 (euro/year,household)</v>
          </cell>
          <cell r="C114">
            <v>106.542</v>
          </cell>
          <cell r="D114">
            <v>115.03700000000001</v>
          </cell>
          <cell r="E114">
            <v>487.17</v>
          </cell>
          <cell r="F114">
            <v>579.09299999999996</v>
          </cell>
          <cell r="G114">
            <v>605.49900000000002</v>
          </cell>
          <cell r="H114">
            <v>610.096</v>
          </cell>
          <cell r="I114">
            <v>592.50900000000001</v>
          </cell>
          <cell r="J114">
            <v>516.12800000000004</v>
          </cell>
          <cell r="K114">
            <v>460.11900000000003</v>
          </cell>
          <cell r="L114">
            <v>409.29300000000001</v>
          </cell>
          <cell r="M114">
            <v>364.18700000000001</v>
          </cell>
          <cell r="N114">
            <v>325.19099999999997</v>
          </cell>
          <cell r="O114">
            <v>325.22000000000003</v>
          </cell>
          <cell r="P114">
            <v>301.524</v>
          </cell>
          <cell r="Q114">
            <v>295.91399999999999</v>
          </cell>
          <cell r="R114">
            <v>275.20100000000002</v>
          </cell>
          <cell r="S114">
            <v>374.31</v>
          </cell>
          <cell r="T114">
            <v>209.63300000000001</v>
          </cell>
          <cell r="U114">
            <v>198.80199999999999</v>
          </cell>
          <cell r="V114">
            <v>189.03800000000001</v>
          </cell>
          <cell r="W114">
            <v>185.16900000000001</v>
          </cell>
          <cell r="X114">
            <v>176.37</v>
          </cell>
          <cell r="Y114">
            <v>166.94300000000001</v>
          </cell>
          <cell r="Z114">
            <v>158.637</v>
          </cell>
          <cell r="AA114">
            <v>149.92500000000001</v>
          </cell>
          <cell r="AB114">
            <v>146.22900000000001</v>
          </cell>
          <cell r="AC114">
            <v>152.02500000000001</v>
          </cell>
        </row>
        <row r="115">
          <cell r="A115" t="str">
            <v>Bill saving Owner-occupied - C3 (euro/year,household)</v>
          </cell>
          <cell r="C115">
            <v>444.17200000000003</v>
          </cell>
          <cell r="D115">
            <v>412.87299999999999</v>
          </cell>
          <cell r="E115">
            <v>696.11699999999996</v>
          </cell>
          <cell r="F115">
            <v>700.46299999999997</v>
          </cell>
          <cell r="G115">
            <v>603.803</v>
          </cell>
          <cell r="H115">
            <v>605.71400000000006</v>
          </cell>
          <cell r="I115">
            <v>567.5</v>
          </cell>
          <cell r="J115">
            <v>483.85</v>
          </cell>
          <cell r="K115">
            <v>416.73899999999998</v>
          </cell>
          <cell r="L115">
            <v>362.32</v>
          </cell>
          <cell r="M115">
            <v>319.18799999999999</v>
          </cell>
          <cell r="N115">
            <v>285.471</v>
          </cell>
          <cell r="O115">
            <v>291.98</v>
          </cell>
          <cell r="P115">
            <v>268.98500000000001</v>
          </cell>
          <cell r="Q115">
            <v>271.40199999999999</v>
          </cell>
          <cell r="R115">
            <v>251.00800000000001</v>
          </cell>
          <cell r="S115">
            <v>374.64800000000002</v>
          </cell>
          <cell r="T115">
            <v>188.46600000000001</v>
          </cell>
          <cell r="U115">
            <v>178.44499999999999</v>
          </cell>
          <cell r="V115">
            <v>169.56200000000001</v>
          </cell>
          <cell r="W115">
            <v>163.33600000000001</v>
          </cell>
          <cell r="X115">
            <v>155.63200000000001</v>
          </cell>
          <cell r="Y115">
            <v>147.584</v>
          </cell>
          <cell r="Z115">
            <v>140.33699999999999</v>
          </cell>
          <cell r="AA115">
            <v>133.17500000000001</v>
          </cell>
          <cell r="AB115">
            <v>129.62</v>
          </cell>
          <cell r="AC115">
            <v>134.45099999999999</v>
          </cell>
        </row>
        <row r="116">
          <cell r="A116" t="str">
            <v>Bill saving Owner-occupied - C4 (euro/year,household)</v>
          </cell>
          <cell r="C116">
            <v>385.33699999999999</v>
          </cell>
          <cell r="D116">
            <v>367.05</v>
          </cell>
          <cell r="E116">
            <v>669.01199999999994</v>
          </cell>
          <cell r="F116">
            <v>682.98199999999997</v>
          </cell>
          <cell r="G116">
            <v>590.077</v>
          </cell>
          <cell r="H116">
            <v>601.524</v>
          </cell>
          <cell r="I116">
            <v>565.33699999999999</v>
          </cell>
          <cell r="J116">
            <v>496.72500000000002</v>
          </cell>
          <cell r="K116">
            <v>439.09199999999998</v>
          </cell>
          <cell r="L116">
            <v>388.49700000000001</v>
          </cell>
          <cell r="M116">
            <v>345.01</v>
          </cell>
          <cell r="N116">
            <v>308.75299999999999</v>
          </cell>
          <cell r="O116">
            <v>317.05799999999999</v>
          </cell>
          <cell r="P116">
            <v>291.947</v>
          </cell>
          <cell r="Q116">
            <v>294.25700000000001</v>
          </cell>
          <cell r="R116">
            <v>270.892</v>
          </cell>
          <cell r="S116">
            <v>437.89400000000001</v>
          </cell>
          <cell r="T116">
            <v>196.74199999999999</v>
          </cell>
          <cell r="U116">
            <v>186.435</v>
          </cell>
          <cell r="V116">
            <v>177.072</v>
          </cell>
          <cell r="W116">
            <v>169.61799999999999</v>
          </cell>
          <cell r="X116">
            <v>161.34</v>
          </cell>
          <cell r="Y116">
            <v>152.56200000000001</v>
          </cell>
          <cell r="Z116">
            <v>144.411</v>
          </cell>
          <cell r="AA116">
            <v>136.36000000000001</v>
          </cell>
          <cell r="AB116">
            <v>132.958</v>
          </cell>
          <cell r="AC116">
            <v>138.64599999999999</v>
          </cell>
        </row>
        <row r="117">
          <cell r="A117" t="str">
            <v>Bill saving Owner-occupied - C5 (euro/year,household)</v>
          </cell>
          <cell r="C117">
            <v>634.75900000000001</v>
          </cell>
          <cell r="D117">
            <v>577.89</v>
          </cell>
          <cell r="E117">
            <v>789.53</v>
          </cell>
          <cell r="F117">
            <v>764.17200000000003</v>
          </cell>
          <cell r="G117">
            <v>651.44200000000001</v>
          </cell>
          <cell r="H117">
            <v>697.80899999999997</v>
          </cell>
          <cell r="I117">
            <v>639.55799999999999</v>
          </cell>
          <cell r="J117">
            <v>554.59299999999996</v>
          </cell>
          <cell r="K117">
            <v>484.12599999999998</v>
          </cell>
          <cell r="L117">
            <v>424.38099999999997</v>
          </cell>
          <cell r="M117">
            <v>375.17899999999997</v>
          </cell>
          <cell r="N117">
            <v>335.649</v>
          </cell>
          <cell r="O117">
            <v>356.43299999999999</v>
          </cell>
          <cell r="P117">
            <v>328.96100000000001</v>
          </cell>
          <cell r="Q117">
            <v>337.17099999999999</v>
          </cell>
          <cell r="R117">
            <v>310.97300000000001</v>
          </cell>
          <cell r="S117">
            <v>727.48500000000001</v>
          </cell>
          <cell r="T117">
            <v>230.72800000000001</v>
          </cell>
          <cell r="U117">
            <v>219.16</v>
          </cell>
          <cell r="V117">
            <v>208.715</v>
          </cell>
          <cell r="W117">
            <v>199.80500000000001</v>
          </cell>
          <cell r="X117">
            <v>190.61</v>
          </cell>
          <cell r="Y117">
            <v>180.559</v>
          </cell>
          <cell r="Z117">
            <v>171.23099999999999</v>
          </cell>
          <cell r="AA117">
            <v>162.096</v>
          </cell>
          <cell r="AB117">
            <v>157.85900000000001</v>
          </cell>
          <cell r="AC117">
            <v>166.851</v>
          </cell>
        </row>
        <row r="118">
          <cell r="A118" t="str">
            <v>Bill saving Privately rented - C1 (euro/year,household)</v>
          </cell>
          <cell r="C118">
            <v>738.74300000000005</v>
          </cell>
          <cell r="D118">
            <v>705.88099999999997</v>
          </cell>
          <cell r="E118">
            <v>706.37800000000004</v>
          </cell>
          <cell r="F118">
            <v>670.57399999999996</v>
          </cell>
          <cell r="G118">
            <v>622.45399999999995</v>
          </cell>
          <cell r="H118">
            <v>582.65700000000004</v>
          </cell>
          <cell r="I118">
            <v>523.34400000000005</v>
          </cell>
          <cell r="J118">
            <v>387.20699999999999</v>
          </cell>
          <cell r="K118">
            <v>370.38499999999999</v>
          </cell>
          <cell r="L118">
            <v>351.892</v>
          </cell>
          <cell r="M118">
            <v>332.07600000000002</v>
          </cell>
          <cell r="N118">
            <v>311.30200000000002</v>
          </cell>
          <cell r="O118">
            <v>292.36799999999999</v>
          </cell>
          <cell r="P118">
            <v>156.78800000000001</v>
          </cell>
          <cell r="Q118">
            <v>155.51400000000001</v>
          </cell>
          <cell r="R118">
            <v>149.411</v>
          </cell>
          <cell r="S118">
            <v>228.26900000000001</v>
          </cell>
          <cell r="T118">
            <v>137.18700000000001</v>
          </cell>
          <cell r="U118">
            <v>132.24199999999999</v>
          </cell>
          <cell r="V118">
            <v>127.967</v>
          </cell>
          <cell r="W118">
            <v>123.2</v>
          </cell>
          <cell r="X118">
            <v>118.7</v>
          </cell>
          <cell r="Y118">
            <v>113.998</v>
          </cell>
          <cell r="Z118">
            <v>109.71899999999999</v>
          </cell>
          <cell r="AA118">
            <v>105.74299999999999</v>
          </cell>
          <cell r="AB118">
            <v>102.94799999999999</v>
          </cell>
          <cell r="AC118">
            <v>104.467</v>
          </cell>
        </row>
        <row r="119">
          <cell r="A119" t="str">
            <v>Bill saving Privately rented - C2 (euro/year,household)</v>
          </cell>
          <cell r="C119">
            <v>728.80499999999995</v>
          </cell>
          <cell r="D119">
            <v>684.65499999999997</v>
          </cell>
          <cell r="E119">
            <v>763.85</v>
          </cell>
          <cell r="F119">
            <v>727.36699999999996</v>
          </cell>
          <cell r="G119">
            <v>672.08100000000002</v>
          </cell>
          <cell r="H119">
            <v>626.46299999999997</v>
          </cell>
          <cell r="I119">
            <v>558.80200000000002</v>
          </cell>
          <cell r="J119">
            <v>437.22199999999998</v>
          </cell>
          <cell r="K119">
            <v>416.673</v>
          </cell>
          <cell r="L119">
            <v>393.53</v>
          </cell>
          <cell r="M119">
            <v>368.31599999999997</v>
          </cell>
          <cell r="N119">
            <v>341.63099999999997</v>
          </cell>
          <cell r="O119">
            <v>317.88099999999997</v>
          </cell>
          <cell r="P119">
            <v>164.20699999999999</v>
          </cell>
          <cell r="Q119">
            <v>163.06200000000001</v>
          </cell>
          <cell r="R119">
            <v>156.553</v>
          </cell>
          <cell r="S119">
            <v>242.65</v>
          </cell>
          <cell r="T119">
            <v>143.511</v>
          </cell>
          <cell r="U119">
            <v>138.39400000000001</v>
          </cell>
          <cell r="V119">
            <v>134.00200000000001</v>
          </cell>
          <cell r="W119">
            <v>129.018</v>
          </cell>
          <cell r="X119">
            <v>124.307</v>
          </cell>
          <cell r="Y119">
            <v>119.36799999999999</v>
          </cell>
          <cell r="Z119">
            <v>114.864</v>
          </cell>
          <cell r="AA119">
            <v>110.67</v>
          </cell>
          <cell r="AB119">
            <v>107.611</v>
          </cell>
          <cell r="AC119">
            <v>109.256</v>
          </cell>
        </row>
        <row r="120">
          <cell r="A120" t="str">
            <v>Bill saving Privately rented - C3 (euro/year,household)</v>
          </cell>
          <cell r="C120">
            <v>832.37800000000004</v>
          </cell>
          <cell r="D120">
            <v>772.01099999999997</v>
          </cell>
          <cell r="E120">
            <v>838.74900000000002</v>
          </cell>
          <cell r="F120">
            <v>784.58399999999995</v>
          </cell>
          <cell r="G120">
            <v>714.76499999999999</v>
          </cell>
          <cell r="H120">
            <v>660.17899999999997</v>
          </cell>
          <cell r="I120">
            <v>581.64700000000005</v>
          </cell>
          <cell r="J120">
            <v>465.81700000000001</v>
          </cell>
          <cell r="K120">
            <v>444.108</v>
          </cell>
          <cell r="L120">
            <v>419.71</v>
          </cell>
          <cell r="M120">
            <v>393.25099999999998</v>
          </cell>
          <cell r="N120">
            <v>365.37900000000002</v>
          </cell>
          <cell r="O120">
            <v>340.03199999999998</v>
          </cell>
          <cell r="P120">
            <v>177.524</v>
          </cell>
          <cell r="Q120">
            <v>176.67099999999999</v>
          </cell>
          <cell r="R120">
            <v>169.91</v>
          </cell>
          <cell r="S120">
            <v>265.625</v>
          </cell>
          <cell r="T120">
            <v>156.15700000000001</v>
          </cell>
          <cell r="U120">
            <v>150.70699999999999</v>
          </cell>
          <cell r="V120">
            <v>146.02500000000001</v>
          </cell>
          <cell r="W120">
            <v>140.55199999999999</v>
          </cell>
          <cell r="X120">
            <v>135.37</v>
          </cell>
          <cell r="Y120">
            <v>129.89500000000001</v>
          </cell>
          <cell r="Z120">
            <v>124.90600000000001</v>
          </cell>
          <cell r="AA120">
            <v>120.251</v>
          </cell>
          <cell r="AB120">
            <v>116.80500000000001</v>
          </cell>
          <cell r="AC120">
            <v>118.524</v>
          </cell>
        </row>
        <row r="121">
          <cell r="A121" t="str">
            <v>Bill saving Privately rented - C4 (euro/year,household)</v>
          </cell>
          <cell r="C121">
            <v>847.899</v>
          </cell>
          <cell r="D121">
            <v>790.15</v>
          </cell>
          <cell r="E121">
            <v>866.42899999999997</v>
          </cell>
          <cell r="F121">
            <v>818.96699999999998</v>
          </cell>
          <cell r="G121">
            <v>748.36400000000003</v>
          </cell>
          <cell r="H121">
            <v>690.39400000000001</v>
          </cell>
          <cell r="I121">
            <v>609.92100000000005</v>
          </cell>
          <cell r="J121">
            <v>493.863</v>
          </cell>
          <cell r="K121">
            <v>472.42399999999998</v>
          </cell>
          <cell r="L121">
            <v>448.29300000000001</v>
          </cell>
          <cell r="M121">
            <v>422.20499999999998</v>
          </cell>
          <cell r="N121">
            <v>394.84100000000001</v>
          </cell>
          <cell r="O121">
            <v>369.52800000000002</v>
          </cell>
          <cell r="P121">
            <v>195.91399999999999</v>
          </cell>
          <cell r="Q121">
            <v>195.49700000000001</v>
          </cell>
          <cell r="R121">
            <v>188.238</v>
          </cell>
          <cell r="S121">
            <v>302.298</v>
          </cell>
          <cell r="T121">
            <v>173.03200000000001</v>
          </cell>
          <cell r="U121">
            <v>167.08500000000001</v>
          </cell>
          <cell r="V121">
            <v>161.99199999999999</v>
          </cell>
          <cell r="W121">
            <v>155.935</v>
          </cell>
          <cell r="X121">
            <v>150.20500000000001</v>
          </cell>
          <cell r="Y121">
            <v>144.08199999999999</v>
          </cell>
          <cell r="Z121">
            <v>138.49700000000001</v>
          </cell>
          <cell r="AA121">
            <v>133.27500000000001</v>
          </cell>
          <cell r="AB121">
            <v>129.464</v>
          </cell>
          <cell r="AC121">
            <v>131.46600000000001</v>
          </cell>
        </row>
        <row r="122">
          <cell r="A122" t="str">
            <v>Bill saving Privately rented - C5 (euro/year,household)</v>
          </cell>
          <cell r="C122">
            <v>956.77300000000002</v>
          </cell>
          <cell r="D122">
            <v>897.82399999999996</v>
          </cell>
          <cell r="E122">
            <v>1005.727</v>
          </cell>
          <cell r="F122">
            <v>955.91200000000003</v>
          </cell>
          <cell r="G122">
            <v>880.26099999999997</v>
          </cell>
          <cell r="H122">
            <v>815.91899999999998</v>
          </cell>
          <cell r="I122">
            <v>727.99</v>
          </cell>
          <cell r="J122">
            <v>574.31700000000001</v>
          </cell>
          <cell r="K122">
            <v>552.08000000000004</v>
          </cell>
          <cell r="L122">
            <v>527.43200000000002</v>
          </cell>
          <cell r="M122">
            <v>500.93700000000001</v>
          </cell>
          <cell r="N122">
            <v>473.226</v>
          </cell>
          <cell r="O122">
            <v>446.49400000000003</v>
          </cell>
          <cell r="P122">
            <v>250.47</v>
          </cell>
          <cell r="Q122">
            <v>249.929</v>
          </cell>
          <cell r="R122">
            <v>240.39500000000001</v>
          </cell>
          <cell r="S122">
            <v>392.12599999999998</v>
          </cell>
          <cell r="T122">
            <v>220.17400000000001</v>
          </cell>
          <cell r="U122">
            <v>212.34299999999999</v>
          </cell>
          <cell r="V122">
            <v>205.61099999999999</v>
          </cell>
          <cell r="W122">
            <v>197.81100000000001</v>
          </cell>
          <cell r="X122">
            <v>190.495</v>
          </cell>
          <cell r="Y122">
            <v>182.65899999999999</v>
          </cell>
          <cell r="Z122">
            <v>175.52099999999999</v>
          </cell>
          <cell r="AA122">
            <v>168.86600000000001</v>
          </cell>
          <cell r="AB122">
            <v>164.108</v>
          </cell>
          <cell r="AC122">
            <v>166.90799999999999</v>
          </cell>
        </row>
        <row r="123">
          <cell r="A123" t="str">
            <v>Bill saving Social-housing - C1 (euro/year,household)</v>
          </cell>
          <cell r="C123">
            <v>567.49</v>
          </cell>
          <cell r="D123">
            <v>259.90800000000002</v>
          </cell>
          <cell r="E123">
            <v>181.517</v>
          </cell>
          <cell r="F123">
            <v>170.40700000000001</v>
          </cell>
          <cell r="G123">
            <v>145.678</v>
          </cell>
          <cell r="H123">
            <v>140.239</v>
          </cell>
          <cell r="I123">
            <v>140.649</v>
          </cell>
          <cell r="J123">
            <v>137.77000000000001</v>
          </cell>
          <cell r="K123">
            <v>144.98699999999999</v>
          </cell>
          <cell r="L123">
            <v>137.53399999999999</v>
          </cell>
          <cell r="M123">
            <v>113.94199999999999</v>
          </cell>
          <cell r="N123">
            <v>100.52500000000001</v>
          </cell>
          <cell r="O123">
            <v>100.124</v>
          </cell>
          <cell r="P123">
            <v>94.061000000000007</v>
          </cell>
          <cell r="Q123">
            <v>86.295000000000002</v>
          </cell>
          <cell r="R123">
            <v>74.784000000000006</v>
          </cell>
          <cell r="S123">
            <v>116.68</v>
          </cell>
          <cell r="T123">
            <v>62.73</v>
          </cell>
          <cell r="U123">
            <v>58.482999999999997</v>
          </cell>
          <cell r="V123">
            <v>45.594999999999999</v>
          </cell>
          <cell r="W123">
            <v>44.493000000000002</v>
          </cell>
          <cell r="X123">
            <v>43.197000000000003</v>
          </cell>
          <cell r="Y123">
            <v>41.750999999999998</v>
          </cell>
          <cell r="Z123">
            <v>40.493000000000002</v>
          </cell>
          <cell r="AA123">
            <v>39.286999999999999</v>
          </cell>
          <cell r="AB123">
            <v>38.173000000000002</v>
          </cell>
          <cell r="AC123">
            <v>38.091000000000001</v>
          </cell>
        </row>
        <row r="124">
          <cell r="A124" t="str">
            <v>Bill saving Social-housing - C2 (euro/year,household)</v>
          </cell>
          <cell r="C124">
            <v>641.29999999999995</v>
          </cell>
          <cell r="D124">
            <v>307.245</v>
          </cell>
          <cell r="E124">
            <v>211.869</v>
          </cell>
          <cell r="F124">
            <v>194.881</v>
          </cell>
          <cell r="G124">
            <v>160.92599999999999</v>
          </cell>
          <cell r="H124">
            <v>151.30500000000001</v>
          </cell>
          <cell r="I124">
            <v>151.536</v>
          </cell>
          <cell r="J124">
            <v>147.863</v>
          </cell>
          <cell r="K124">
            <v>155.46299999999999</v>
          </cell>
          <cell r="L124">
            <v>145.84899999999999</v>
          </cell>
          <cell r="M124">
            <v>115.78700000000001</v>
          </cell>
          <cell r="N124">
            <v>100.13800000000001</v>
          </cell>
          <cell r="O124">
            <v>99.143000000000001</v>
          </cell>
          <cell r="P124">
            <v>93.114999999999995</v>
          </cell>
          <cell r="Q124">
            <v>86.546999999999997</v>
          </cell>
          <cell r="R124">
            <v>76.405000000000001</v>
          </cell>
          <cell r="S124">
            <v>122.587</v>
          </cell>
          <cell r="T124">
            <v>65.572000000000003</v>
          </cell>
          <cell r="U124">
            <v>61.613</v>
          </cell>
          <cell r="V124">
            <v>49.634999999999998</v>
          </cell>
          <cell r="W124">
            <v>48.439</v>
          </cell>
          <cell r="X124">
            <v>47.029000000000003</v>
          </cell>
          <cell r="Y124">
            <v>45.444000000000003</v>
          </cell>
          <cell r="Z124">
            <v>44.07</v>
          </cell>
          <cell r="AA124">
            <v>42.746000000000002</v>
          </cell>
          <cell r="AB124">
            <v>41.521999999999998</v>
          </cell>
          <cell r="AC124">
            <v>41.392000000000003</v>
          </cell>
        </row>
        <row r="125">
          <cell r="A125" t="str">
            <v>Bill saving Social-housing - C3 (euro/year,household)</v>
          </cell>
          <cell r="C125">
            <v>609.52200000000005</v>
          </cell>
          <cell r="D125">
            <v>333.38299999999998</v>
          </cell>
          <cell r="E125">
            <v>251.13800000000001</v>
          </cell>
          <cell r="F125">
            <v>231.67099999999999</v>
          </cell>
          <cell r="G125">
            <v>183.05</v>
          </cell>
          <cell r="H125">
            <v>167.506</v>
          </cell>
          <cell r="I125">
            <v>168.05</v>
          </cell>
          <cell r="J125">
            <v>164.352</v>
          </cell>
          <cell r="K125">
            <v>173.1</v>
          </cell>
          <cell r="L125">
            <v>164.68</v>
          </cell>
          <cell r="M125">
            <v>135.928</v>
          </cell>
          <cell r="N125">
            <v>117.244</v>
          </cell>
          <cell r="O125">
            <v>116.13</v>
          </cell>
          <cell r="P125">
            <v>108.715</v>
          </cell>
          <cell r="Q125">
            <v>100.425</v>
          </cell>
          <cell r="R125">
            <v>88.052000000000007</v>
          </cell>
          <cell r="S125">
            <v>138.37200000000001</v>
          </cell>
          <cell r="T125">
            <v>74.81</v>
          </cell>
          <cell r="U125">
            <v>70.040999999999997</v>
          </cell>
          <cell r="V125">
            <v>56.011000000000003</v>
          </cell>
          <cell r="W125">
            <v>54.569000000000003</v>
          </cell>
          <cell r="X125">
            <v>52.853000000000002</v>
          </cell>
          <cell r="Y125">
            <v>50.942999999999998</v>
          </cell>
          <cell r="Z125">
            <v>49.283000000000001</v>
          </cell>
          <cell r="AA125">
            <v>47.682000000000002</v>
          </cell>
          <cell r="AB125">
            <v>46.201999999999998</v>
          </cell>
          <cell r="AC125">
            <v>45.908999999999999</v>
          </cell>
        </row>
        <row r="126">
          <cell r="A126" t="str">
            <v>Bill saving Social-housing - C4 (euro/year,household)</v>
          </cell>
          <cell r="C126">
            <v>753.09799999999996</v>
          </cell>
          <cell r="D126">
            <v>400.59100000000001</v>
          </cell>
          <cell r="E126">
            <v>275.90100000000001</v>
          </cell>
          <cell r="F126">
            <v>253.15700000000001</v>
          </cell>
          <cell r="G126">
            <v>194.94399999999999</v>
          </cell>
          <cell r="H126">
            <v>174.48099999999999</v>
          </cell>
          <cell r="I126">
            <v>174.86</v>
          </cell>
          <cell r="J126">
            <v>170.452</v>
          </cell>
          <cell r="K126">
            <v>179.613</v>
          </cell>
          <cell r="L126">
            <v>169.702</v>
          </cell>
          <cell r="M126">
            <v>140.995</v>
          </cell>
          <cell r="N126">
            <v>124.714</v>
          </cell>
          <cell r="O126">
            <v>123.953</v>
          </cell>
          <cell r="P126">
            <v>116.15300000000001</v>
          </cell>
          <cell r="Q126">
            <v>106.636</v>
          </cell>
          <cell r="R126">
            <v>92.680999999999997</v>
          </cell>
          <cell r="S126">
            <v>146.68799999999999</v>
          </cell>
          <cell r="T126">
            <v>78.203000000000003</v>
          </cell>
          <cell r="U126">
            <v>73.126000000000005</v>
          </cell>
          <cell r="V126">
            <v>57.87</v>
          </cell>
          <cell r="W126">
            <v>56.616999999999997</v>
          </cell>
          <cell r="X126">
            <v>55.125</v>
          </cell>
          <cell r="Y126">
            <v>53.414000000000001</v>
          </cell>
          <cell r="Z126">
            <v>51.932000000000002</v>
          </cell>
          <cell r="AA126">
            <v>50.502000000000002</v>
          </cell>
          <cell r="AB126">
            <v>49.176000000000002</v>
          </cell>
          <cell r="AC126">
            <v>49.188000000000002</v>
          </cell>
        </row>
        <row r="127">
          <cell r="A127" t="str">
            <v>Bill saving Social-housing - C5 (euro/year,household)</v>
          </cell>
          <cell r="C127">
            <v>946.18600000000004</v>
          </cell>
          <cell r="D127">
            <v>561.85699999999997</v>
          </cell>
          <cell r="E127">
            <v>385.298</v>
          </cell>
          <cell r="F127">
            <v>352.77100000000002</v>
          </cell>
          <cell r="G127">
            <v>289.38200000000001</v>
          </cell>
          <cell r="H127">
            <v>271.089</v>
          </cell>
          <cell r="I127">
            <v>270.89999999999998</v>
          </cell>
          <cell r="J127">
            <v>263.21600000000001</v>
          </cell>
          <cell r="K127">
            <v>276.41300000000001</v>
          </cell>
          <cell r="L127">
            <v>258.85500000000002</v>
          </cell>
          <cell r="M127">
            <v>209.11799999999999</v>
          </cell>
          <cell r="N127">
            <v>183.80699999999999</v>
          </cell>
          <cell r="O127">
            <v>182.90700000000001</v>
          </cell>
          <cell r="P127">
            <v>170.929</v>
          </cell>
          <cell r="Q127">
            <v>155.32900000000001</v>
          </cell>
          <cell r="R127">
            <v>131.96899999999999</v>
          </cell>
          <cell r="S127">
            <v>194.02600000000001</v>
          </cell>
          <cell r="T127">
            <v>107.411</v>
          </cell>
          <cell r="U127">
            <v>99.072999999999993</v>
          </cell>
          <cell r="V127">
            <v>72.471999999999994</v>
          </cell>
          <cell r="W127">
            <v>70.850999999999999</v>
          </cell>
          <cell r="X127">
            <v>68.825999999999993</v>
          </cell>
          <cell r="Y127">
            <v>66.602000000000004</v>
          </cell>
          <cell r="Z127">
            <v>64.656000000000006</v>
          </cell>
          <cell r="AA127">
            <v>62.786000000000001</v>
          </cell>
          <cell r="AB127">
            <v>61.057000000000002</v>
          </cell>
          <cell r="AC127">
            <v>60.957999999999998</v>
          </cell>
        </row>
        <row r="128">
          <cell r="A128" t="str">
            <v>Bill saving standard Owner-occupied - C1 (euro/year,household)</v>
          </cell>
          <cell r="C128">
            <v>214.37200000000001</v>
          </cell>
          <cell r="D128">
            <v>220.18100000000001</v>
          </cell>
          <cell r="E128">
            <v>1352.5129999999999</v>
          </cell>
          <cell r="F128">
            <v>1611.144</v>
          </cell>
          <cell r="G128">
            <v>1510.239</v>
          </cell>
          <cell r="H128">
            <v>1465.914</v>
          </cell>
          <cell r="I128">
            <v>1422.18</v>
          </cell>
          <cell r="J128">
            <v>1265.0730000000001</v>
          </cell>
          <cell r="K128">
            <v>1122.5840000000001</v>
          </cell>
          <cell r="L128">
            <v>992.9</v>
          </cell>
          <cell r="M128">
            <v>878.12699999999995</v>
          </cell>
          <cell r="N128">
            <v>779.26800000000003</v>
          </cell>
          <cell r="O128">
            <v>740.98599999999999</v>
          </cell>
          <cell r="P128">
            <v>676.86400000000003</v>
          </cell>
          <cell r="Q128">
            <v>639.90800000000002</v>
          </cell>
          <cell r="R128">
            <v>589.56600000000003</v>
          </cell>
          <cell r="S128">
            <v>670.03700000000003</v>
          </cell>
          <cell r="T128">
            <v>412.35</v>
          </cell>
          <cell r="U128">
            <v>385.983</v>
          </cell>
          <cell r="V128">
            <v>363.39800000000002</v>
          </cell>
          <cell r="W128">
            <v>357.48099999999999</v>
          </cell>
          <cell r="X128">
            <v>338.77300000000002</v>
          </cell>
          <cell r="Y128">
            <v>318.916</v>
          </cell>
          <cell r="Z128">
            <v>302.279</v>
          </cell>
          <cell r="AA128">
            <v>284.84800000000001</v>
          </cell>
          <cell r="AB128">
            <v>278.19900000000001</v>
          </cell>
          <cell r="AC128">
            <v>277.541</v>
          </cell>
        </row>
        <row r="129">
          <cell r="A129" t="str">
            <v>Bill saving standard Owner-occupied - C2 (euro/year,household)</v>
          </cell>
          <cell r="C129">
            <v>238.477</v>
          </cell>
          <cell r="D129">
            <v>251.32499999999999</v>
          </cell>
          <cell r="E129">
            <v>1093.3499999999999</v>
          </cell>
          <cell r="F129">
            <v>1301.95</v>
          </cell>
          <cell r="G129">
            <v>1347.568</v>
          </cell>
          <cell r="H129">
            <v>1345.992</v>
          </cell>
          <cell r="I129">
            <v>1280.0640000000001</v>
          </cell>
          <cell r="J129">
            <v>1100.075</v>
          </cell>
          <cell r="K129">
            <v>966.86599999999999</v>
          </cell>
          <cell r="L129">
            <v>846.85</v>
          </cell>
          <cell r="M129">
            <v>740.88</v>
          </cell>
          <cell r="N129">
            <v>649.69899999999996</v>
          </cell>
          <cell r="O129">
            <v>638.66700000000003</v>
          </cell>
          <cell r="P129">
            <v>585.08799999999997</v>
          </cell>
          <cell r="Q129">
            <v>568.779</v>
          </cell>
          <cell r="R129">
            <v>522.37400000000002</v>
          </cell>
          <cell r="S129">
            <v>794.173</v>
          </cell>
          <cell r="T129">
            <v>378.63200000000001</v>
          </cell>
          <cell r="U129">
            <v>355.02100000000002</v>
          </cell>
          <cell r="V129">
            <v>333.93</v>
          </cell>
          <cell r="W129">
            <v>324.34899999999999</v>
          </cell>
          <cell r="X129">
            <v>306.375</v>
          </cell>
          <cell r="Y129">
            <v>287.428</v>
          </cell>
          <cell r="Z129">
            <v>270.68799999999999</v>
          </cell>
          <cell r="AA129">
            <v>253.48400000000001</v>
          </cell>
          <cell r="AB129">
            <v>246.053</v>
          </cell>
          <cell r="AC129">
            <v>254.49600000000001</v>
          </cell>
        </row>
        <row r="130">
          <cell r="A130" t="str">
            <v>Bill saving standard Owner-occupied - C3 (euro/year,household)</v>
          </cell>
          <cell r="C130">
            <v>929.91399999999999</v>
          </cell>
          <cell r="D130">
            <v>849.37199999999996</v>
          </cell>
          <cell r="E130">
            <v>1423.021</v>
          </cell>
          <cell r="F130">
            <v>1421.7080000000001</v>
          </cell>
          <cell r="G130">
            <v>1204.4069999999999</v>
          </cell>
          <cell r="H130">
            <v>1193.866</v>
          </cell>
          <cell r="I130">
            <v>1100.7149999999999</v>
          </cell>
          <cell r="J130">
            <v>925.43100000000004</v>
          </cell>
          <cell r="K130">
            <v>784.93899999999996</v>
          </cell>
          <cell r="L130">
            <v>671.41300000000001</v>
          </cell>
          <cell r="M130">
            <v>581.6</v>
          </cell>
          <cell r="N130">
            <v>511.49799999999999</v>
          </cell>
          <cell r="O130">
            <v>512.62400000000002</v>
          </cell>
          <cell r="P130">
            <v>466.04</v>
          </cell>
          <cell r="Q130">
            <v>465.53800000000001</v>
          </cell>
          <cell r="R130">
            <v>424.56099999999998</v>
          </cell>
          <cell r="S130">
            <v>697.72500000000002</v>
          </cell>
          <cell r="T130">
            <v>308.71699999999998</v>
          </cell>
          <cell r="U130">
            <v>289.07499999999999</v>
          </cell>
          <cell r="V130">
            <v>271.8</v>
          </cell>
          <cell r="W130">
            <v>259.858</v>
          </cell>
          <cell r="X130">
            <v>245.762</v>
          </cell>
          <cell r="Y130">
            <v>231.18199999999999</v>
          </cell>
          <cell r="Z130">
            <v>218.09100000000001</v>
          </cell>
          <cell r="AA130">
            <v>205.345</v>
          </cell>
          <cell r="AB130">
            <v>198.755</v>
          </cell>
          <cell r="AC130">
            <v>205.142</v>
          </cell>
        </row>
        <row r="131">
          <cell r="A131" t="str">
            <v>Bill saving standard Owner-occupied - C4 (euro/year,household)</v>
          </cell>
          <cell r="C131">
            <v>745.18399999999997</v>
          </cell>
          <cell r="D131">
            <v>696.63</v>
          </cell>
          <cell r="E131">
            <v>1268.549</v>
          </cell>
          <cell r="F131">
            <v>1282.7080000000001</v>
          </cell>
          <cell r="G131">
            <v>1087.5619999999999</v>
          </cell>
          <cell r="H131">
            <v>1094.4870000000001</v>
          </cell>
          <cell r="I131">
            <v>1012.846</v>
          </cell>
          <cell r="J131">
            <v>879.43899999999996</v>
          </cell>
          <cell r="K131">
            <v>767.75099999999998</v>
          </cell>
          <cell r="L131">
            <v>670.274</v>
          </cell>
          <cell r="M131">
            <v>586.71400000000006</v>
          </cell>
          <cell r="N131">
            <v>517.22299999999996</v>
          </cell>
          <cell r="O131">
            <v>518.59299999999996</v>
          </cell>
          <cell r="P131">
            <v>471.74599999999998</v>
          </cell>
          <cell r="Q131">
            <v>471.267</v>
          </cell>
          <cell r="R131">
            <v>427.85500000000002</v>
          </cell>
          <cell r="S131">
            <v>771.71199999999999</v>
          </cell>
          <cell r="T131">
            <v>299.42599999999999</v>
          </cell>
          <cell r="U131">
            <v>280.81099999999998</v>
          </cell>
          <cell r="V131">
            <v>264.04899999999998</v>
          </cell>
          <cell r="W131">
            <v>251.17</v>
          </cell>
          <cell r="X131">
            <v>237.21600000000001</v>
          </cell>
          <cell r="Y131">
            <v>222.55</v>
          </cell>
          <cell r="Z131">
            <v>209.011</v>
          </cell>
          <cell r="AA131">
            <v>195.80799999999999</v>
          </cell>
          <cell r="AB131">
            <v>189.91</v>
          </cell>
          <cell r="AC131">
            <v>197.12799999999999</v>
          </cell>
        </row>
        <row r="132">
          <cell r="A132" t="str">
            <v>Bill saving standard Owner-occupied - C5 (euro/year,household)</v>
          </cell>
          <cell r="C132">
            <v>1043.913</v>
          </cell>
          <cell r="D132">
            <v>934.58699999999999</v>
          </cell>
          <cell r="E132">
            <v>1269.027</v>
          </cell>
          <cell r="F132">
            <v>1207.4110000000001</v>
          </cell>
          <cell r="G132">
            <v>1008.593</v>
          </cell>
          <cell r="H132">
            <v>1069.8920000000001</v>
          </cell>
          <cell r="I132">
            <v>966.36099999999999</v>
          </cell>
          <cell r="J132">
            <v>827.02099999999996</v>
          </cell>
          <cell r="K132">
            <v>711.46299999999997</v>
          </cell>
          <cell r="L132">
            <v>614.245</v>
          </cell>
          <cell r="M132">
            <v>534.60500000000002</v>
          </cell>
          <cell r="N132">
            <v>470.94499999999999</v>
          </cell>
          <cell r="O132">
            <v>487.18200000000002</v>
          </cell>
          <cell r="P132">
            <v>444.46100000000001</v>
          </cell>
          <cell r="Q132">
            <v>451.803</v>
          </cell>
          <cell r="R132">
            <v>411.39299999999997</v>
          </cell>
          <cell r="S132">
            <v>1100.0319999999999</v>
          </cell>
          <cell r="T132">
            <v>297.072</v>
          </cell>
          <cell r="U132">
            <v>279.524</v>
          </cell>
          <cell r="V132">
            <v>263.83300000000003</v>
          </cell>
          <cell r="W132">
            <v>250.977</v>
          </cell>
          <cell r="X132">
            <v>237.94200000000001</v>
          </cell>
          <cell r="Y132">
            <v>223.76400000000001</v>
          </cell>
          <cell r="Z132">
            <v>210.71799999999999</v>
          </cell>
          <cell r="AA132">
            <v>198.09100000000001</v>
          </cell>
          <cell r="AB132">
            <v>191.80099999999999</v>
          </cell>
          <cell r="AC132">
            <v>201.79</v>
          </cell>
        </row>
        <row r="133">
          <cell r="A133" t="str">
            <v>Bill saving standard Privately rented - C1 (euro/year,household)</v>
          </cell>
          <cell r="C133">
            <v>1716.277</v>
          </cell>
          <cell r="D133">
            <v>1636.422</v>
          </cell>
          <cell r="E133">
            <v>1603.53</v>
          </cell>
          <cell r="F133">
            <v>1513.33</v>
          </cell>
          <cell r="G133">
            <v>1391.45</v>
          </cell>
          <cell r="H133">
            <v>1293.6220000000001</v>
          </cell>
          <cell r="I133">
            <v>1146.8589999999999</v>
          </cell>
          <cell r="J133">
            <v>782.83500000000004</v>
          </cell>
          <cell r="K133">
            <v>743.52</v>
          </cell>
          <cell r="L133">
            <v>701.05200000000002</v>
          </cell>
          <cell r="M133">
            <v>656.08399999999995</v>
          </cell>
          <cell r="N133">
            <v>609.49699999999996</v>
          </cell>
          <cell r="O133">
            <v>567.83699999999999</v>
          </cell>
          <cell r="P133">
            <v>289.60500000000002</v>
          </cell>
          <cell r="Q133">
            <v>284.86799999999999</v>
          </cell>
          <cell r="R133">
            <v>271.53100000000001</v>
          </cell>
          <cell r="S133">
            <v>463.30200000000002</v>
          </cell>
          <cell r="T133">
            <v>245.012</v>
          </cell>
          <cell r="U133">
            <v>234.12299999999999</v>
          </cell>
          <cell r="V133">
            <v>224.60599999999999</v>
          </cell>
          <cell r="W133">
            <v>214.76499999999999</v>
          </cell>
          <cell r="X133">
            <v>205.53399999999999</v>
          </cell>
          <cell r="Y133">
            <v>195.922</v>
          </cell>
          <cell r="Z133">
            <v>187.16900000000001</v>
          </cell>
          <cell r="AA133">
            <v>179.08500000000001</v>
          </cell>
          <cell r="AB133">
            <v>173.38</v>
          </cell>
          <cell r="AC133">
            <v>174.99600000000001</v>
          </cell>
        </row>
        <row r="134">
          <cell r="A134" t="str">
            <v>Bill saving standard Privately rented - C2 (euro/year,household)</v>
          </cell>
          <cell r="C134">
            <v>1488.8869999999999</v>
          </cell>
          <cell r="D134">
            <v>1397.029</v>
          </cell>
          <cell r="E134">
            <v>1535.557</v>
          </cell>
          <cell r="F134">
            <v>1458.307</v>
          </cell>
          <cell r="G134">
            <v>1336.136</v>
          </cell>
          <cell r="H134">
            <v>1237.085</v>
          </cell>
          <cell r="I134">
            <v>1089.8579999999999</v>
          </cell>
          <cell r="J134">
            <v>788.16200000000003</v>
          </cell>
          <cell r="K134">
            <v>746.00400000000002</v>
          </cell>
          <cell r="L134">
            <v>699.26800000000003</v>
          </cell>
          <cell r="M134">
            <v>648.88699999999994</v>
          </cell>
          <cell r="N134">
            <v>596.12800000000004</v>
          </cell>
          <cell r="O134">
            <v>549.96</v>
          </cell>
          <cell r="P134">
            <v>269.19200000000001</v>
          </cell>
          <cell r="Q134">
            <v>265.113</v>
          </cell>
          <cell r="R134">
            <v>252.52699999999999</v>
          </cell>
          <cell r="S134">
            <v>437.75099999999998</v>
          </cell>
          <cell r="T134">
            <v>227.47200000000001</v>
          </cell>
          <cell r="U134">
            <v>217.488</v>
          </cell>
          <cell r="V134">
            <v>208.81100000000001</v>
          </cell>
          <cell r="W134">
            <v>199.75200000000001</v>
          </cell>
          <cell r="X134">
            <v>191.24</v>
          </cell>
          <cell r="Y134">
            <v>182.34899999999999</v>
          </cell>
          <cell r="Z134">
            <v>174.23500000000001</v>
          </cell>
          <cell r="AA134">
            <v>166.72800000000001</v>
          </cell>
          <cell r="AB134">
            <v>161.251</v>
          </cell>
          <cell r="AC134">
            <v>162.881</v>
          </cell>
        </row>
        <row r="135">
          <cell r="A135" t="str">
            <v>Bill saving standard Privately rented - C3 (euro/year,household)</v>
          </cell>
          <cell r="C135">
            <v>1597.883</v>
          </cell>
          <cell r="D135">
            <v>1477.8019999999999</v>
          </cell>
          <cell r="E135">
            <v>1559.653</v>
          </cell>
          <cell r="F135">
            <v>1449.287</v>
          </cell>
          <cell r="G135">
            <v>1305.904</v>
          </cell>
          <cell r="H135">
            <v>1196.3040000000001</v>
          </cell>
          <cell r="I135">
            <v>1038.8150000000001</v>
          </cell>
          <cell r="J135">
            <v>767.21</v>
          </cell>
          <cell r="K135">
            <v>726.38400000000001</v>
          </cell>
          <cell r="L135">
            <v>681.28</v>
          </cell>
          <cell r="M135">
            <v>632.92200000000003</v>
          </cell>
          <cell r="N135">
            <v>582.55999999999995</v>
          </cell>
          <cell r="O135">
            <v>537.625</v>
          </cell>
          <cell r="P135">
            <v>266.54599999999999</v>
          </cell>
          <cell r="Q135">
            <v>263.23200000000003</v>
          </cell>
          <cell r="R135">
            <v>251.27</v>
          </cell>
          <cell r="S135">
            <v>440.00799999999998</v>
          </cell>
          <cell r="T135">
            <v>227.08600000000001</v>
          </cell>
          <cell r="U135">
            <v>217.34700000000001</v>
          </cell>
          <cell r="V135">
            <v>208.86600000000001</v>
          </cell>
          <cell r="W135">
            <v>199.779</v>
          </cell>
          <cell r="X135">
            <v>191.226</v>
          </cell>
          <cell r="Y135">
            <v>182.21899999999999</v>
          </cell>
          <cell r="Z135">
            <v>174.005</v>
          </cell>
          <cell r="AA135">
            <v>166.39099999999999</v>
          </cell>
          <cell r="AB135">
            <v>160.756</v>
          </cell>
          <cell r="AC135">
            <v>162.29900000000001</v>
          </cell>
        </row>
        <row r="136">
          <cell r="A136" t="str">
            <v>Bill saving standard Privately rented - C4 (euro/year,household)</v>
          </cell>
          <cell r="C136">
            <v>1459.6410000000001</v>
          </cell>
          <cell r="D136">
            <v>1355.298</v>
          </cell>
          <cell r="E136">
            <v>1450.521</v>
          </cell>
          <cell r="F136">
            <v>1367.3330000000001</v>
          </cell>
          <cell r="G136">
            <v>1237.6659999999999</v>
          </cell>
          <cell r="H136">
            <v>1133.0319999999999</v>
          </cell>
          <cell r="I136">
            <v>987.58900000000006</v>
          </cell>
          <cell r="J136">
            <v>739.25599999999997</v>
          </cell>
          <cell r="K136">
            <v>702.66800000000001</v>
          </cell>
          <cell r="L136">
            <v>662.10199999999998</v>
          </cell>
          <cell r="M136">
            <v>618.70299999999997</v>
          </cell>
          <cell r="N136">
            <v>573.68600000000004</v>
          </cell>
          <cell r="O136">
            <v>532.78899999999999</v>
          </cell>
          <cell r="P136">
            <v>269.42599999999999</v>
          </cell>
          <cell r="Q136">
            <v>266.75</v>
          </cell>
          <cell r="R136">
            <v>254.923</v>
          </cell>
          <cell r="S136">
            <v>460.54399999999998</v>
          </cell>
          <cell r="T136">
            <v>230.39400000000001</v>
          </cell>
          <cell r="U136">
            <v>220.59899999999999</v>
          </cell>
          <cell r="V136">
            <v>212.08099999999999</v>
          </cell>
          <cell r="W136">
            <v>202.84100000000001</v>
          </cell>
          <cell r="X136">
            <v>194.15299999999999</v>
          </cell>
          <cell r="Y136">
            <v>184.91</v>
          </cell>
          <cell r="Z136">
            <v>176.47900000000001</v>
          </cell>
          <cell r="AA136">
            <v>168.65100000000001</v>
          </cell>
          <cell r="AB136">
            <v>162.94</v>
          </cell>
          <cell r="AC136">
            <v>164.61199999999999</v>
          </cell>
        </row>
        <row r="137">
          <cell r="A137" t="str">
            <v>Bill saving standard Privately rented - C5 (euro/year,household)</v>
          </cell>
          <cell r="C137">
            <v>1394.9290000000001</v>
          </cell>
          <cell r="D137">
            <v>1303.7650000000001</v>
          </cell>
          <cell r="E137">
            <v>1422.4449999999999</v>
          </cell>
          <cell r="F137">
            <v>1348.529</v>
          </cell>
          <cell r="G137">
            <v>1230.5709999999999</v>
          </cell>
          <cell r="H137">
            <v>1132.2429999999999</v>
          </cell>
          <cell r="I137">
            <v>997.17200000000003</v>
          </cell>
          <cell r="J137">
            <v>728.36199999999997</v>
          </cell>
          <cell r="K137">
            <v>696.02200000000005</v>
          </cell>
          <cell r="L137">
            <v>660.69299999999998</v>
          </cell>
          <cell r="M137">
            <v>623.09100000000001</v>
          </cell>
          <cell r="N137">
            <v>584.20299999999997</v>
          </cell>
          <cell r="O137">
            <v>547.25800000000004</v>
          </cell>
          <cell r="P137">
            <v>293.68200000000002</v>
          </cell>
          <cell r="Q137">
            <v>290.57400000000001</v>
          </cell>
          <cell r="R137">
            <v>277.29399999999998</v>
          </cell>
          <cell r="S137">
            <v>511.12900000000002</v>
          </cell>
          <cell r="T137">
            <v>249.446</v>
          </cell>
          <cell r="U137">
            <v>238.45400000000001</v>
          </cell>
          <cell r="V137">
            <v>228.881</v>
          </cell>
          <cell r="W137">
            <v>218.673</v>
          </cell>
          <cell r="X137">
            <v>209.15899999999999</v>
          </cell>
          <cell r="Y137">
            <v>199.02099999999999</v>
          </cell>
          <cell r="Z137">
            <v>189.797</v>
          </cell>
          <cell r="AA137">
            <v>181.262</v>
          </cell>
          <cell r="AB137">
            <v>175.15</v>
          </cell>
          <cell r="AC137">
            <v>177.17</v>
          </cell>
        </row>
        <row r="138">
          <cell r="A138" t="str">
            <v>Bill saving standard Social-housing - C1 (euro/year,household)</v>
          </cell>
          <cell r="C138">
            <v>1303.0530000000001</v>
          </cell>
          <cell r="D138">
            <v>545.40899999999999</v>
          </cell>
          <cell r="E138">
            <v>361.96499999999997</v>
          </cell>
          <cell r="F138">
            <v>336.76400000000001</v>
          </cell>
          <cell r="G138">
            <v>279.08499999999998</v>
          </cell>
          <cell r="H138">
            <v>263.21199999999999</v>
          </cell>
          <cell r="I138">
            <v>262.786</v>
          </cell>
          <cell r="J138">
            <v>256.93599999999998</v>
          </cell>
          <cell r="K138">
            <v>270.50799999999998</v>
          </cell>
          <cell r="L138">
            <v>255.172</v>
          </cell>
          <cell r="M138">
            <v>206.465</v>
          </cell>
          <cell r="N138">
            <v>177.904</v>
          </cell>
          <cell r="O138">
            <v>176.774</v>
          </cell>
          <cell r="P138">
            <v>164.81399999999999</v>
          </cell>
          <cell r="Q138">
            <v>148.76900000000001</v>
          </cell>
          <cell r="R138">
            <v>126.483</v>
          </cell>
          <cell r="S138">
            <v>225.12100000000001</v>
          </cell>
          <cell r="T138">
            <v>103.196</v>
          </cell>
          <cell r="U138">
            <v>95.055999999999997</v>
          </cell>
          <cell r="V138">
            <v>70.704999999999998</v>
          </cell>
          <cell r="W138">
            <v>68.688999999999993</v>
          </cell>
          <cell r="X138">
            <v>66.366</v>
          </cell>
          <cell r="Y138">
            <v>63.755000000000003</v>
          </cell>
          <cell r="Z138">
            <v>61.463999999999999</v>
          </cell>
          <cell r="AA138">
            <v>59.277999999999999</v>
          </cell>
          <cell r="AB138">
            <v>57.256</v>
          </cell>
          <cell r="AC138">
            <v>56.789000000000001</v>
          </cell>
        </row>
        <row r="139">
          <cell r="A139" t="str">
            <v>Bill saving standard Social-housing - C2 (euro/year,household)</v>
          </cell>
          <cell r="C139">
            <v>1299.989</v>
          </cell>
          <cell r="D139">
            <v>572.13800000000003</v>
          </cell>
          <cell r="E139">
            <v>377.63900000000001</v>
          </cell>
          <cell r="F139">
            <v>344.37200000000001</v>
          </cell>
          <cell r="G139">
            <v>275.084</v>
          </cell>
          <cell r="H139">
            <v>252.78200000000001</v>
          </cell>
          <cell r="I139">
            <v>252.03899999999999</v>
          </cell>
          <cell r="J139">
            <v>245.42099999999999</v>
          </cell>
          <cell r="K139">
            <v>258.24099999999999</v>
          </cell>
          <cell r="L139">
            <v>240.85599999999999</v>
          </cell>
          <cell r="M139">
            <v>186.37</v>
          </cell>
          <cell r="N139">
            <v>157.08000000000001</v>
          </cell>
          <cell r="O139">
            <v>155.36500000000001</v>
          </cell>
          <cell r="P139">
            <v>144.92500000000001</v>
          </cell>
          <cell r="Q139">
            <v>132.49799999999999</v>
          </cell>
          <cell r="R139">
            <v>114.675</v>
          </cell>
          <cell r="S139">
            <v>210.56299999999999</v>
          </cell>
          <cell r="T139">
            <v>95.722999999999999</v>
          </cell>
          <cell r="U139">
            <v>88.852999999999994</v>
          </cell>
          <cell r="V139">
            <v>67.984999999999999</v>
          </cell>
          <cell r="W139">
            <v>66.061000000000007</v>
          </cell>
          <cell r="X139">
            <v>63.838999999999999</v>
          </cell>
          <cell r="Y139">
            <v>61.320999999999998</v>
          </cell>
          <cell r="Z139">
            <v>59.118000000000002</v>
          </cell>
          <cell r="AA139">
            <v>57.005000000000003</v>
          </cell>
          <cell r="AB139">
            <v>55.051000000000002</v>
          </cell>
          <cell r="AC139">
            <v>54.554000000000002</v>
          </cell>
        </row>
        <row r="140">
          <cell r="A140" t="str">
            <v>Bill saving standard Social-housing - C3 (euro/year,household)</v>
          </cell>
          <cell r="C140">
            <v>1129.2329999999999</v>
          </cell>
          <cell r="D140">
            <v>573.92399999999998</v>
          </cell>
          <cell r="E140">
            <v>415.803</v>
          </cell>
          <cell r="F140">
            <v>379.86399999999998</v>
          </cell>
          <cell r="G140">
            <v>288.67500000000001</v>
          </cell>
          <cell r="H140">
            <v>257.03500000000003</v>
          </cell>
          <cell r="I140">
            <v>256.87</v>
          </cell>
          <cell r="J140">
            <v>250.846</v>
          </cell>
          <cell r="K140">
            <v>264.67700000000002</v>
          </cell>
          <cell r="L140">
            <v>250.791</v>
          </cell>
          <cell r="M140">
            <v>202.047</v>
          </cell>
          <cell r="N140">
            <v>169.16200000000001</v>
          </cell>
          <cell r="O140">
            <v>167.30699999999999</v>
          </cell>
          <cell r="P140">
            <v>155.49799999999999</v>
          </cell>
          <cell r="Q140">
            <v>141.297</v>
          </cell>
          <cell r="R140">
            <v>121.48699999999999</v>
          </cell>
          <cell r="S140">
            <v>217.8</v>
          </cell>
          <cell r="T140">
            <v>100.40300000000001</v>
          </cell>
          <cell r="U140">
            <v>92.873000000000005</v>
          </cell>
          <cell r="V140">
            <v>70.706999999999994</v>
          </cell>
          <cell r="W140">
            <v>68.593999999999994</v>
          </cell>
          <cell r="X140">
            <v>66.126999999999995</v>
          </cell>
          <cell r="Y140">
            <v>63.359000000000002</v>
          </cell>
          <cell r="Z140">
            <v>60.933</v>
          </cell>
          <cell r="AA140">
            <v>58.606000000000002</v>
          </cell>
          <cell r="AB140">
            <v>56.454000000000001</v>
          </cell>
          <cell r="AC140">
            <v>55.762</v>
          </cell>
        </row>
        <row r="141">
          <cell r="A141" t="str">
            <v>Bill saving standard Social-housing - C4 (euro/year,household)</v>
          </cell>
          <cell r="C141">
            <v>1286.886</v>
          </cell>
          <cell r="D141">
            <v>637.97</v>
          </cell>
          <cell r="E141">
            <v>419.76100000000002</v>
          </cell>
          <cell r="F141">
            <v>381.24799999999999</v>
          </cell>
          <cell r="G141">
            <v>282.04000000000002</v>
          </cell>
          <cell r="H141">
            <v>244.94300000000001</v>
          </cell>
          <cell r="I141">
            <v>244.387</v>
          </cell>
          <cell r="J141">
            <v>237.77199999999999</v>
          </cell>
          <cell r="K141">
            <v>250.72300000000001</v>
          </cell>
          <cell r="L141">
            <v>235.523</v>
          </cell>
          <cell r="M141">
            <v>191.345</v>
          </cell>
          <cell r="N141">
            <v>165.63900000000001</v>
          </cell>
          <cell r="O141">
            <v>164.36500000000001</v>
          </cell>
          <cell r="P141">
            <v>152.898</v>
          </cell>
          <cell r="Q141">
            <v>138.00200000000001</v>
          </cell>
          <cell r="R141">
            <v>117.51300000000001</v>
          </cell>
          <cell r="S141">
            <v>212.21799999999999</v>
          </cell>
          <cell r="T141">
            <v>96.316999999999993</v>
          </cell>
          <cell r="U141">
            <v>88.923000000000002</v>
          </cell>
          <cell r="V141">
            <v>66.849000000000004</v>
          </cell>
          <cell r="W141">
            <v>65.123999999999995</v>
          </cell>
          <cell r="X141">
            <v>63.113</v>
          </cell>
          <cell r="Y141">
            <v>60.792999999999999</v>
          </cell>
          <cell r="Z141">
            <v>58.76</v>
          </cell>
          <cell r="AA141">
            <v>56.808999999999997</v>
          </cell>
          <cell r="AB141">
            <v>55</v>
          </cell>
          <cell r="AC141">
            <v>54.692999999999998</v>
          </cell>
        </row>
        <row r="142">
          <cell r="A142" t="str">
            <v>Bill saving standard Social-housing - C5 (euro/year,household)</v>
          </cell>
          <cell r="C142">
            <v>1374.0630000000001</v>
          </cell>
          <cell r="D142">
            <v>759.71299999999997</v>
          </cell>
          <cell r="E142">
            <v>498.18299999999999</v>
          </cell>
          <cell r="F142">
            <v>450.54</v>
          </cell>
          <cell r="G142">
            <v>359.27199999999999</v>
          </cell>
          <cell r="H142">
            <v>329.41</v>
          </cell>
          <cell r="I142">
            <v>327.27800000000002</v>
          </cell>
          <cell r="J142">
            <v>317.09399999999999</v>
          </cell>
          <cell r="K142">
            <v>332.339</v>
          </cell>
          <cell r="L142">
            <v>308.76900000000001</v>
          </cell>
          <cell r="M142">
            <v>243.27600000000001</v>
          </cell>
          <cell r="N142">
            <v>209.678</v>
          </cell>
          <cell r="O142">
            <v>207.92699999999999</v>
          </cell>
          <cell r="P142">
            <v>192.786</v>
          </cell>
          <cell r="Q142">
            <v>172.488</v>
          </cell>
          <cell r="R142">
            <v>143.81299999999999</v>
          </cell>
          <cell r="S142">
            <v>239.48400000000001</v>
          </cell>
          <cell r="T142">
            <v>113.688</v>
          </cell>
          <cell r="U142">
            <v>103.524</v>
          </cell>
          <cell r="V142">
            <v>71.888999999999996</v>
          </cell>
          <cell r="W142">
            <v>69.991</v>
          </cell>
          <cell r="X142">
            <v>67.671999999999997</v>
          </cell>
          <cell r="Y142">
            <v>65.113</v>
          </cell>
          <cell r="Z142">
            <v>62.851999999999997</v>
          </cell>
          <cell r="AA142">
            <v>60.692</v>
          </cell>
          <cell r="AB142">
            <v>58.692999999999998</v>
          </cell>
          <cell r="AC142">
            <v>58.267000000000003</v>
          </cell>
        </row>
        <row r="143">
          <cell r="A143" t="str">
            <v>Carbon footprint (MtCO2)</v>
          </cell>
          <cell r="C143">
            <v>14.359</v>
          </cell>
          <cell r="D143">
            <v>16.648</v>
          </cell>
          <cell r="E143">
            <v>18.638999999999999</v>
          </cell>
          <cell r="F143">
            <v>18.690000000000001</v>
          </cell>
          <cell r="G143">
            <v>18.364999999999998</v>
          </cell>
          <cell r="H143">
            <v>18.445</v>
          </cell>
          <cell r="I143">
            <v>14.012</v>
          </cell>
          <cell r="J143">
            <v>14.444000000000001</v>
          </cell>
          <cell r="K143">
            <v>13.865</v>
          </cell>
          <cell r="L143">
            <v>13.49</v>
          </cell>
          <cell r="M143">
            <v>13.275</v>
          </cell>
          <cell r="N143">
            <v>13.007</v>
          </cell>
          <cell r="O143">
            <v>12.9</v>
          </cell>
          <cell r="P143">
            <v>13.804</v>
          </cell>
          <cell r="Q143">
            <v>13.664</v>
          </cell>
          <cell r="R143">
            <v>13.462</v>
          </cell>
          <cell r="S143">
            <v>9.4619999999999997</v>
          </cell>
          <cell r="T143">
            <v>8.343</v>
          </cell>
          <cell r="U143">
            <v>8.1140000000000008</v>
          </cell>
          <cell r="V143">
            <v>7.6980000000000004</v>
          </cell>
          <cell r="W143">
            <v>7.6340000000000003</v>
          </cell>
          <cell r="X143">
            <v>7.4560000000000004</v>
          </cell>
          <cell r="Y143">
            <v>7.2990000000000004</v>
          </cell>
          <cell r="Z143">
            <v>7.1479999999999997</v>
          </cell>
          <cell r="AA143">
            <v>7.0119999999999996</v>
          </cell>
          <cell r="AB143">
            <v>6.89</v>
          </cell>
          <cell r="AC143">
            <v>6.6189999999999998</v>
          </cell>
        </row>
        <row r="144">
          <cell r="A144" t="str">
            <v>Carbon footprint construction (MtCO2)</v>
          </cell>
          <cell r="C144">
            <v>11.736000000000001</v>
          </cell>
          <cell r="D144">
            <v>14.01</v>
          </cell>
          <cell r="E144">
            <v>14.01</v>
          </cell>
          <cell r="F144">
            <v>14.01</v>
          </cell>
          <cell r="G144">
            <v>14.01</v>
          </cell>
          <cell r="H144">
            <v>14.01</v>
          </cell>
          <cell r="I144">
            <v>9.6289999999999996</v>
          </cell>
          <cell r="J144">
            <v>9.6289999999999996</v>
          </cell>
          <cell r="K144">
            <v>9.6289999999999996</v>
          </cell>
          <cell r="L144">
            <v>9.6289999999999996</v>
          </cell>
          <cell r="M144">
            <v>9.6289999999999996</v>
          </cell>
          <cell r="N144">
            <v>9.6289999999999996</v>
          </cell>
          <cell r="O144">
            <v>9.6289999999999996</v>
          </cell>
          <cell r="P144">
            <v>9.6289999999999996</v>
          </cell>
          <cell r="Q144">
            <v>9.6289999999999996</v>
          </cell>
          <cell r="R144">
            <v>9.6289999999999996</v>
          </cell>
          <cell r="S144">
            <v>4.3659999999999997</v>
          </cell>
          <cell r="T144">
            <v>4.3659999999999997</v>
          </cell>
          <cell r="U144">
            <v>4.3659999999999997</v>
          </cell>
          <cell r="V144">
            <v>4.3659999999999997</v>
          </cell>
          <cell r="W144">
            <v>4.3659999999999997</v>
          </cell>
          <cell r="X144">
            <v>4.3659999999999997</v>
          </cell>
          <cell r="Y144">
            <v>4.3659999999999997</v>
          </cell>
          <cell r="Z144">
            <v>4.3659999999999997</v>
          </cell>
          <cell r="AA144">
            <v>4.3659999999999997</v>
          </cell>
          <cell r="AB144">
            <v>4.3659999999999997</v>
          </cell>
          <cell r="AC144">
            <v>4.1470000000000002</v>
          </cell>
        </row>
        <row r="145">
          <cell r="A145" t="str">
            <v>Carbon footprint Floor (MtCO2)</v>
          </cell>
          <cell r="C145">
            <v>0.27800000000000002</v>
          </cell>
          <cell r="D145">
            <v>0.28799999999999998</v>
          </cell>
          <cell r="E145">
            <v>0.52500000000000002</v>
          </cell>
          <cell r="F145">
            <v>0.54500000000000004</v>
          </cell>
          <cell r="G145">
            <v>0.52100000000000002</v>
          </cell>
          <cell r="H145">
            <v>0.53500000000000003</v>
          </cell>
          <cell r="I145">
            <v>0.53700000000000003</v>
          </cell>
          <cell r="J145">
            <v>0.626</v>
          </cell>
          <cell r="K145">
            <v>0.55100000000000005</v>
          </cell>
          <cell r="L145">
            <v>0.502</v>
          </cell>
          <cell r="M145">
            <v>0.47199999999999998</v>
          </cell>
          <cell r="N145">
            <v>0.436</v>
          </cell>
          <cell r="O145">
            <v>0.42499999999999999</v>
          </cell>
          <cell r="P145">
            <v>0.55200000000000005</v>
          </cell>
          <cell r="Q145">
            <v>0.53500000000000003</v>
          </cell>
          <cell r="R145">
            <v>0.505</v>
          </cell>
          <cell r="S145">
            <v>0.70399999999999996</v>
          </cell>
          <cell r="T145">
            <v>0.51800000000000002</v>
          </cell>
          <cell r="U145">
            <v>0.48599999999999999</v>
          </cell>
          <cell r="V145">
            <v>0.42899999999999999</v>
          </cell>
          <cell r="W145">
            <v>0.41899999999999998</v>
          </cell>
          <cell r="X145">
            <v>0.39500000000000002</v>
          </cell>
          <cell r="Y145">
            <v>0.374</v>
          </cell>
          <cell r="Z145">
            <v>0.35399999999999998</v>
          </cell>
          <cell r="AA145">
            <v>0.33600000000000002</v>
          </cell>
          <cell r="AB145">
            <v>0.31900000000000001</v>
          </cell>
          <cell r="AC145">
            <v>0.317</v>
          </cell>
        </row>
        <row r="146">
          <cell r="A146" t="str">
            <v>Carbon footprint renovation (MtCO2)</v>
          </cell>
          <cell r="C146">
            <v>2.6230000000000002</v>
          </cell>
          <cell r="D146">
            <v>2.6379999999999999</v>
          </cell>
          <cell r="E146">
            <v>4.6280000000000001</v>
          </cell>
          <cell r="F146">
            <v>4.68</v>
          </cell>
          <cell r="G146">
            <v>4.3550000000000004</v>
          </cell>
          <cell r="H146">
            <v>4.4340000000000002</v>
          </cell>
          <cell r="I146">
            <v>4.383</v>
          </cell>
          <cell r="J146">
            <v>4.8150000000000004</v>
          </cell>
          <cell r="K146">
            <v>4.2359999999999998</v>
          </cell>
          <cell r="L146">
            <v>3.8620000000000001</v>
          </cell>
          <cell r="M146">
            <v>3.6459999999999999</v>
          </cell>
          <cell r="N146">
            <v>3.3780000000000001</v>
          </cell>
          <cell r="O146">
            <v>3.2709999999999999</v>
          </cell>
          <cell r="P146">
            <v>4.1760000000000002</v>
          </cell>
          <cell r="Q146">
            <v>4.0359999999999996</v>
          </cell>
          <cell r="R146">
            <v>3.8340000000000001</v>
          </cell>
          <cell r="S146">
            <v>5.0960000000000001</v>
          </cell>
          <cell r="T146">
            <v>3.9769999999999999</v>
          </cell>
          <cell r="U146">
            <v>3.7480000000000002</v>
          </cell>
          <cell r="V146">
            <v>3.3319999999999999</v>
          </cell>
          <cell r="W146">
            <v>3.2669999999999999</v>
          </cell>
          <cell r="X146">
            <v>3.089</v>
          </cell>
          <cell r="Y146">
            <v>2.9329999999999998</v>
          </cell>
          <cell r="Z146">
            <v>2.782</v>
          </cell>
          <cell r="AA146">
            <v>2.6459999999999999</v>
          </cell>
          <cell r="AB146">
            <v>2.524</v>
          </cell>
          <cell r="AC146">
            <v>2.472</v>
          </cell>
        </row>
        <row r="147">
          <cell r="A147" t="str">
            <v>Carbon footprint Roof (MtCO2)</v>
          </cell>
          <cell r="C147">
            <v>1.409</v>
          </cell>
          <cell r="D147">
            <v>1.448</v>
          </cell>
          <cell r="E147">
            <v>1.889</v>
          </cell>
          <cell r="F147">
            <v>1.919</v>
          </cell>
          <cell r="G147">
            <v>1.873</v>
          </cell>
          <cell r="H147">
            <v>1.8879999999999999</v>
          </cell>
          <cell r="I147">
            <v>1.8620000000000001</v>
          </cell>
          <cell r="J147">
            <v>2.073</v>
          </cell>
          <cell r="K147">
            <v>1.895</v>
          </cell>
          <cell r="L147">
            <v>1.8009999999999999</v>
          </cell>
          <cell r="M147">
            <v>1.7829999999999999</v>
          </cell>
          <cell r="N147">
            <v>1.714</v>
          </cell>
          <cell r="O147">
            <v>1.6659999999999999</v>
          </cell>
          <cell r="P147">
            <v>2.2069999999999999</v>
          </cell>
          <cell r="Q147">
            <v>2.1150000000000002</v>
          </cell>
          <cell r="R147">
            <v>2.0539999999999998</v>
          </cell>
          <cell r="S147">
            <v>2.5049999999999999</v>
          </cell>
          <cell r="T147">
            <v>2.2349999999999999</v>
          </cell>
          <cell r="U147">
            <v>2.1280000000000001</v>
          </cell>
          <cell r="V147">
            <v>1.9179999999999999</v>
          </cell>
          <cell r="W147">
            <v>1.9</v>
          </cell>
          <cell r="X147">
            <v>1.81</v>
          </cell>
          <cell r="Y147">
            <v>1.73</v>
          </cell>
          <cell r="Z147">
            <v>1.653</v>
          </cell>
          <cell r="AA147">
            <v>1.583</v>
          </cell>
          <cell r="AB147">
            <v>1.516</v>
          </cell>
          <cell r="AC147">
            <v>1.462</v>
          </cell>
        </row>
        <row r="148">
          <cell r="A148" t="str">
            <v>Carbon footprint Wall (MtCO2)</v>
          </cell>
          <cell r="C148">
            <v>0.86699999999999999</v>
          </cell>
          <cell r="D148">
            <v>0.82699999999999996</v>
          </cell>
          <cell r="E148">
            <v>2.0920000000000001</v>
          </cell>
          <cell r="F148">
            <v>2.0870000000000002</v>
          </cell>
          <cell r="G148">
            <v>1.839</v>
          </cell>
          <cell r="H148">
            <v>1.887</v>
          </cell>
          <cell r="I148">
            <v>1.855</v>
          </cell>
          <cell r="J148">
            <v>1.9630000000000001</v>
          </cell>
          <cell r="K148">
            <v>1.653</v>
          </cell>
          <cell r="L148">
            <v>1.431</v>
          </cell>
          <cell r="M148">
            <v>1.268</v>
          </cell>
          <cell r="N148">
            <v>1.1140000000000001</v>
          </cell>
          <cell r="O148">
            <v>1.0669999999999999</v>
          </cell>
          <cell r="P148">
            <v>1.266</v>
          </cell>
          <cell r="Q148">
            <v>1.24</v>
          </cell>
          <cell r="R148">
            <v>1.137</v>
          </cell>
          <cell r="S148">
            <v>1.698</v>
          </cell>
          <cell r="T148">
            <v>1.077</v>
          </cell>
          <cell r="U148">
            <v>0.996</v>
          </cell>
          <cell r="V148">
            <v>0.86199999999999999</v>
          </cell>
          <cell r="W148">
            <v>0.82799999999999996</v>
          </cell>
          <cell r="X148">
            <v>0.77100000000000002</v>
          </cell>
          <cell r="Y148">
            <v>0.72099999999999997</v>
          </cell>
          <cell r="Z148">
            <v>0.67300000000000004</v>
          </cell>
          <cell r="AA148">
            <v>0.63</v>
          </cell>
          <cell r="AB148">
            <v>0.59599999999999997</v>
          </cell>
          <cell r="AC148">
            <v>0.60099999999999998</v>
          </cell>
        </row>
        <row r="149">
          <cell r="A149" t="str">
            <v>Carbon footprint Windows (MtCO2)</v>
          </cell>
          <cell r="C149">
            <v>6.9000000000000006E-2</v>
          </cell>
          <cell r="D149">
            <v>7.3999999999999996E-2</v>
          </cell>
          <cell r="E149">
            <v>0.123</v>
          </cell>
          <cell r="F149">
            <v>0.128</v>
          </cell>
          <cell r="G149">
            <v>0.122</v>
          </cell>
          <cell r="H149">
            <v>0.125</v>
          </cell>
          <cell r="I149">
            <v>0.129</v>
          </cell>
          <cell r="J149">
            <v>0.153</v>
          </cell>
          <cell r="K149">
            <v>0.13700000000000001</v>
          </cell>
          <cell r="L149">
            <v>0.127</v>
          </cell>
          <cell r="M149">
            <v>0.123</v>
          </cell>
          <cell r="N149">
            <v>0.115</v>
          </cell>
          <cell r="O149">
            <v>0.113</v>
          </cell>
          <cell r="P149">
            <v>0.15</v>
          </cell>
          <cell r="Q149">
            <v>0.14599999999999999</v>
          </cell>
          <cell r="R149">
            <v>0.13800000000000001</v>
          </cell>
          <cell r="S149">
            <v>0.189</v>
          </cell>
          <cell r="T149">
            <v>0.14599999999999999</v>
          </cell>
          <cell r="U149">
            <v>0.13800000000000001</v>
          </cell>
          <cell r="V149">
            <v>0.122</v>
          </cell>
          <cell r="W149">
            <v>0.12</v>
          </cell>
          <cell r="X149">
            <v>0.113</v>
          </cell>
          <cell r="Y149">
            <v>0.108</v>
          </cell>
          <cell r="Z149">
            <v>0.10199999999999999</v>
          </cell>
          <cell r="AA149">
            <v>9.7000000000000003E-2</v>
          </cell>
          <cell r="AB149">
            <v>9.2999999999999999E-2</v>
          </cell>
          <cell r="AC149">
            <v>9.1999999999999998E-2</v>
          </cell>
        </row>
        <row r="150">
          <cell r="A150" t="str">
            <v>Carbon tax (Billion euro)</v>
          </cell>
          <cell r="F150">
            <v>0.82499999999999996</v>
          </cell>
          <cell r="G150">
            <v>0.80500000000000005</v>
          </cell>
          <cell r="H150">
            <v>0.78600000000000003</v>
          </cell>
          <cell r="I150">
            <v>0.746</v>
          </cell>
          <cell r="J150">
            <v>0.80600000000000005</v>
          </cell>
          <cell r="K150">
            <v>0.83</v>
          </cell>
          <cell r="L150">
            <v>0.82299999999999995</v>
          </cell>
          <cell r="M150">
            <v>0.79</v>
          </cell>
          <cell r="N150">
            <v>0.751</v>
          </cell>
          <cell r="O150">
            <v>0.71799999999999997</v>
          </cell>
          <cell r="P150">
            <v>0.68100000000000005</v>
          </cell>
          <cell r="Q150">
            <v>0.64</v>
          </cell>
          <cell r="R150">
            <v>0.60199999999999998</v>
          </cell>
          <cell r="S150">
            <v>4.5659999999999998</v>
          </cell>
          <cell r="T150">
            <v>0.496</v>
          </cell>
          <cell r="U150">
            <v>0.44</v>
          </cell>
          <cell r="V150">
            <v>0.39700000000000002</v>
          </cell>
          <cell r="W150">
            <v>0.35499999999999998</v>
          </cell>
          <cell r="X150">
            <v>0.32200000000000001</v>
          </cell>
          <cell r="Y150">
            <v>0.249</v>
          </cell>
          <cell r="Z150">
            <v>0.182</v>
          </cell>
          <cell r="AA150">
            <v>0.11799999999999999</v>
          </cell>
          <cell r="AB150">
            <v>5.7000000000000002E-2</v>
          </cell>
          <cell r="AC150">
            <v>0</v>
          </cell>
        </row>
        <row r="151">
          <cell r="A151" t="str">
            <v>Carbon value (Billion euro)</v>
          </cell>
          <cell r="B151">
            <v>5.1029999999999998</v>
          </cell>
          <cell r="C151">
            <v>5.4829999999999997</v>
          </cell>
          <cell r="D151">
            <v>5.8230000000000004</v>
          </cell>
          <cell r="E151">
            <v>6.0880000000000001</v>
          </cell>
          <cell r="F151">
            <v>6.1840000000000002</v>
          </cell>
          <cell r="G151">
            <v>6.3360000000000003</v>
          </cell>
          <cell r="H151">
            <v>6.4749999999999996</v>
          </cell>
          <cell r="I151">
            <v>6.5650000000000004</v>
          </cell>
          <cell r="J151">
            <v>6.798</v>
          </cell>
          <cell r="K151">
            <v>6.9770000000000003</v>
          </cell>
          <cell r="L151">
            <v>7.1189999999999998</v>
          </cell>
          <cell r="M151">
            <v>7.2039999999999997</v>
          </cell>
          <cell r="N151">
            <v>7.2510000000000003</v>
          </cell>
          <cell r="O151">
            <v>7.4139999999999997</v>
          </cell>
          <cell r="P151">
            <v>7.5110000000000001</v>
          </cell>
          <cell r="Q151">
            <v>7.593</v>
          </cell>
          <cell r="R151">
            <v>7.7030000000000003</v>
          </cell>
          <cell r="S151">
            <v>7.0330000000000004</v>
          </cell>
          <cell r="T151">
            <v>7.7119999999999997</v>
          </cell>
          <cell r="U151">
            <v>7.7270000000000003</v>
          </cell>
          <cell r="V151">
            <v>7.8</v>
          </cell>
          <cell r="W151">
            <v>7.9059999999999997</v>
          </cell>
          <cell r="X151">
            <v>8.0259999999999998</v>
          </cell>
          <cell r="Y151">
            <v>8.1449999999999996</v>
          </cell>
          <cell r="Z151">
            <v>8.2929999999999993</v>
          </cell>
          <cell r="AA151">
            <v>8.4190000000000005</v>
          </cell>
          <cell r="AB151">
            <v>8.5540000000000003</v>
          </cell>
          <cell r="AC151">
            <v>8.6300000000000008</v>
          </cell>
        </row>
        <row r="152">
          <cell r="A152" t="str">
            <v>Carbon value indirect (Billion euro)</v>
          </cell>
          <cell r="C152">
            <v>2.1829999999999998</v>
          </cell>
          <cell r="D152">
            <v>2.7970000000000002</v>
          </cell>
          <cell r="E152">
            <v>3.448</v>
          </cell>
          <cell r="F152">
            <v>3.7570000000000001</v>
          </cell>
          <cell r="G152">
            <v>3.9849999999999999</v>
          </cell>
          <cell r="H152">
            <v>4.3159999999999998</v>
          </cell>
          <cell r="I152">
            <v>3.5030000000000001</v>
          </cell>
          <cell r="J152">
            <v>3.972</v>
          </cell>
          <cell r="K152">
            <v>4.1589999999999998</v>
          </cell>
          <cell r="L152">
            <v>4.3840000000000003</v>
          </cell>
          <cell r="M152">
            <v>4.6459999999999999</v>
          </cell>
          <cell r="N152">
            <v>4.8780000000000001</v>
          </cell>
          <cell r="O152">
            <v>5.16</v>
          </cell>
          <cell r="P152">
            <v>5.867</v>
          </cell>
          <cell r="Q152">
            <v>6.149</v>
          </cell>
          <cell r="R152">
            <v>6.3949999999999996</v>
          </cell>
          <cell r="S152">
            <v>4.7309999999999999</v>
          </cell>
          <cell r="T152">
            <v>4.3639999999999999</v>
          </cell>
          <cell r="U152">
            <v>4.43</v>
          </cell>
          <cell r="V152">
            <v>4.3959999999999999</v>
          </cell>
          <cell r="W152">
            <v>4.55</v>
          </cell>
          <cell r="X152">
            <v>4.6449999999999996</v>
          </cell>
          <cell r="Y152">
            <v>4.7519999999999998</v>
          </cell>
          <cell r="Z152">
            <v>4.8609999999999998</v>
          </cell>
          <cell r="AA152">
            <v>4.9859999999999998</v>
          </cell>
          <cell r="AB152">
            <v>5.1189999999999998</v>
          </cell>
          <cell r="AC152">
            <v>5.13</v>
          </cell>
        </row>
        <row r="153">
          <cell r="A153" t="str">
            <v>Carbon value indirect renovation (Billion euro)</v>
          </cell>
          <cell r="C153">
            <v>0.39900000000000002</v>
          </cell>
          <cell r="D153">
            <v>0.443</v>
          </cell>
          <cell r="E153">
            <v>0.85599999999999998</v>
          </cell>
          <cell r="F153">
            <v>0.94099999999999995</v>
          </cell>
          <cell r="G153">
            <v>0.94499999999999995</v>
          </cell>
          <cell r="H153">
            <v>1.038</v>
          </cell>
          <cell r="I153">
            <v>1.0960000000000001</v>
          </cell>
          <cell r="J153">
            <v>1.3240000000000001</v>
          </cell>
          <cell r="K153">
            <v>1.2709999999999999</v>
          </cell>
          <cell r="L153">
            <v>1.2549999999999999</v>
          </cell>
          <cell r="M153">
            <v>1.276</v>
          </cell>
          <cell r="N153">
            <v>1.2669999999999999</v>
          </cell>
          <cell r="O153">
            <v>1.3080000000000001</v>
          </cell>
          <cell r="P153">
            <v>1.7749999999999999</v>
          </cell>
          <cell r="Q153">
            <v>1.8160000000000001</v>
          </cell>
          <cell r="R153">
            <v>1.821</v>
          </cell>
          <cell r="S153">
            <v>2.548</v>
          </cell>
          <cell r="T153">
            <v>2.08</v>
          </cell>
          <cell r="U153">
            <v>2.0459999999999998</v>
          </cell>
          <cell r="V153">
            <v>1.903</v>
          </cell>
          <cell r="W153">
            <v>1.9470000000000001</v>
          </cell>
          <cell r="X153">
            <v>1.925</v>
          </cell>
          <cell r="Y153">
            <v>1.909</v>
          </cell>
          <cell r="Z153">
            <v>1.8919999999999999</v>
          </cell>
          <cell r="AA153">
            <v>1.881</v>
          </cell>
          <cell r="AB153">
            <v>1.875</v>
          </cell>
          <cell r="AC153">
            <v>1.9159999999999999</v>
          </cell>
        </row>
        <row r="154">
          <cell r="A154" t="str">
            <v>CBA Annuities heater (Billion euro)</v>
          </cell>
          <cell r="C154">
            <v>-1.0269999999999999</v>
          </cell>
          <cell r="D154">
            <v>-1.073</v>
          </cell>
          <cell r="E154">
            <v>-1.0029999999999999</v>
          </cell>
          <cell r="F154">
            <v>-1.0309999999999999</v>
          </cell>
          <cell r="G154">
            <v>-0.95899999999999996</v>
          </cell>
          <cell r="H154">
            <v>-0.88100000000000001</v>
          </cell>
          <cell r="I154">
            <v>-0.80900000000000005</v>
          </cell>
          <cell r="J154">
            <v>-0.90200000000000002</v>
          </cell>
          <cell r="K154">
            <v>-0.82599999999999996</v>
          </cell>
          <cell r="L154">
            <v>-0.84599999999999997</v>
          </cell>
          <cell r="M154">
            <v>-0.871</v>
          </cell>
          <cell r="N154">
            <v>-0.89300000000000002</v>
          </cell>
          <cell r="O154">
            <v>-0.77</v>
          </cell>
          <cell r="P154">
            <v>-0.80800000000000005</v>
          </cell>
          <cell r="Q154">
            <v>-0.82499999999999996</v>
          </cell>
          <cell r="R154">
            <v>-0.752</v>
          </cell>
          <cell r="S154">
            <v>-0.80200000000000005</v>
          </cell>
          <cell r="T154">
            <v>-0.71599999999999997</v>
          </cell>
          <cell r="U154">
            <v>-0.71499999999999997</v>
          </cell>
          <cell r="V154">
            <v>-0.67</v>
          </cell>
          <cell r="W154">
            <v>-0.88700000000000001</v>
          </cell>
          <cell r="X154">
            <v>-0.86599999999999999</v>
          </cell>
          <cell r="Y154">
            <v>-0.91400000000000003</v>
          </cell>
          <cell r="Z154">
            <v>-0.89600000000000002</v>
          </cell>
          <cell r="AA154">
            <v>-0.88</v>
          </cell>
          <cell r="AB154">
            <v>-0.86399999999999999</v>
          </cell>
          <cell r="AC154">
            <v>-0.84699999999999998</v>
          </cell>
        </row>
        <row r="155">
          <cell r="A155" t="str">
            <v>CBA Annuities insulation (Billion euro)</v>
          </cell>
          <cell r="C155">
            <v>-0.38600000000000001</v>
          </cell>
          <cell r="D155">
            <v>-0.377</v>
          </cell>
          <cell r="E155">
            <v>-0.74399999999999999</v>
          </cell>
          <cell r="F155">
            <v>-0.748</v>
          </cell>
          <cell r="G155">
            <v>-0.67800000000000005</v>
          </cell>
          <cell r="H155">
            <v>-0.69099999999999995</v>
          </cell>
          <cell r="I155">
            <v>-0.68600000000000005</v>
          </cell>
          <cell r="J155">
            <v>-0.71199999999999997</v>
          </cell>
          <cell r="K155">
            <v>-0.61899999999999999</v>
          </cell>
          <cell r="L155">
            <v>-0.55500000000000005</v>
          </cell>
          <cell r="M155">
            <v>-0.51200000000000001</v>
          </cell>
          <cell r="N155">
            <v>-0.46600000000000003</v>
          </cell>
          <cell r="O155">
            <v>-0.44700000000000001</v>
          </cell>
          <cell r="P155">
            <v>-0.55100000000000005</v>
          </cell>
          <cell r="Q155">
            <v>-0.53400000000000003</v>
          </cell>
          <cell r="R155">
            <v>-0.499</v>
          </cell>
          <cell r="S155">
            <v>-0.69599999999999995</v>
          </cell>
          <cell r="T155">
            <v>-0.52500000000000002</v>
          </cell>
          <cell r="U155">
            <v>-0.49199999999999999</v>
          </cell>
          <cell r="V155">
            <v>-0.434</v>
          </cell>
          <cell r="W155">
            <v>-0.42099999999999999</v>
          </cell>
          <cell r="X155">
            <v>-0.39800000000000002</v>
          </cell>
          <cell r="Y155">
            <v>-0.378</v>
          </cell>
          <cell r="Z155">
            <v>-0.35799999999999998</v>
          </cell>
          <cell r="AA155">
            <v>-0.34100000000000003</v>
          </cell>
          <cell r="AB155">
            <v>-0.32500000000000001</v>
          </cell>
          <cell r="AC155">
            <v>-0.32200000000000001</v>
          </cell>
        </row>
        <row r="156">
          <cell r="A156" t="str">
            <v>CBA benefits (Billion euro)</v>
          </cell>
          <cell r="C156">
            <v>2.004</v>
          </cell>
          <cell r="D156">
            <v>1.8440000000000001</v>
          </cell>
          <cell r="E156">
            <v>2.355</v>
          </cell>
          <cell r="F156">
            <v>2.637</v>
          </cell>
          <cell r="G156">
            <v>2.0430000000000001</v>
          </cell>
          <cell r="H156">
            <v>1.9730000000000001</v>
          </cell>
          <cell r="I156">
            <v>1.84</v>
          </cell>
          <cell r="J156">
            <v>1.9079999999999999</v>
          </cell>
          <cell r="K156">
            <v>1.738</v>
          </cell>
          <cell r="L156">
            <v>1.5980000000000001</v>
          </cell>
          <cell r="M156">
            <v>1.5209999999999999</v>
          </cell>
          <cell r="N156">
            <v>1.4330000000000001</v>
          </cell>
          <cell r="O156">
            <v>1.0660000000000001</v>
          </cell>
          <cell r="P156">
            <v>1.1379999999999999</v>
          </cell>
          <cell r="Q156">
            <v>1.089</v>
          </cell>
          <cell r="R156">
            <v>0.93600000000000005</v>
          </cell>
          <cell r="S156">
            <v>2.6160000000000001</v>
          </cell>
          <cell r="T156">
            <v>-0.59899999999999998</v>
          </cell>
          <cell r="U156">
            <v>0.79800000000000004</v>
          </cell>
          <cell r="V156">
            <v>0.68899999999999995</v>
          </cell>
          <cell r="W156">
            <v>0.47199999999999998</v>
          </cell>
          <cell r="X156">
            <v>0.44500000000000001</v>
          </cell>
          <cell r="Y156">
            <v>0.42099999999999999</v>
          </cell>
          <cell r="Z156">
            <v>0.36699999999999999</v>
          </cell>
          <cell r="AA156">
            <v>0.38300000000000001</v>
          </cell>
          <cell r="AB156">
            <v>0.34599999999999997</v>
          </cell>
          <cell r="AC156">
            <v>0.373</v>
          </cell>
        </row>
        <row r="157">
          <cell r="A157" t="str">
            <v>CBA Carbon Emission indirect (Billion euro)</v>
          </cell>
          <cell r="C157">
            <v>-2.1000000000000001E-2</v>
          </cell>
          <cell r="D157">
            <v>-2.3E-2</v>
          </cell>
          <cell r="E157">
            <v>-4.4999999999999998E-2</v>
          </cell>
          <cell r="F157">
            <v>-4.9000000000000002E-2</v>
          </cell>
          <cell r="G157">
            <v>-4.9000000000000002E-2</v>
          </cell>
          <cell r="H157">
            <v>-5.3999999999999999E-2</v>
          </cell>
          <cell r="I157">
            <v>-5.7000000000000002E-2</v>
          </cell>
          <cell r="J157">
            <v>-6.9000000000000006E-2</v>
          </cell>
          <cell r="K157">
            <v>-6.7000000000000004E-2</v>
          </cell>
          <cell r="L157">
            <v>-6.6000000000000003E-2</v>
          </cell>
          <cell r="M157">
            <v>-6.7000000000000004E-2</v>
          </cell>
          <cell r="N157">
            <v>-6.6000000000000003E-2</v>
          </cell>
          <cell r="O157">
            <v>-6.8000000000000005E-2</v>
          </cell>
          <cell r="P157">
            <v>-9.2999999999999999E-2</v>
          </cell>
          <cell r="Q157">
            <v>-9.5000000000000001E-2</v>
          </cell>
          <cell r="R157">
            <v>-9.5000000000000001E-2</v>
          </cell>
          <cell r="S157">
            <v>-0.13300000000000001</v>
          </cell>
          <cell r="T157">
            <v>-0.109</v>
          </cell>
          <cell r="U157">
            <v>-0.107</v>
          </cell>
          <cell r="V157">
            <v>-0.1</v>
          </cell>
          <cell r="W157">
            <v>-0.10199999999999999</v>
          </cell>
          <cell r="X157">
            <v>-0.10100000000000001</v>
          </cell>
          <cell r="Y157">
            <v>-0.1</v>
          </cell>
          <cell r="Z157">
            <v>-9.9000000000000005E-2</v>
          </cell>
          <cell r="AA157">
            <v>-9.8000000000000004E-2</v>
          </cell>
          <cell r="AB157">
            <v>-9.8000000000000004E-2</v>
          </cell>
          <cell r="AC157">
            <v>-0.1</v>
          </cell>
        </row>
        <row r="158">
          <cell r="A158" t="str">
            <v>CBA COFP (Billion euro)</v>
          </cell>
          <cell r="C158">
            <v>0</v>
          </cell>
          <cell r="D158">
            <v>0</v>
          </cell>
          <cell r="E158">
            <v>-4.2999999999999997E-2</v>
          </cell>
          <cell r="F158">
            <v>-4.2000000000000003E-2</v>
          </cell>
          <cell r="G158">
            <v>-0.04</v>
          </cell>
          <cell r="H158">
            <v>-4.3999999999999997E-2</v>
          </cell>
          <cell r="I158">
            <v>-4.8000000000000001E-2</v>
          </cell>
          <cell r="J158">
            <v>-0.05</v>
          </cell>
          <cell r="K158">
            <v>-4.3999999999999997E-2</v>
          </cell>
          <cell r="L158">
            <v>-4.1000000000000002E-2</v>
          </cell>
          <cell r="M158">
            <v>-0.04</v>
          </cell>
          <cell r="N158">
            <v>-3.9E-2</v>
          </cell>
          <cell r="O158">
            <v>-3.3000000000000002E-2</v>
          </cell>
          <cell r="P158">
            <v>-3.7999999999999999E-2</v>
          </cell>
          <cell r="Q158">
            <v>-3.7999999999999999E-2</v>
          </cell>
          <cell r="R158">
            <v>-3.5000000000000003E-2</v>
          </cell>
          <cell r="S158">
            <v>-8.0000000000000002E-3</v>
          </cell>
          <cell r="T158">
            <v>-3.7999999999999999E-2</v>
          </cell>
          <cell r="U158">
            <v>-3.6999999999999998E-2</v>
          </cell>
          <cell r="V158">
            <v>-3.5000000000000003E-2</v>
          </cell>
          <cell r="W158">
            <v>-4.7E-2</v>
          </cell>
          <cell r="X158">
            <v>-4.8000000000000001E-2</v>
          </cell>
          <cell r="Y158">
            <v>-4.8000000000000001E-2</v>
          </cell>
          <cell r="Z158">
            <v>-4.9000000000000002E-2</v>
          </cell>
          <cell r="AA158">
            <v>-4.7E-2</v>
          </cell>
          <cell r="AB158">
            <v>-4.4999999999999998E-2</v>
          </cell>
          <cell r="AC158">
            <v>-4.3999999999999997E-2</v>
          </cell>
        </row>
        <row r="159">
          <cell r="A159" t="str">
            <v>CBA Consumption saving (TWh)</v>
          </cell>
          <cell r="C159">
            <v>7.181</v>
          </cell>
          <cell r="D159">
            <v>6.98</v>
          </cell>
          <cell r="E159">
            <v>8.0679999999999996</v>
          </cell>
          <cell r="F159">
            <v>10.035</v>
          </cell>
          <cell r="G159">
            <v>6.8019999999999996</v>
          </cell>
          <cell r="H159">
            <v>6.2830000000000004</v>
          </cell>
          <cell r="I159">
            <v>5.4379999999999997</v>
          </cell>
          <cell r="J159">
            <v>6.484</v>
          </cell>
          <cell r="K159">
            <v>5.367</v>
          </cell>
          <cell r="L159">
            <v>5.0190000000000001</v>
          </cell>
          <cell r="M159">
            <v>4.8079999999999998</v>
          </cell>
          <cell r="N159">
            <v>4.6929999999999996</v>
          </cell>
          <cell r="O159">
            <v>3.68</v>
          </cell>
          <cell r="P159">
            <v>4.1669999999999998</v>
          </cell>
          <cell r="Q159">
            <v>4.1680000000000001</v>
          </cell>
          <cell r="R159">
            <v>3.5739999999999998</v>
          </cell>
          <cell r="S159">
            <v>11.593</v>
          </cell>
          <cell r="T159">
            <v>-3.8239999999999998</v>
          </cell>
          <cell r="U159">
            <v>2.9340000000000002</v>
          </cell>
          <cell r="V159">
            <v>2.5579999999999998</v>
          </cell>
          <cell r="W159">
            <v>1.7430000000000001</v>
          </cell>
          <cell r="X159">
            <v>1.4930000000000001</v>
          </cell>
          <cell r="Y159">
            <v>1.516</v>
          </cell>
          <cell r="Z159">
            <v>1.262</v>
          </cell>
          <cell r="AA159">
            <v>1.226</v>
          </cell>
          <cell r="AB159">
            <v>1.2190000000000001</v>
          </cell>
          <cell r="AC159">
            <v>1.2370000000000001</v>
          </cell>
        </row>
        <row r="160">
          <cell r="A160" t="str">
            <v>CBA Consumption saving EE (Billion euro)</v>
          </cell>
          <cell r="C160">
            <v>0.51100000000000001</v>
          </cell>
          <cell r="D160">
            <v>0.499</v>
          </cell>
          <cell r="E160">
            <v>0.66700000000000004</v>
          </cell>
          <cell r="F160">
            <v>0.64100000000000001</v>
          </cell>
          <cell r="G160">
            <v>0.55400000000000005</v>
          </cell>
          <cell r="H160">
            <v>0.52400000000000002</v>
          </cell>
          <cell r="I160">
            <v>0.47699999999999998</v>
          </cell>
          <cell r="J160">
            <v>0.51700000000000002</v>
          </cell>
          <cell r="K160">
            <v>0.439</v>
          </cell>
          <cell r="L160">
            <v>0.40300000000000002</v>
          </cell>
          <cell r="M160">
            <v>0.377</v>
          </cell>
          <cell r="N160">
            <v>0.35599999999999998</v>
          </cell>
          <cell r="O160">
            <v>0.31900000000000001</v>
          </cell>
          <cell r="P160">
            <v>0.35499999999999998</v>
          </cell>
          <cell r="Q160">
            <v>0.34699999999999998</v>
          </cell>
          <cell r="R160">
            <v>0.32</v>
          </cell>
          <cell r="S160">
            <v>0.34399999999999997</v>
          </cell>
          <cell r="T160">
            <v>0.29299999999999998</v>
          </cell>
          <cell r="U160">
            <v>0.27400000000000002</v>
          </cell>
          <cell r="V160">
            <v>0.248</v>
          </cell>
          <cell r="W160">
            <v>0.13900000000000001</v>
          </cell>
          <cell r="X160">
            <v>0.128</v>
          </cell>
          <cell r="Y160">
            <v>0.11700000000000001</v>
          </cell>
          <cell r="Z160">
            <v>0.109</v>
          </cell>
          <cell r="AA160">
            <v>0.1</v>
          </cell>
          <cell r="AB160">
            <v>9.2999999999999999E-2</v>
          </cell>
          <cell r="AC160">
            <v>0.09</v>
          </cell>
        </row>
        <row r="161">
          <cell r="A161" t="str">
            <v>CBA Consumption saving EE (TWh)</v>
          </cell>
          <cell r="C161">
            <v>5.9809999999999999</v>
          </cell>
          <cell r="D161">
            <v>6.0810000000000004</v>
          </cell>
          <cell r="E161">
            <v>7.673</v>
          </cell>
          <cell r="F161">
            <v>7.843</v>
          </cell>
          <cell r="G161">
            <v>6.6970000000000001</v>
          </cell>
          <cell r="H161">
            <v>6.1589999999999998</v>
          </cell>
          <cell r="I161">
            <v>5.36</v>
          </cell>
          <cell r="J161">
            <v>6.1550000000000002</v>
          </cell>
          <cell r="K161">
            <v>5.0970000000000004</v>
          </cell>
          <cell r="L161">
            <v>4.82</v>
          </cell>
          <cell r="M161">
            <v>4.6660000000000004</v>
          </cell>
          <cell r="N161">
            <v>4.5609999999999999</v>
          </cell>
          <cell r="O161">
            <v>3.6339999999999999</v>
          </cell>
          <cell r="P161">
            <v>4.1340000000000003</v>
          </cell>
          <cell r="Q161">
            <v>4.1100000000000003</v>
          </cell>
          <cell r="R161">
            <v>3.5790000000000002</v>
          </cell>
          <cell r="S161">
            <v>4.0679999999999996</v>
          </cell>
          <cell r="T161">
            <v>3.1819999999999999</v>
          </cell>
          <cell r="U161">
            <v>3.0089999999999999</v>
          </cell>
          <cell r="V161">
            <v>2.6120000000000001</v>
          </cell>
          <cell r="W161">
            <v>1.8069999999999999</v>
          </cell>
          <cell r="X161">
            <v>1.546</v>
          </cell>
          <cell r="Y161">
            <v>1.6639999999999999</v>
          </cell>
          <cell r="Z161">
            <v>1.409</v>
          </cell>
          <cell r="AA161">
            <v>1.373</v>
          </cell>
          <cell r="AB161">
            <v>1.365</v>
          </cell>
          <cell r="AC161">
            <v>1.3819999999999999</v>
          </cell>
        </row>
        <row r="162">
          <cell r="A162" t="str">
            <v>CBA Consumption saving insulation (TWh)</v>
          </cell>
          <cell r="C162">
            <v>1.921</v>
          </cell>
          <cell r="D162">
            <v>1.768</v>
          </cell>
          <cell r="E162">
            <v>3.71</v>
          </cell>
          <cell r="F162">
            <v>3.6549999999999998</v>
          </cell>
          <cell r="G162">
            <v>3.0739999999999998</v>
          </cell>
          <cell r="H162">
            <v>3.1019999999999999</v>
          </cell>
          <cell r="I162">
            <v>2.835</v>
          </cell>
          <cell r="J162">
            <v>3.0550000000000002</v>
          </cell>
          <cell r="K162">
            <v>2.5049999999999999</v>
          </cell>
          <cell r="L162">
            <v>2.0920000000000001</v>
          </cell>
          <cell r="M162">
            <v>1.758</v>
          </cell>
          <cell r="N162">
            <v>1.49</v>
          </cell>
          <cell r="O162">
            <v>1.4810000000000001</v>
          </cell>
          <cell r="P162">
            <v>1.76</v>
          </cell>
          <cell r="Q162">
            <v>1.6619999999999999</v>
          </cell>
          <cell r="R162">
            <v>1.484</v>
          </cell>
          <cell r="S162">
            <v>2.1230000000000002</v>
          </cell>
          <cell r="T162">
            <v>1.349</v>
          </cell>
          <cell r="U162">
            <v>1.222</v>
          </cell>
          <cell r="V162">
            <v>1.0469999999999999</v>
          </cell>
          <cell r="W162">
            <v>0.98099999999999998</v>
          </cell>
          <cell r="X162">
            <v>0.89400000000000002</v>
          </cell>
          <cell r="Y162">
            <v>0.81399999999999995</v>
          </cell>
          <cell r="Z162">
            <v>0.74299999999999999</v>
          </cell>
          <cell r="AA162">
            <v>0.67900000000000005</v>
          </cell>
          <cell r="AB162">
            <v>0.63500000000000001</v>
          </cell>
          <cell r="AC162">
            <v>0.628</v>
          </cell>
        </row>
        <row r="163">
          <cell r="A163" t="str">
            <v>CBA Consumption saving prices (Billion euro)</v>
          </cell>
          <cell r="C163">
            <v>0.20899999999999999</v>
          </cell>
          <cell r="D163">
            <v>0.13900000000000001</v>
          </cell>
          <cell r="E163">
            <v>3.9E-2</v>
          </cell>
          <cell r="F163">
            <v>0.17199999999999999</v>
          </cell>
          <cell r="G163">
            <v>1.0999999999999999E-2</v>
          </cell>
          <cell r="H163">
            <v>1.2E-2</v>
          </cell>
          <cell r="I163">
            <v>8.0000000000000002E-3</v>
          </cell>
          <cell r="J163">
            <v>2.7E-2</v>
          </cell>
          <cell r="K163">
            <v>2.1999999999999999E-2</v>
          </cell>
          <cell r="L163">
            <v>1.7000000000000001E-2</v>
          </cell>
          <cell r="M163">
            <v>1.2E-2</v>
          </cell>
          <cell r="N163">
            <v>1.0999999999999999E-2</v>
          </cell>
          <cell r="O163">
            <v>4.0000000000000001E-3</v>
          </cell>
          <cell r="P163">
            <v>3.0000000000000001E-3</v>
          </cell>
          <cell r="Q163">
            <v>0.01</v>
          </cell>
          <cell r="R163">
            <v>0</v>
          </cell>
          <cell r="S163">
            <v>0.56399999999999995</v>
          </cell>
          <cell r="T163">
            <v>-0.52400000000000002</v>
          </cell>
          <cell r="U163">
            <v>-5.0000000000000001E-3</v>
          </cell>
          <cell r="V163">
            <v>-4.0000000000000001E-3</v>
          </cell>
          <cell r="W163">
            <v>-4.0000000000000001E-3</v>
          </cell>
          <cell r="X163">
            <v>-4.0000000000000001E-3</v>
          </cell>
          <cell r="Y163">
            <v>-1.0999999999999999E-2</v>
          </cell>
          <cell r="Z163">
            <v>-1.0999999999999999E-2</v>
          </cell>
          <cell r="AA163">
            <v>-1.0999999999999999E-2</v>
          </cell>
          <cell r="AB163">
            <v>-1.0999999999999999E-2</v>
          </cell>
          <cell r="AC163">
            <v>-1.0999999999999999E-2</v>
          </cell>
        </row>
        <row r="164">
          <cell r="A164" t="str">
            <v>CBA Consumption saving prices (TWh)</v>
          </cell>
          <cell r="C164">
            <v>1.1990000000000001</v>
          </cell>
          <cell r="D164">
            <v>0.89900000000000002</v>
          </cell>
          <cell r="E164">
            <v>0.39500000000000002</v>
          </cell>
          <cell r="F164">
            <v>2.1920000000000002</v>
          </cell>
          <cell r="G164">
            <v>0.105</v>
          </cell>
          <cell r="H164">
            <v>0.124</v>
          </cell>
          <cell r="I164">
            <v>7.8E-2</v>
          </cell>
          <cell r="J164">
            <v>0.32900000000000001</v>
          </cell>
          <cell r="K164">
            <v>0.27</v>
          </cell>
          <cell r="L164">
            <v>0.19900000000000001</v>
          </cell>
          <cell r="M164">
            <v>0.14199999999999999</v>
          </cell>
          <cell r="N164">
            <v>0.13200000000000001</v>
          </cell>
          <cell r="O164">
            <v>4.5999999999999999E-2</v>
          </cell>
          <cell r="P164">
            <v>3.3000000000000002E-2</v>
          </cell>
          <cell r="Q164">
            <v>5.8999999999999997E-2</v>
          </cell>
          <cell r="R164">
            <v>-5.0000000000000001E-3</v>
          </cell>
          <cell r="S164">
            <v>7.5250000000000004</v>
          </cell>
          <cell r="T164">
            <v>-7.0060000000000002</v>
          </cell>
          <cell r="U164">
            <v>-7.4999999999999997E-2</v>
          </cell>
          <cell r="V164">
            <v>-5.5E-2</v>
          </cell>
          <cell r="W164">
            <v>-6.3E-2</v>
          </cell>
          <cell r="X164">
            <v>-5.2999999999999999E-2</v>
          </cell>
          <cell r="Y164">
            <v>-0.14799999999999999</v>
          </cell>
          <cell r="Z164">
            <v>-0.14699999999999999</v>
          </cell>
          <cell r="AA164">
            <v>-0.14699999999999999</v>
          </cell>
          <cell r="AB164">
            <v>-0.14599999999999999</v>
          </cell>
          <cell r="AC164">
            <v>-0.14499999999999999</v>
          </cell>
        </row>
        <row r="165">
          <cell r="A165" t="str">
            <v>CBA Consumption saving switch fuel (TWh)</v>
          </cell>
          <cell r="C165">
            <v>4.0599999999999996</v>
          </cell>
          <cell r="D165">
            <v>4.3129999999999997</v>
          </cell>
          <cell r="E165">
            <v>3.9630000000000001</v>
          </cell>
          <cell r="F165">
            <v>4.1879999999999997</v>
          </cell>
          <cell r="G165">
            <v>3.6240000000000001</v>
          </cell>
          <cell r="H165">
            <v>3.0569999999999999</v>
          </cell>
          <cell r="I165">
            <v>2.524</v>
          </cell>
          <cell r="J165">
            <v>3.1</v>
          </cell>
          <cell r="K165">
            <v>2.5920000000000001</v>
          </cell>
          <cell r="L165">
            <v>2.7280000000000002</v>
          </cell>
          <cell r="M165">
            <v>2.9079999999999999</v>
          </cell>
          <cell r="N165">
            <v>3.0710000000000002</v>
          </cell>
          <cell r="O165">
            <v>2.153</v>
          </cell>
          <cell r="P165">
            <v>2.3740000000000001</v>
          </cell>
          <cell r="Q165">
            <v>2.4470000000000001</v>
          </cell>
          <cell r="R165">
            <v>2.0950000000000002</v>
          </cell>
          <cell r="S165">
            <v>1.946</v>
          </cell>
          <cell r="T165">
            <v>1.833</v>
          </cell>
          <cell r="U165">
            <v>1.7869999999999999</v>
          </cell>
          <cell r="V165">
            <v>1.5660000000000001</v>
          </cell>
          <cell r="W165">
            <v>0.82599999999999996</v>
          </cell>
          <cell r="X165">
            <v>0.65200000000000002</v>
          </cell>
          <cell r="Y165">
            <v>0.85</v>
          </cell>
          <cell r="Z165">
            <v>0.66600000000000004</v>
          </cell>
          <cell r="AA165">
            <v>0.69399999999999995</v>
          </cell>
          <cell r="AB165">
            <v>0.73</v>
          </cell>
          <cell r="AC165">
            <v>0.753</v>
          </cell>
        </row>
        <row r="166">
          <cell r="A166" t="str">
            <v>CBA cost (Billion euro)</v>
          </cell>
          <cell r="C166">
            <v>-1.708</v>
          </cell>
          <cell r="D166">
            <v>-1.6639999999999999</v>
          </cell>
          <cell r="E166">
            <v>-1.89</v>
          </cell>
          <cell r="F166">
            <v>-2.13</v>
          </cell>
          <cell r="G166">
            <v>-1.7410000000000001</v>
          </cell>
          <cell r="H166">
            <v>-1.6879999999999999</v>
          </cell>
          <cell r="I166">
            <v>-1.611</v>
          </cell>
          <cell r="J166">
            <v>-1.774</v>
          </cell>
          <cell r="K166">
            <v>-1.589</v>
          </cell>
          <cell r="L166">
            <v>-1.5329999999999999</v>
          </cell>
          <cell r="M166">
            <v>-1.508</v>
          </cell>
          <cell r="N166">
            <v>-1.4810000000000001</v>
          </cell>
          <cell r="O166">
            <v>-1.3240000000000001</v>
          </cell>
          <cell r="P166">
            <v>-1.494</v>
          </cell>
          <cell r="Q166">
            <v>-1.5069999999999999</v>
          </cell>
          <cell r="R166">
            <v>-1.3819999999999999</v>
          </cell>
          <cell r="S166">
            <v>-3.399</v>
          </cell>
          <cell r="T166">
            <v>-0.55000000000000004</v>
          </cell>
          <cell r="U166">
            <v>-1.343</v>
          </cell>
          <cell r="V166">
            <v>-1.232</v>
          </cell>
          <cell r="W166">
            <v>-1.45</v>
          </cell>
          <cell r="X166">
            <v>-1.4059999999999999</v>
          </cell>
          <cell r="Y166">
            <v>-1.4219999999999999</v>
          </cell>
          <cell r="Z166">
            <v>-1.3859999999999999</v>
          </cell>
          <cell r="AA166">
            <v>-1.35</v>
          </cell>
          <cell r="AB166">
            <v>-1.3160000000000001</v>
          </cell>
          <cell r="AC166">
            <v>-1.2969999999999999</v>
          </cell>
        </row>
        <row r="167">
          <cell r="A167" t="str">
            <v>CBA Emission direct (Billion euro)</v>
          </cell>
          <cell r="C167">
            <v>0.622</v>
          </cell>
          <cell r="D167">
            <v>0.63100000000000001</v>
          </cell>
          <cell r="E167">
            <v>0.81699999999999995</v>
          </cell>
          <cell r="F167">
            <v>1.036</v>
          </cell>
          <cell r="G167">
            <v>0.79400000000000004</v>
          </cell>
          <cell r="H167">
            <v>0.80800000000000005</v>
          </cell>
          <cell r="I167">
            <v>0.77</v>
          </cell>
          <cell r="J167">
            <v>0.86799999999999999</v>
          </cell>
          <cell r="K167">
            <v>0.85</v>
          </cell>
          <cell r="L167">
            <v>0.81299999999999994</v>
          </cell>
          <cell r="M167">
            <v>0.81799999999999995</v>
          </cell>
          <cell r="N167">
            <v>0.79200000000000004</v>
          </cell>
          <cell r="O167">
            <v>0.52600000000000002</v>
          </cell>
          <cell r="P167">
            <v>0.57699999999999996</v>
          </cell>
          <cell r="Q167">
            <v>0.54600000000000004</v>
          </cell>
          <cell r="R167">
            <v>0.45800000000000002</v>
          </cell>
          <cell r="S167">
            <v>1.486</v>
          </cell>
          <cell r="T167">
            <v>-0.498</v>
          </cell>
          <cell r="U167">
            <v>0.41099999999999998</v>
          </cell>
          <cell r="V167">
            <v>0.34200000000000003</v>
          </cell>
          <cell r="W167">
            <v>0.27500000000000002</v>
          </cell>
          <cell r="X167">
            <v>0.26600000000000001</v>
          </cell>
          <cell r="Y167">
            <v>0.26300000000000001</v>
          </cell>
          <cell r="Z167">
            <v>0.223</v>
          </cell>
          <cell r="AA167">
            <v>0.253</v>
          </cell>
          <cell r="AB167">
            <v>0.23400000000000001</v>
          </cell>
          <cell r="AC167">
            <v>0.26500000000000001</v>
          </cell>
        </row>
        <row r="168">
          <cell r="A168" t="str">
            <v>CBA Health cost (Billion euro)</v>
          </cell>
          <cell r="C168">
            <v>0.495</v>
          </cell>
          <cell r="D168">
            <v>0.41699999999999998</v>
          </cell>
          <cell r="E168">
            <v>0.61599999999999999</v>
          </cell>
          <cell r="F168">
            <v>0.56899999999999995</v>
          </cell>
          <cell r="G168">
            <v>0.47899999999999998</v>
          </cell>
          <cell r="H168">
            <v>0.41799999999999998</v>
          </cell>
          <cell r="I168">
            <v>0.377</v>
          </cell>
          <cell r="J168">
            <v>0.29399999999999998</v>
          </cell>
          <cell r="K168">
            <v>0.23300000000000001</v>
          </cell>
          <cell r="L168">
            <v>0.184</v>
          </cell>
          <cell r="M168">
            <v>0.14599999999999999</v>
          </cell>
          <cell r="N168">
            <v>0.11600000000000001</v>
          </cell>
          <cell r="O168">
            <v>9.0999999999999998E-2</v>
          </cell>
          <cell r="P168">
            <v>7.3999999999999996E-2</v>
          </cell>
          <cell r="Q168">
            <v>6.3E-2</v>
          </cell>
          <cell r="R168">
            <v>5.0999999999999997E-2</v>
          </cell>
          <cell r="S168">
            <v>5.0999999999999997E-2</v>
          </cell>
          <cell r="T168">
            <v>3.5999999999999997E-2</v>
          </cell>
          <cell r="U168">
            <v>2.9000000000000001E-2</v>
          </cell>
          <cell r="V168">
            <v>2.4E-2</v>
          </cell>
          <cell r="W168">
            <v>1.6E-2</v>
          </cell>
          <cell r="X168">
            <v>1.4E-2</v>
          </cell>
          <cell r="Y168">
            <v>1.2E-2</v>
          </cell>
          <cell r="Z168">
            <v>0.01</v>
          </cell>
          <cell r="AA168">
            <v>8.9999999999999993E-3</v>
          </cell>
          <cell r="AB168">
            <v>1E-3</v>
          </cell>
          <cell r="AC168">
            <v>0</v>
          </cell>
        </row>
        <row r="169">
          <cell r="A169" t="str">
            <v>CBA Rebound EE (TWh)</v>
          </cell>
          <cell r="C169">
            <v>0.91800000000000004</v>
          </cell>
          <cell r="D169">
            <v>0.78500000000000003</v>
          </cell>
          <cell r="E169">
            <v>1.244</v>
          </cell>
          <cell r="F169">
            <v>1.216</v>
          </cell>
          <cell r="G169">
            <v>1.2350000000000001</v>
          </cell>
          <cell r="H169">
            <v>1.3660000000000001</v>
          </cell>
          <cell r="I169">
            <v>1.44</v>
          </cell>
          <cell r="J169">
            <v>1.2809999999999999</v>
          </cell>
          <cell r="K169">
            <v>1.3260000000000001</v>
          </cell>
          <cell r="L169">
            <v>1.2</v>
          </cell>
          <cell r="M169">
            <v>1.077</v>
          </cell>
          <cell r="N169">
            <v>0.97399999999999998</v>
          </cell>
          <cell r="O169">
            <v>0.78600000000000003</v>
          </cell>
          <cell r="P169">
            <v>0.76300000000000001</v>
          </cell>
          <cell r="Q169">
            <v>0.69499999999999995</v>
          </cell>
          <cell r="R169">
            <v>0.59099999999999997</v>
          </cell>
          <cell r="S169">
            <v>0.76700000000000002</v>
          </cell>
          <cell r="T169">
            <v>0.52600000000000002</v>
          </cell>
          <cell r="U169">
            <v>0.49299999999999999</v>
          </cell>
          <cell r="V169">
            <v>0.441</v>
          </cell>
          <cell r="W169">
            <v>0.29899999999999999</v>
          </cell>
          <cell r="X169">
            <v>0.27100000000000002</v>
          </cell>
          <cell r="Y169">
            <v>0.25800000000000001</v>
          </cell>
          <cell r="Z169">
            <v>0.23300000000000001</v>
          </cell>
          <cell r="AA169">
            <v>0.216</v>
          </cell>
          <cell r="AB169">
            <v>0.20200000000000001</v>
          </cell>
          <cell r="AC169">
            <v>0.193</v>
          </cell>
        </row>
        <row r="170">
          <cell r="A170" t="str">
            <v>CBA Thermal comfort EE (Billion euro)</v>
          </cell>
          <cell r="C170">
            <v>0.16700000000000001</v>
          </cell>
          <cell r="D170">
            <v>0.158</v>
          </cell>
          <cell r="E170">
            <v>0.215</v>
          </cell>
          <cell r="F170">
            <v>0.218</v>
          </cell>
          <cell r="G170">
            <v>0.20599999999999999</v>
          </cell>
          <cell r="H170">
            <v>0.21</v>
          </cell>
          <cell r="I170">
            <v>0.20799999999999999</v>
          </cell>
          <cell r="J170">
            <v>0.20200000000000001</v>
          </cell>
          <cell r="K170">
            <v>0.19500000000000001</v>
          </cell>
          <cell r="L170">
            <v>0.18099999999999999</v>
          </cell>
          <cell r="M170">
            <v>0.16800000000000001</v>
          </cell>
          <cell r="N170">
            <v>0.158</v>
          </cell>
          <cell r="O170">
            <v>0.126</v>
          </cell>
          <cell r="P170">
            <v>0.13</v>
          </cell>
          <cell r="Q170">
            <v>0.123</v>
          </cell>
          <cell r="R170">
            <v>0.107</v>
          </cell>
          <cell r="S170">
            <v>0.17199999999999999</v>
          </cell>
          <cell r="T170">
            <v>9.4E-2</v>
          </cell>
          <cell r="U170">
            <v>8.7999999999999995E-2</v>
          </cell>
          <cell r="V170">
            <v>7.9000000000000001E-2</v>
          </cell>
          <cell r="W170">
            <v>4.5999999999999999E-2</v>
          </cell>
          <cell r="X170">
            <v>4.1000000000000002E-2</v>
          </cell>
          <cell r="Y170">
            <v>0.04</v>
          </cell>
          <cell r="Z170">
            <v>3.5000000000000003E-2</v>
          </cell>
          <cell r="AA170">
            <v>3.3000000000000002E-2</v>
          </cell>
          <cell r="AB170">
            <v>3.1E-2</v>
          </cell>
          <cell r="AC170">
            <v>2.9000000000000001E-2</v>
          </cell>
        </row>
        <row r="171">
          <cell r="A171" t="str">
            <v>CBA Thermal loss prices (Billion euro)</v>
          </cell>
          <cell r="C171">
            <v>-0.27400000000000002</v>
          </cell>
          <cell r="D171">
            <v>-0.191</v>
          </cell>
          <cell r="E171">
            <v>-5.5E-2</v>
          </cell>
          <cell r="F171">
            <v>-0.26</v>
          </cell>
          <cell r="G171">
            <v>-1.4999999999999999E-2</v>
          </cell>
          <cell r="H171">
            <v>-1.7000000000000001E-2</v>
          </cell>
          <cell r="I171">
            <v>-1.0999999999999999E-2</v>
          </cell>
          <cell r="J171">
            <v>-4.1000000000000002E-2</v>
          </cell>
          <cell r="K171">
            <v>-3.3000000000000002E-2</v>
          </cell>
          <cell r="L171">
            <v>-2.5000000000000001E-2</v>
          </cell>
          <cell r="M171">
            <v>-1.7999999999999999E-2</v>
          </cell>
          <cell r="N171">
            <v>-1.7000000000000001E-2</v>
          </cell>
          <cell r="O171">
            <v>-6.0000000000000001E-3</v>
          </cell>
          <cell r="P171">
            <v>-5.0000000000000001E-3</v>
          </cell>
          <cell r="Q171">
            <v>-1.4E-2</v>
          </cell>
          <cell r="R171">
            <v>0</v>
          </cell>
          <cell r="S171">
            <v>-1.76</v>
          </cell>
          <cell r="T171">
            <v>0.83899999999999997</v>
          </cell>
          <cell r="U171">
            <v>8.0000000000000002E-3</v>
          </cell>
          <cell r="V171">
            <v>6.0000000000000001E-3</v>
          </cell>
          <cell r="W171">
            <v>7.0000000000000001E-3</v>
          </cell>
          <cell r="X171">
            <v>6.0000000000000001E-3</v>
          </cell>
          <cell r="Y171">
            <v>1.7000000000000001E-2</v>
          </cell>
          <cell r="Z171">
            <v>1.6E-2</v>
          </cell>
          <cell r="AA171">
            <v>1.6E-2</v>
          </cell>
          <cell r="AB171">
            <v>1.6E-2</v>
          </cell>
          <cell r="AC171">
            <v>1.4999999999999999E-2</v>
          </cell>
        </row>
        <row r="172">
          <cell r="A172" t="str">
            <v>Cee (Billion euro)</v>
          </cell>
          <cell r="C172">
            <v>3.097</v>
          </cell>
          <cell r="D172">
            <v>3.1669999999999998</v>
          </cell>
          <cell r="E172">
            <v>3.0920000000000001</v>
          </cell>
          <cell r="F172">
            <v>3.214</v>
          </cell>
          <cell r="G172">
            <v>3.1230000000000002</v>
          </cell>
          <cell r="H172">
            <v>3.028</v>
          </cell>
          <cell r="I172">
            <v>2.919</v>
          </cell>
          <cell r="J172">
            <v>3.2719999999999998</v>
          </cell>
          <cell r="K172">
            <v>3.1</v>
          </cell>
          <cell r="L172">
            <v>3.1080000000000001</v>
          </cell>
          <cell r="M172">
            <v>3.1619999999999999</v>
          </cell>
          <cell r="N172">
            <v>3.1829999999999998</v>
          </cell>
          <cell r="O172">
            <v>2.8380000000000001</v>
          </cell>
          <cell r="P172">
            <v>3.2250000000000001</v>
          </cell>
          <cell r="Q172">
            <v>3.198</v>
          </cell>
          <cell r="R172">
            <v>3.0379999999999998</v>
          </cell>
          <cell r="S172">
            <v>3.536</v>
          </cell>
          <cell r="T172">
            <v>3.0979999999999999</v>
          </cell>
          <cell r="U172">
            <v>3.0129999999999999</v>
          </cell>
          <cell r="V172">
            <v>2.7989999999999999</v>
          </cell>
          <cell r="W172">
            <v>3.63</v>
          </cell>
          <cell r="X172">
            <v>3.633</v>
          </cell>
          <cell r="Y172">
            <v>3.5920000000000001</v>
          </cell>
          <cell r="Z172">
            <v>3.6080000000000001</v>
          </cell>
          <cell r="AA172">
            <v>3.4430000000000001</v>
          </cell>
          <cell r="AB172">
            <v>3.266</v>
          </cell>
          <cell r="AC172">
            <v>3.105</v>
          </cell>
        </row>
        <row r="173">
          <cell r="A173" t="str">
            <v>Cee (Thousand households)</v>
          </cell>
          <cell r="C173">
            <v>2408.6390000000001</v>
          </cell>
          <cell r="D173">
            <v>2437.002</v>
          </cell>
          <cell r="E173">
            <v>2707.07</v>
          </cell>
          <cell r="F173">
            <v>2726.9679999999998</v>
          </cell>
          <cell r="G173">
            <v>2703.2040000000002</v>
          </cell>
          <cell r="H173">
            <v>2707.8440000000001</v>
          </cell>
          <cell r="I173">
            <v>2688.9090000000001</v>
          </cell>
          <cell r="J173">
            <v>2862.79</v>
          </cell>
          <cell r="K173">
            <v>2756.395</v>
          </cell>
          <cell r="L173">
            <v>2701.6990000000001</v>
          </cell>
          <cell r="M173">
            <v>2693.6689999999999</v>
          </cell>
          <cell r="N173">
            <v>2653.4319999999998</v>
          </cell>
          <cell r="O173">
            <v>2375.625</v>
          </cell>
          <cell r="P173">
            <v>2731.2890000000002</v>
          </cell>
          <cell r="Q173">
            <v>2676.4859999999999</v>
          </cell>
          <cell r="R173">
            <v>2466.4029999999998</v>
          </cell>
          <cell r="S173">
            <v>2722.0390000000002</v>
          </cell>
          <cell r="T173">
            <v>2421.0749999999998</v>
          </cell>
          <cell r="U173">
            <v>2366.7350000000001</v>
          </cell>
          <cell r="V173">
            <v>2163.5079999999998</v>
          </cell>
          <cell r="W173">
            <v>2501.2570000000001</v>
          </cell>
          <cell r="X173">
            <v>2303.828</v>
          </cell>
          <cell r="Y173">
            <v>2505.3580000000002</v>
          </cell>
          <cell r="Z173">
            <v>2359.5079999999998</v>
          </cell>
          <cell r="AA173">
            <v>2420.297</v>
          </cell>
          <cell r="AB173">
            <v>2503.201</v>
          </cell>
          <cell r="AC173">
            <v>2580.2840000000001</v>
          </cell>
        </row>
        <row r="174">
          <cell r="A174" t="str">
            <v>Cee heater (Billion euro)</v>
          </cell>
          <cell r="C174">
            <v>2.0449999999999999</v>
          </cell>
          <cell r="D174">
            <v>2.1320000000000001</v>
          </cell>
          <cell r="E174">
            <v>2.2450000000000001</v>
          </cell>
          <cell r="F174">
            <v>2.3490000000000002</v>
          </cell>
          <cell r="G174">
            <v>2.254</v>
          </cell>
          <cell r="H174">
            <v>2.153</v>
          </cell>
          <cell r="I174">
            <v>2.0579999999999998</v>
          </cell>
          <cell r="J174">
            <v>2.2210000000000001</v>
          </cell>
          <cell r="K174">
            <v>2.12</v>
          </cell>
          <cell r="L174">
            <v>2.1659999999999999</v>
          </cell>
          <cell r="M174">
            <v>2.2210000000000001</v>
          </cell>
          <cell r="N174">
            <v>2.2730000000000001</v>
          </cell>
          <cell r="O174">
            <v>1.9239999999999999</v>
          </cell>
          <cell r="P174">
            <v>1.9850000000000001</v>
          </cell>
          <cell r="Q174">
            <v>2.008</v>
          </cell>
          <cell r="R174">
            <v>1.8919999999999999</v>
          </cell>
          <cell r="S174">
            <v>1.9610000000000001</v>
          </cell>
          <cell r="T174">
            <v>1.8129999999999999</v>
          </cell>
          <cell r="U174">
            <v>1.7969999999999999</v>
          </cell>
          <cell r="V174">
            <v>1.72</v>
          </cell>
          <cell r="W174">
            <v>2.5630000000000002</v>
          </cell>
          <cell r="X174">
            <v>2.613</v>
          </cell>
          <cell r="Y174">
            <v>2.6160000000000001</v>
          </cell>
          <cell r="Z174">
            <v>2.673</v>
          </cell>
          <cell r="AA174">
            <v>2.5449999999999999</v>
          </cell>
          <cell r="AB174">
            <v>2.4060000000000001</v>
          </cell>
          <cell r="AC174">
            <v>2.2690000000000001</v>
          </cell>
        </row>
        <row r="175">
          <cell r="A175" t="str">
            <v>Cee heater (Thousand households)</v>
          </cell>
          <cell r="C175">
            <v>1807.7809999999999</v>
          </cell>
          <cell r="D175">
            <v>1803.9849999999999</v>
          </cell>
          <cell r="E175">
            <v>1800.174</v>
          </cell>
          <cell r="F175">
            <v>1796.3420000000001</v>
          </cell>
          <cell r="G175">
            <v>1792.502</v>
          </cell>
          <cell r="H175">
            <v>1788.6579999999999</v>
          </cell>
          <cell r="I175">
            <v>1784.8219999999999</v>
          </cell>
          <cell r="J175">
            <v>1782.008</v>
          </cell>
          <cell r="K175">
            <v>1780.3019999999999</v>
          </cell>
          <cell r="L175">
            <v>1778.33</v>
          </cell>
          <cell r="M175">
            <v>1776.059</v>
          </cell>
          <cell r="N175">
            <v>1774.5150000000001</v>
          </cell>
          <cell r="O175">
            <v>1527.65</v>
          </cell>
          <cell r="P175">
            <v>1526.4570000000001</v>
          </cell>
          <cell r="Q175">
            <v>1525.096</v>
          </cell>
          <cell r="R175">
            <v>1348.1369999999999</v>
          </cell>
          <cell r="S175">
            <v>1409.221</v>
          </cell>
          <cell r="T175">
            <v>1271.921</v>
          </cell>
          <cell r="U175">
            <v>1273.6569999999999</v>
          </cell>
          <cell r="V175">
            <v>1188.2619999999999</v>
          </cell>
          <cell r="W175">
            <v>1529.7139999999999</v>
          </cell>
          <cell r="X175">
            <v>1382.9549999999999</v>
          </cell>
          <cell r="Y175">
            <v>1629.095</v>
          </cell>
          <cell r="Z175">
            <v>1525.721</v>
          </cell>
          <cell r="AA175">
            <v>1624.9960000000001</v>
          </cell>
          <cell r="AB175">
            <v>1744.2270000000001</v>
          </cell>
          <cell r="AC175">
            <v>1849.2059999999999</v>
          </cell>
        </row>
        <row r="176">
          <cell r="A176" t="str">
            <v>Cee heater C1 (Thousand households)</v>
          </cell>
          <cell r="C176">
            <v>136.89699999999999</v>
          </cell>
          <cell r="D176">
            <v>136.96700000000001</v>
          </cell>
          <cell r="E176">
            <v>137.03399999999999</v>
          </cell>
          <cell r="F176">
            <v>137.25800000000001</v>
          </cell>
          <cell r="G176">
            <v>137.36199999999999</v>
          </cell>
          <cell r="H176">
            <v>137.62</v>
          </cell>
          <cell r="I176">
            <v>138.054</v>
          </cell>
          <cell r="J176">
            <v>138.77699999999999</v>
          </cell>
          <cell r="K176">
            <v>139.25899999999999</v>
          </cell>
          <cell r="L176">
            <v>139.94900000000001</v>
          </cell>
          <cell r="M176">
            <v>140.541</v>
          </cell>
          <cell r="N176">
            <v>141.08099999999999</v>
          </cell>
          <cell r="O176">
            <v>115.41800000000001</v>
          </cell>
          <cell r="P176">
            <v>115.441</v>
          </cell>
          <cell r="Q176">
            <v>115.256</v>
          </cell>
          <cell r="R176">
            <v>103.947</v>
          </cell>
          <cell r="S176">
            <v>107.419</v>
          </cell>
          <cell r="T176">
            <v>98.382999999999996</v>
          </cell>
          <cell r="U176">
            <v>98.015000000000001</v>
          </cell>
          <cell r="V176">
            <v>92.316000000000003</v>
          </cell>
          <cell r="W176">
            <v>114.599</v>
          </cell>
          <cell r="X176">
            <v>108.19499999999999</v>
          </cell>
          <cell r="Y176">
            <v>120.265</v>
          </cell>
          <cell r="Z176">
            <v>116.068</v>
          </cell>
          <cell r="AA176">
            <v>118.086</v>
          </cell>
          <cell r="AB176">
            <v>120.89400000000001</v>
          </cell>
          <cell r="AC176">
            <v>123.01300000000001</v>
          </cell>
        </row>
        <row r="177">
          <cell r="A177" t="str">
            <v>Cee heater C2 (Thousand households)</v>
          </cell>
          <cell r="C177">
            <v>199.01900000000001</v>
          </cell>
          <cell r="D177">
            <v>198.934</v>
          </cell>
          <cell r="E177">
            <v>198.661</v>
          </cell>
          <cell r="F177">
            <v>198.626</v>
          </cell>
          <cell r="G177">
            <v>198.30500000000001</v>
          </cell>
          <cell r="H177">
            <v>198.23</v>
          </cell>
          <cell r="I177">
            <v>198.47399999999999</v>
          </cell>
          <cell r="J177">
            <v>199.21899999999999</v>
          </cell>
          <cell r="K177">
            <v>199.45</v>
          </cell>
          <cell r="L177">
            <v>200.05</v>
          </cell>
          <cell r="M177">
            <v>200.434</v>
          </cell>
          <cell r="N177">
            <v>200.65199999999999</v>
          </cell>
          <cell r="O177">
            <v>162.63800000000001</v>
          </cell>
          <cell r="P177">
            <v>162.08799999999999</v>
          </cell>
          <cell r="Q177">
            <v>161.13900000000001</v>
          </cell>
          <cell r="R177">
            <v>144.76400000000001</v>
          </cell>
          <cell r="S177">
            <v>148.86699999999999</v>
          </cell>
          <cell r="T177">
            <v>135.72800000000001</v>
          </cell>
          <cell r="U177">
            <v>134.58799999999999</v>
          </cell>
          <cell r="V177">
            <v>126.16</v>
          </cell>
          <cell r="W177">
            <v>168.52500000000001</v>
          </cell>
          <cell r="X177">
            <v>160.916</v>
          </cell>
          <cell r="Y177">
            <v>175.75200000000001</v>
          </cell>
          <cell r="Z177">
            <v>170.86500000000001</v>
          </cell>
          <cell r="AA177">
            <v>172.17</v>
          </cell>
          <cell r="AB177">
            <v>174.35599999999999</v>
          </cell>
          <cell r="AC177">
            <v>175.70500000000001</v>
          </cell>
        </row>
        <row r="178">
          <cell r="A178" t="str">
            <v>Cee heater C3 (Thousand households)</v>
          </cell>
          <cell r="C178">
            <v>266.392</v>
          </cell>
          <cell r="D178">
            <v>265.69600000000003</v>
          </cell>
          <cell r="E178">
            <v>264.60700000000003</v>
          </cell>
          <cell r="F178">
            <v>264.005</v>
          </cell>
          <cell r="G178">
            <v>263.04399999999998</v>
          </cell>
          <cell r="H178">
            <v>262.50799999999998</v>
          </cell>
          <cell r="I178">
            <v>262.44400000000002</v>
          </cell>
          <cell r="J178">
            <v>263.04199999999997</v>
          </cell>
          <cell r="K178">
            <v>262.98200000000003</v>
          </cell>
          <cell r="L178">
            <v>263.40199999999999</v>
          </cell>
          <cell r="M178">
            <v>263.53199999999998</v>
          </cell>
          <cell r="N178">
            <v>263.44</v>
          </cell>
          <cell r="O178">
            <v>217.33799999999999</v>
          </cell>
          <cell r="P178">
            <v>216.46</v>
          </cell>
          <cell r="Q178">
            <v>215.05600000000001</v>
          </cell>
          <cell r="R178">
            <v>192.37299999999999</v>
          </cell>
          <cell r="S178">
            <v>198.154</v>
          </cell>
          <cell r="T178">
            <v>180.16900000000001</v>
          </cell>
          <cell r="U178">
            <v>178.809</v>
          </cell>
          <cell r="V178">
            <v>167.37100000000001</v>
          </cell>
          <cell r="W178">
            <v>230.98500000000001</v>
          </cell>
          <cell r="X178">
            <v>220.31700000000001</v>
          </cell>
          <cell r="Y178">
            <v>240.13300000000001</v>
          </cell>
          <cell r="Z178">
            <v>233.26</v>
          </cell>
          <cell r="AA178">
            <v>235.83799999999999</v>
          </cell>
          <cell r="AB178">
            <v>239.56399999999999</v>
          </cell>
          <cell r="AC178">
            <v>242.125</v>
          </cell>
        </row>
        <row r="179">
          <cell r="A179" t="str">
            <v>Cee heater C4 (Thousand households)</v>
          </cell>
          <cell r="C179">
            <v>345.86500000000001</v>
          </cell>
          <cell r="D179">
            <v>344.84</v>
          </cell>
          <cell r="E179">
            <v>343.43799999999999</v>
          </cell>
          <cell r="F179">
            <v>342.62700000000001</v>
          </cell>
          <cell r="G179">
            <v>341.45</v>
          </cell>
          <cell r="H179">
            <v>340.70600000000002</v>
          </cell>
          <cell r="I179">
            <v>340.41</v>
          </cell>
          <cell r="J179">
            <v>340.74900000000002</v>
          </cell>
          <cell r="K179">
            <v>340.47699999999998</v>
          </cell>
          <cell r="L179">
            <v>340.66500000000002</v>
          </cell>
          <cell r="M179">
            <v>340.58100000000002</v>
          </cell>
          <cell r="N179">
            <v>340.36099999999999</v>
          </cell>
          <cell r="O179">
            <v>288.279</v>
          </cell>
          <cell r="P179">
            <v>287.50299999999999</v>
          </cell>
          <cell r="Q179">
            <v>286.21699999999998</v>
          </cell>
          <cell r="R179">
            <v>254.756</v>
          </cell>
          <cell r="S179">
            <v>263.798</v>
          </cell>
          <cell r="T179">
            <v>239.01</v>
          </cell>
          <cell r="U179">
            <v>237.898</v>
          </cell>
          <cell r="V179">
            <v>222.26900000000001</v>
          </cell>
          <cell r="W179">
            <v>298.56799999999998</v>
          </cell>
          <cell r="X179">
            <v>280.14499999999998</v>
          </cell>
          <cell r="Y179">
            <v>312.27600000000001</v>
          </cell>
          <cell r="Z179">
            <v>299.79199999999997</v>
          </cell>
          <cell r="AA179">
            <v>307.74799999999999</v>
          </cell>
          <cell r="AB179">
            <v>317.92500000000001</v>
          </cell>
          <cell r="AC179">
            <v>326.19299999999998</v>
          </cell>
        </row>
        <row r="180">
          <cell r="A180" t="str">
            <v>Cee heater C5 (Thousand households)</v>
          </cell>
          <cell r="C180">
            <v>859.60799999999995</v>
          </cell>
          <cell r="D180">
            <v>857.548</v>
          </cell>
          <cell r="E180">
            <v>856.43399999999997</v>
          </cell>
          <cell r="F180">
            <v>853.827</v>
          </cell>
          <cell r="G180">
            <v>852.34</v>
          </cell>
          <cell r="H180">
            <v>849.59400000000005</v>
          </cell>
          <cell r="I180">
            <v>845.44100000000003</v>
          </cell>
          <cell r="J180">
            <v>840.221</v>
          </cell>
          <cell r="K180">
            <v>838.13400000000001</v>
          </cell>
          <cell r="L180">
            <v>834.26400000000001</v>
          </cell>
          <cell r="M180">
            <v>830.971</v>
          </cell>
          <cell r="N180">
            <v>828.98099999999999</v>
          </cell>
          <cell r="O180">
            <v>743.97699999999998</v>
          </cell>
          <cell r="P180">
            <v>744.96500000000003</v>
          </cell>
          <cell r="Q180">
            <v>747.42600000000004</v>
          </cell>
          <cell r="R180">
            <v>652.29700000000003</v>
          </cell>
          <cell r="S180">
            <v>690.98400000000004</v>
          </cell>
          <cell r="T180">
            <v>618.63099999999997</v>
          </cell>
          <cell r="U180">
            <v>624.34699999999998</v>
          </cell>
          <cell r="V180">
            <v>580.14599999999996</v>
          </cell>
          <cell r="W180">
            <v>717.03700000000003</v>
          </cell>
          <cell r="X180">
            <v>613.38199999999995</v>
          </cell>
          <cell r="Y180">
            <v>780.67</v>
          </cell>
          <cell r="Z180">
            <v>705.73599999999999</v>
          </cell>
          <cell r="AA180">
            <v>791.15499999999997</v>
          </cell>
          <cell r="AB180">
            <v>891.48800000000006</v>
          </cell>
          <cell r="AC180">
            <v>982.17100000000005</v>
          </cell>
        </row>
        <row r="181">
          <cell r="A181" t="str">
            <v>Cee heater Multi-family (Thousand households)</v>
          </cell>
          <cell r="C181">
            <v>813.56100000000004</v>
          </cell>
          <cell r="D181">
            <v>811.82299999999998</v>
          </cell>
          <cell r="E181">
            <v>812.524</v>
          </cell>
          <cell r="F181">
            <v>810</v>
          </cell>
          <cell r="G181">
            <v>809.39300000000003</v>
          </cell>
          <cell r="H181">
            <v>805.53</v>
          </cell>
          <cell r="I181">
            <v>797.44100000000003</v>
          </cell>
          <cell r="J181">
            <v>784.81799999999998</v>
          </cell>
          <cell r="K181">
            <v>778.77800000000002</v>
          </cell>
          <cell r="L181">
            <v>767.50199999999995</v>
          </cell>
          <cell r="M181">
            <v>757.49099999999999</v>
          </cell>
          <cell r="N181">
            <v>750.029</v>
          </cell>
          <cell r="O181">
            <v>696.29899999999998</v>
          </cell>
          <cell r="P181">
            <v>694.67399999999998</v>
          </cell>
          <cell r="Q181">
            <v>696.77</v>
          </cell>
          <cell r="R181">
            <v>608.26800000000003</v>
          </cell>
          <cell r="S181">
            <v>646.01599999999996</v>
          </cell>
          <cell r="T181">
            <v>580.31600000000003</v>
          </cell>
          <cell r="U181">
            <v>587.23900000000003</v>
          </cell>
          <cell r="V181">
            <v>546.63</v>
          </cell>
          <cell r="W181">
            <v>629.32100000000003</v>
          </cell>
          <cell r="X181">
            <v>490.68099999999998</v>
          </cell>
          <cell r="Y181">
            <v>712.02099999999996</v>
          </cell>
          <cell r="Z181">
            <v>616.12199999999996</v>
          </cell>
          <cell r="AA181">
            <v>745.04200000000003</v>
          </cell>
          <cell r="AB181">
            <v>895.78899999999999</v>
          </cell>
          <cell r="AC181">
            <v>1033.989</v>
          </cell>
        </row>
        <row r="182">
          <cell r="A182" t="str">
            <v>Cee heater Single-family (Thousand households)</v>
          </cell>
          <cell r="C182">
            <v>994.22</v>
          </cell>
          <cell r="D182">
            <v>992.16200000000003</v>
          </cell>
          <cell r="E182">
            <v>987.65</v>
          </cell>
          <cell r="F182">
            <v>986.34199999999998</v>
          </cell>
          <cell r="G182">
            <v>983.10900000000004</v>
          </cell>
          <cell r="H182">
            <v>983.12800000000004</v>
          </cell>
          <cell r="I182">
            <v>987.38099999999997</v>
          </cell>
          <cell r="J182">
            <v>997.19</v>
          </cell>
          <cell r="K182">
            <v>1001.524</v>
          </cell>
          <cell r="L182">
            <v>1010.828</v>
          </cell>
          <cell r="M182">
            <v>1018.568</v>
          </cell>
          <cell r="N182">
            <v>1024.4860000000001</v>
          </cell>
          <cell r="O182">
            <v>831.351</v>
          </cell>
          <cell r="P182">
            <v>831.78300000000002</v>
          </cell>
          <cell r="Q182">
            <v>828.32600000000002</v>
          </cell>
          <cell r="R182">
            <v>739.87</v>
          </cell>
          <cell r="S182">
            <v>763.20500000000004</v>
          </cell>
          <cell r="T182">
            <v>691.60599999999999</v>
          </cell>
          <cell r="U182">
            <v>686.41800000000001</v>
          </cell>
          <cell r="V182">
            <v>641.63199999999995</v>
          </cell>
          <cell r="W182">
            <v>900.39300000000003</v>
          </cell>
          <cell r="X182">
            <v>892.274</v>
          </cell>
          <cell r="Y182">
            <v>917.07500000000005</v>
          </cell>
          <cell r="Z182">
            <v>909.59900000000005</v>
          </cell>
          <cell r="AA182">
            <v>879.95399999999995</v>
          </cell>
          <cell r="AB182">
            <v>848.43799999999999</v>
          </cell>
          <cell r="AC182">
            <v>815.21799999999996</v>
          </cell>
        </row>
        <row r="183">
          <cell r="A183" t="str">
            <v>Cee insulation (Billion euro)</v>
          </cell>
          <cell r="C183">
            <v>1.0509999999999999</v>
          </cell>
          <cell r="D183">
            <v>1.0349999999999999</v>
          </cell>
          <cell r="E183">
            <v>0.84799999999999998</v>
          </cell>
          <cell r="F183">
            <v>0.86599999999999999</v>
          </cell>
          <cell r="G183">
            <v>0.86899999999999999</v>
          </cell>
          <cell r="H183">
            <v>0.875</v>
          </cell>
          <cell r="I183">
            <v>0.86099999999999999</v>
          </cell>
          <cell r="J183">
            <v>1.0509999999999999</v>
          </cell>
          <cell r="K183">
            <v>0.98</v>
          </cell>
          <cell r="L183">
            <v>0.94199999999999995</v>
          </cell>
          <cell r="M183">
            <v>0.94</v>
          </cell>
          <cell r="N183">
            <v>0.90900000000000003</v>
          </cell>
          <cell r="O183">
            <v>0.91400000000000003</v>
          </cell>
          <cell r="P183">
            <v>1.24</v>
          </cell>
          <cell r="Q183">
            <v>1.19</v>
          </cell>
          <cell r="R183">
            <v>1.1459999999999999</v>
          </cell>
          <cell r="S183">
            <v>1.575</v>
          </cell>
          <cell r="T183">
            <v>1.2849999999999999</v>
          </cell>
          <cell r="U183">
            <v>1.216</v>
          </cell>
          <cell r="V183">
            <v>1.079</v>
          </cell>
          <cell r="W183">
            <v>1.0669999999999999</v>
          </cell>
          <cell r="X183">
            <v>1.02</v>
          </cell>
          <cell r="Y183">
            <v>0.97599999999999998</v>
          </cell>
          <cell r="Z183">
            <v>0.93600000000000005</v>
          </cell>
          <cell r="AA183">
            <v>0.89800000000000002</v>
          </cell>
          <cell r="AB183">
            <v>0.86</v>
          </cell>
          <cell r="AC183">
            <v>0.83499999999999996</v>
          </cell>
        </row>
        <row r="184">
          <cell r="A184" t="str">
            <v>Cee insulation (Thousand households)</v>
          </cell>
          <cell r="C184">
            <v>600.85699999999997</v>
          </cell>
          <cell r="D184">
            <v>633.01700000000005</v>
          </cell>
          <cell r="E184">
            <v>906.89599999999996</v>
          </cell>
          <cell r="F184">
            <v>930.62599999999998</v>
          </cell>
          <cell r="G184">
            <v>910.702</v>
          </cell>
          <cell r="H184">
            <v>919.18600000000004</v>
          </cell>
          <cell r="I184">
            <v>904.08699999999999</v>
          </cell>
          <cell r="J184">
            <v>1080.7819999999999</v>
          </cell>
          <cell r="K184">
            <v>976.09299999999996</v>
          </cell>
          <cell r="L184">
            <v>923.36900000000003</v>
          </cell>
          <cell r="M184">
            <v>917.61</v>
          </cell>
          <cell r="N184">
            <v>878.91600000000005</v>
          </cell>
          <cell r="O184">
            <v>847.97500000000002</v>
          </cell>
          <cell r="P184">
            <v>1204.8320000000001</v>
          </cell>
          <cell r="Q184">
            <v>1151.3900000000001</v>
          </cell>
          <cell r="R184">
            <v>1118.2660000000001</v>
          </cell>
          <cell r="S184">
            <v>1312.817</v>
          </cell>
          <cell r="T184">
            <v>1149.153</v>
          </cell>
          <cell r="U184">
            <v>1093.078</v>
          </cell>
          <cell r="V184">
            <v>975.24699999999996</v>
          </cell>
          <cell r="W184">
            <v>971.54300000000001</v>
          </cell>
          <cell r="X184">
            <v>920.87199999999996</v>
          </cell>
          <cell r="Y184">
            <v>876.26300000000003</v>
          </cell>
          <cell r="Z184">
            <v>833.78700000000003</v>
          </cell>
          <cell r="AA184">
            <v>795.30100000000004</v>
          </cell>
          <cell r="AB184">
            <v>758.97500000000002</v>
          </cell>
          <cell r="AC184">
            <v>731.077</v>
          </cell>
        </row>
        <row r="185">
          <cell r="A185" t="str">
            <v>Cee insulation C1 (Thousand households)</v>
          </cell>
          <cell r="C185">
            <v>43.878</v>
          </cell>
          <cell r="D185">
            <v>42.634</v>
          </cell>
          <cell r="E185">
            <v>73.903999999999996</v>
          </cell>
          <cell r="F185">
            <v>80.188000000000002</v>
          </cell>
          <cell r="G185">
            <v>75.97</v>
          </cell>
          <cell r="H185">
            <v>74.741</v>
          </cell>
          <cell r="I185">
            <v>77.36</v>
          </cell>
          <cell r="J185">
            <v>82.552999999999997</v>
          </cell>
          <cell r="K185">
            <v>72.980999999999995</v>
          </cell>
          <cell r="L185">
            <v>65.323999999999998</v>
          </cell>
          <cell r="M185">
            <v>59.128999999999998</v>
          </cell>
          <cell r="N185">
            <v>54.107999999999997</v>
          </cell>
          <cell r="O185">
            <v>52.280999999999999</v>
          </cell>
          <cell r="P185">
            <v>72.489000000000004</v>
          </cell>
          <cell r="Q185">
            <v>67.602999999999994</v>
          </cell>
          <cell r="R185">
            <v>61.874000000000002</v>
          </cell>
          <cell r="S185">
            <v>78.024000000000001</v>
          </cell>
          <cell r="T185">
            <v>70.644999999999996</v>
          </cell>
          <cell r="U185">
            <v>65.506</v>
          </cell>
          <cell r="V185">
            <v>60.582000000000001</v>
          </cell>
          <cell r="W185">
            <v>56.29</v>
          </cell>
          <cell r="X185">
            <v>53.234999999999999</v>
          </cell>
          <cell r="Y185">
            <v>50.651000000000003</v>
          </cell>
          <cell r="Z185">
            <v>47.957000000000001</v>
          </cell>
          <cell r="AA185">
            <v>45.555999999999997</v>
          </cell>
          <cell r="AB185">
            <v>43.418999999999997</v>
          </cell>
          <cell r="AC185">
            <v>41.722999999999999</v>
          </cell>
        </row>
        <row r="186">
          <cell r="A186" t="str">
            <v>Cee insulation C2 (Thousand households)</v>
          </cell>
          <cell r="C186">
            <v>71.819999999999993</v>
          </cell>
          <cell r="D186">
            <v>70.61</v>
          </cell>
          <cell r="E186">
            <v>90.492999999999995</v>
          </cell>
          <cell r="F186">
            <v>92.86</v>
          </cell>
          <cell r="G186">
            <v>93.24</v>
          </cell>
          <cell r="H186">
            <v>93.56</v>
          </cell>
          <cell r="I186">
            <v>95.113</v>
          </cell>
          <cell r="J186">
            <v>102.622</v>
          </cell>
          <cell r="K186">
            <v>91.926000000000002</v>
          </cell>
          <cell r="L186">
            <v>83.195999999999998</v>
          </cell>
          <cell r="M186">
            <v>75.977999999999994</v>
          </cell>
          <cell r="N186">
            <v>69.975999999999999</v>
          </cell>
          <cell r="O186">
            <v>69.691000000000003</v>
          </cell>
          <cell r="P186">
            <v>92.488</v>
          </cell>
          <cell r="Q186">
            <v>87.298000000000002</v>
          </cell>
          <cell r="R186">
            <v>80.492999999999995</v>
          </cell>
          <cell r="S186">
            <v>111.875</v>
          </cell>
          <cell r="T186">
            <v>98.287999999999997</v>
          </cell>
          <cell r="U186">
            <v>91.53</v>
          </cell>
          <cell r="V186">
            <v>85.180999999999997</v>
          </cell>
          <cell r="W186">
            <v>80.424999999999997</v>
          </cell>
          <cell r="X186">
            <v>76.570999999999998</v>
          </cell>
          <cell r="Y186">
            <v>73.085999999999999</v>
          </cell>
          <cell r="Z186">
            <v>69.647000000000006</v>
          </cell>
          <cell r="AA186">
            <v>66.573999999999998</v>
          </cell>
          <cell r="AB186">
            <v>63.71</v>
          </cell>
          <cell r="AC186">
            <v>63.195</v>
          </cell>
        </row>
        <row r="187">
          <cell r="A187" t="str">
            <v>Cee insulation C3 (Thousand households)</v>
          </cell>
          <cell r="C187">
            <v>125.9</v>
          </cell>
          <cell r="D187">
            <v>120.202</v>
          </cell>
          <cell r="E187">
            <v>147.71600000000001</v>
          </cell>
          <cell r="F187">
            <v>141.483</v>
          </cell>
          <cell r="G187">
            <v>126.018</v>
          </cell>
          <cell r="H187">
            <v>126.75700000000001</v>
          </cell>
          <cell r="I187">
            <v>121.855</v>
          </cell>
          <cell r="J187">
            <v>127.343</v>
          </cell>
          <cell r="K187">
            <v>112.29300000000001</v>
          </cell>
          <cell r="L187">
            <v>100.62</v>
          </cell>
          <cell r="M187">
            <v>91.364000000000004</v>
          </cell>
          <cell r="N187">
            <v>83.888000000000005</v>
          </cell>
          <cell r="O187">
            <v>84.26</v>
          </cell>
          <cell r="P187">
            <v>124.23</v>
          </cell>
          <cell r="Q187">
            <v>116.97</v>
          </cell>
          <cell r="R187">
            <v>107.167</v>
          </cell>
          <cell r="S187">
            <v>145.27000000000001</v>
          </cell>
          <cell r="T187">
            <v>122.777</v>
          </cell>
          <cell r="U187">
            <v>113.66800000000001</v>
          </cell>
          <cell r="V187">
            <v>105.351</v>
          </cell>
          <cell r="W187">
            <v>99.444000000000003</v>
          </cell>
          <cell r="X187">
            <v>94.646000000000001</v>
          </cell>
          <cell r="Y187">
            <v>90.269000000000005</v>
          </cell>
          <cell r="Z187">
            <v>86.111000000000004</v>
          </cell>
          <cell r="AA187">
            <v>82.331999999999994</v>
          </cell>
          <cell r="AB187">
            <v>78.701999999999998</v>
          </cell>
          <cell r="AC187">
            <v>76.248000000000005</v>
          </cell>
        </row>
        <row r="188">
          <cell r="A188" t="str">
            <v>Cee insulation C4 (Thousand households)</v>
          </cell>
          <cell r="C188">
            <v>131.65799999999999</v>
          </cell>
          <cell r="D188">
            <v>125.801</v>
          </cell>
          <cell r="E188">
            <v>164.43</v>
          </cell>
          <cell r="F188">
            <v>157.23400000000001</v>
          </cell>
          <cell r="G188">
            <v>141.4</v>
          </cell>
          <cell r="H188">
            <v>141.11000000000001</v>
          </cell>
          <cell r="I188">
            <v>136.23599999999999</v>
          </cell>
          <cell r="J188">
            <v>165.251</v>
          </cell>
          <cell r="K188">
            <v>145.44499999999999</v>
          </cell>
          <cell r="L188">
            <v>129.51599999999999</v>
          </cell>
          <cell r="M188">
            <v>116.57599999999999</v>
          </cell>
          <cell r="N188">
            <v>106.011</v>
          </cell>
          <cell r="O188">
            <v>106.58799999999999</v>
          </cell>
          <cell r="P188">
            <v>185.60300000000001</v>
          </cell>
          <cell r="Q188">
            <v>172.46</v>
          </cell>
          <cell r="R188">
            <v>157.26</v>
          </cell>
          <cell r="S188">
            <v>200.59399999999999</v>
          </cell>
          <cell r="T188">
            <v>168.613</v>
          </cell>
          <cell r="U188">
            <v>155.30600000000001</v>
          </cell>
          <cell r="V188">
            <v>143.24100000000001</v>
          </cell>
          <cell r="W188">
            <v>134.863</v>
          </cell>
          <cell r="X188">
            <v>127.919</v>
          </cell>
          <cell r="Y188">
            <v>121.506</v>
          </cell>
          <cell r="Z188">
            <v>115.53700000000001</v>
          </cell>
          <cell r="AA188">
            <v>110.09099999999999</v>
          </cell>
          <cell r="AB188">
            <v>104.958</v>
          </cell>
          <cell r="AC188">
            <v>101.209</v>
          </cell>
        </row>
        <row r="189">
          <cell r="A189" t="str">
            <v>Cee insulation C5 (Thousand households)</v>
          </cell>
          <cell r="C189">
            <v>227.601</v>
          </cell>
          <cell r="D189">
            <v>273.76900000000001</v>
          </cell>
          <cell r="E189">
            <v>430.35300000000001</v>
          </cell>
          <cell r="F189">
            <v>458.86200000000002</v>
          </cell>
          <cell r="G189">
            <v>474.07400000000001</v>
          </cell>
          <cell r="H189">
            <v>483.01900000000001</v>
          </cell>
          <cell r="I189">
            <v>473.52300000000002</v>
          </cell>
          <cell r="J189">
            <v>603.01300000000003</v>
          </cell>
          <cell r="K189">
            <v>553.447</v>
          </cell>
          <cell r="L189">
            <v>544.71400000000006</v>
          </cell>
          <cell r="M189">
            <v>574.56200000000001</v>
          </cell>
          <cell r="N189">
            <v>564.93200000000002</v>
          </cell>
          <cell r="O189">
            <v>535.15599999999995</v>
          </cell>
          <cell r="P189">
            <v>730.02200000000005</v>
          </cell>
          <cell r="Q189">
            <v>707.05899999999997</v>
          </cell>
          <cell r="R189">
            <v>711.47299999999996</v>
          </cell>
          <cell r="S189">
            <v>777.05399999999997</v>
          </cell>
          <cell r="T189">
            <v>688.83</v>
          </cell>
          <cell r="U189">
            <v>667.06799999999998</v>
          </cell>
          <cell r="V189">
            <v>580.89099999999996</v>
          </cell>
          <cell r="W189">
            <v>600.52099999999996</v>
          </cell>
          <cell r="X189">
            <v>568.50199999999995</v>
          </cell>
          <cell r="Y189">
            <v>540.75</v>
          </cell>
          <cell r="Z189">
            <v>514.53499999999997</v>
          </cell>
          <cell r="AA189">
            <v>490.74700000000001</v>
          </cell>
          <cell r="AB189">
            <v>468.185</v>
          </cell>
          <cell r="AC189">
            <v>448.70299999999997</v>
          </cell>
        </row>
        <row r="190">
          <cell r="A190" t="str">
            <v>Cee insulation Multi-family (Thousand households)</v>
          </cell>
          <cell r="C190">
            <v>157.84200000000001</v>
          </cell>
          <cell r="D190">
            <v>197.58</v>
          </cell>
          <cell r="E190">
            <v>301.471</v>
          </cell>
          <cell r="F190">
            <v>329.40300000000002</v>
          </cell>
          <cell r="G190">
            <v>356.27800000000002</v>
          </cell>
          <cell r="H190">
            <v>363.09500000000003</v>
          </cell>
          <cell r="I190">
            <v>357.505</v>
          </cell>
          <cell r="J190">
            <v>546.63800000000003</v>
          </cell>
          <cell r="K190">
            <v>486.89800000000002</v>
          </cell>
          <cell r="L190">
            <v>464.279</v>
          </cell>
          <cell r="M190">
            <v>474.46199999999999</v>
          </cell>
          <cell r="N190">
            <v>461.42200000000003</v>
          </cell>
          <cell r="O190">
            <v>442.75900000000001</v>
          </cell>
          <cell r="P190">
            <v>690.48199999999997</v>
          </cell>
          <cell r="Q190">
            <v>659.476</v>
          </cell>
          <cell r="R190">
            <v>656.71799999999996</v>
          </cell>
          <cell r="S190">
            <v>708.46699999999998</v>
          </cell>
          <cell r="T190">
            <v>616.10299999999995</v>
          </cell>
          <cell r="U190">
            <v>592.48099999999999</v>
          </cell>
          <cell r="V190">
            <v>539.399</v>
          </cell>
          <cell r="W190">
            <v>551.48500000000001</v>
          </cell>
          <cell r="X190">
            <v>517.39599999999996</v>
          </cell>
          <cell r="Y190">
            <v>487.79500000000002</v>
          </cell>
          <cell r="Z190">
            <v>460.10300000000001</v>
          </cell>
          <cell r="AA190">
            <v>435.00299999999999</v>
          </cell>
          <cell r="AB190">
            <v>412.97300000000001</v>
          </cell>
          <cell r="AC190">
            <v>393.82499999999999</v>
          </cell>
        </row>
        <row r="191">
          <cell r="A191" t="str">
            <v>Cee insulation Single-family (Thousand households)</v>
          </cell>
          <cell r="C191">
            <v>443.01600000000002</v>
          </cell>
          <cell r="D191">
            <v>435.43700000000001</v>
          </cell>
          <cell r="E191">
            <v>605.42499999999995</v>
          </cell>
          <cell r="F191">
            <v>601.22400000000005</v>
          </cell>
          <cell r="G191">
            <v>554.42399999999998</v>
          </cell>
          <cell r="H191">
            <v>556.09100000000001</v>
          </cell>
          <cell r="I191">
            <v>546.58199999999999</v>
          </cell>
          <cell r="J191">
            <v>534.14400000000001</v>
          </cell>
          <cell r="K191">
            <v>489.19499999999999</v>
          </cell>
          <cell r="L191">
            <v>459.09</v>
          </cell>
          <cell r="M191">
            <v>443.14699999999999</v>
          </cell>
          <cell r="N191">
            <v>417.495</v>
          </cell>
          <cell r="O191">
            <v>405.21600000000001</v>
          </cell>
          <cell r="P191">
            <v>514.351</v>
          </cell>
          <cell r="Q191">
            <v>491.91399999999999</v>
          </cell>
          <cell r="R191">
            <v>461.548</v>
          </cell>
          <cell r="S191">
            <v>604.351</v>
          </cell>
          <cell r="T191">
            <v>533.04999999999995</v>
          </cell>
          <cell r="U191">
            <v>500.596</v>
          </cell>
          <cell r="V191">
            <v>435.84800000000001</v>
          </cell>
          <cell r="W191">
            <v>420.05900000000003</v>
          </cell>
          <cell r="X191">
            <v>403.476</v>
          </cell>
          <cell r="Y191">
            <v>388.46699999999998</v>
          </cell>
          <cell r="Z191">
            <v>373.68299999999999</v>
          </cell>
          <cell r="AA191">
            <v>360.298</v>
          </cell>
          <cell r="AB191">
            <v>346.00099999999998</v>
          </cell>
          <cell r="AC191">
            <v>337.25200000000001</v>
          </cell>
        </row>
        <row r="192">
          <cell r="A192" t="str">
            <v>Cee Multi-family (Thousand households)</v>
          </cell>
          <cell r="C192">
            <v>971.40200000000004</v>
          </cell>
          <cell r="D192">
            <v>1009.403</v>
          </cell>
          <cell r="E192">
            <v>1113.9949999999999</v>
          </cell>
          <cell r="F192">
            <v>1139.402</v>
          </cell>
          <cell r="G192">
            <v>1165.671</v>
          </cell>
          <cell r="H192">
            <v>1168.625</v>
          </cell>
          <cell r="I192">
            <v>1154.9459999999999</v>
          </cell>
          <cell r="J192">
            <v>1331.4559999999999</v>
          </cell>
          <cell r="K192">
            <v>1265.6759999999999</v>
          </cell>
          <cell r="L192">
            <v>1231.7809999999999</v>
          </cell>
          <cell r="M192">
            <v>1231.954</v>
          </cell>
          <cell r="N192">
            <v>1211.451</v>
          </cell>
          <cell r="O192">
            <v>1139.057</v>
          </cell>
          <cell r="P192">
            <v>1385.155</v>
          </cell>
          <cell r="Q192">
            <v>1356.2460000000001</v>
          </cell>
          <cell r="R192">
            <v>1264.9849999999999</v>
          </cell>
          <cell r="S192">
            <v>1354.4829999999999</v>
          </cell>
          <cell r="T192">
            <v>1196.4179999999999</v>
          </cell>
          <cell r="U192">
            <v>1179.72</v>
          </cell>
          <cell r="V192">
            <v>1086.028</v>
          </cell>
          <cell r="W192">
            <v>1180.806</v>
          </cell>
          <cell r="X192">
            <v>1008.077</v>
          </cell>
          <cell r="Y192">
            <v>1199.816</v>
          </cell>
          <cell r="Z192">
            <v>1076.2249999999999</v>
          </cell>
          <cell r="AA192">
            <v>1180.0450000000001</v>
          </cell>
          <cell r="AB192">
            <v>1308.7619999999999</v>
          </cell>
          <cell r="AC192">
            <v>1427.8140000000001</v>
          </cell>
        </row>
        <row r="193">
          <cell r="A193" t="str">
            <v>Cee Single-family (Thousand households)</v>
          </cell>
          <cell r="C193">
            <v>1437.2360000000001</v>
          </cell>
          <cell r="D193">
            <v>1427.5989999999999</v>
          </cell>
          <cell r="E193">
            <v>1593.075</v>
          </cell>
          <cell r="F193">
            <v>1587.566</v>
          </cell>
          <cell r="G193">
            <v>1537.5329999999999</v>
          </cell>
          <cell r="H193">
            <v>1539.2180000000001</v>
          </cell>
          <cell r="I193">
            <v>1533.963</v>
          </cell>
          <cell r="J193">
            <v>1531.3340000000001</v>
          </cell>
          <cell r="K193">
            <v>1490.7190000000001</v>
          </cell>
          <cell r="L193">
            <v>1469.9179999999999</v>
          </cell>
          <cell r="M193">
            <v>1461.7149999999999</v>
          </cell>
          <cell r="N193">
            <v>1441.981</v>
          </cell>
          <cell r="O193">
            <v>1236.568</v>
          </cell>
          <cell r="P193">
            <v>1346.133</v>
          </cell>
          <cell r="Q193">
            <v>1320.24</v>
          </cell>
          <cell r="R193">
            <v>1201.4179999999999</v>
          </cell>
          <cell r="S193">
            <v>1367.556</v>
          </cell>
          <cell r="T193">
            <v>1224.6559999999999</v>
          </cell>
          <cell r="U193">
            <v>1187.0139999999999</v>
          </cell>
          <cell r="V193">
            <v>1077.48</v>
          </cell>
          <cell r="W193">
            <v>1320.452</v>
          </cell>
          <cell r="X193">
            <v>1295.75</v>
          </cell>
          <cell r="Y193">
            <v>1305.5419999999999</v>
          </cell>
          <cell r="Z193">
            <v>1283.2819999999999</v>
          </cell>
          <cell r="AA193">
            <v>1240.252</v>
          </cell>
          <cell r="AB193">
            <v>1194.4390000000001</v>
          </cell>
          <cell r="AC193">
            <v>1152.47</v>
          </cell>
        </row>
        <row r="194">
          <cell r="A194" t="str">
            <v>Cee tax (Billion euro)</v>
          </cell>
          <cell r="B194">
            <v>1.0149999999999999</v>
          </cell>
          <cell r="C194">
            <v>0.97899999999999998</v>
          </cell>
          <cell r="D194">
            <v>0.94899999999999995</v>
          </cell>
          <cell r="E194">
            <v>1.089</v>
          </cell>
          <cell r="F194">
            <v>1.0309999999999999</v>
          </cell>
          <cell r="G194">
            <v>0.98599999999999999</v>
          </cell>
          <cell r="H194">
            <v>0.93700000000000006</v>
          </cell>
          <cell r="I194">
            <v>0.88500000000000001</v>
          </cell>
          <cell r="J194">
            <v>0.84</v>
          </cell>
          <cell r="K194">
            <v>0.79300000000000004</v>
          </cell>
          <cell r="L194">
            <v>0.752</v>
          </cell>
          <cell r="M194">
            <v>0.71499999999999997</v>
          </cell>
          <cell r="N194">
            <v>0.68100000000000005</v>
          </cell>
          <cell r="O194">
            <v>0.65600000000000003</v>
          </cell>
          <cell r="P194">
            <v>0.63100000000000001</v>
          </cell>
          <cell r="Q194">
            <v>0.60899999999999999</v>
          </cell>
          <cell r="R194">
            <v>0.59199999999999997</v>
          </cell>
          <cell r="S194">
            <v>0.53</v>
          </cell>
          <cell r="T194">
            <v>0.55400000000000005</v>
          </cell>
          <cell r="U194">
            <v>0.54</v>
          </cell>
          <cell r="V194">
            <v>0.52700000000000002</v>
          </cell>
          <cell r="W194">
            <v>0.52</v>
          </cell>
          <cell r="X194">
            <v>0.51300000000000001</v>
          </cell>
          <cell r="Y194">
            <v>0.50600000000000001</v>
          </cell>
          <cell r="Z194">
            <v>0.501</v>
          </cell>
          <cell r="AA194">
            <v>0.496</v>
          </cell>
          <cell r="AB194">
            <v>0.49</v>
          </cell>
          <cell r="AC194">
            <v>0.48399999999999999</v>
          </cell>
        </row>
        <row r="195">
          <cell r="A195" t="str">
            <v>COFP (Billion euro)</v>
          </cell>
          <cell r="C195">
            <v>0</v>
          </cell>
          <cell r="D195">
            <v>0</v>
          </cell>
          <cell r="E195">
            <v>4.2999999999999997E-2</v>
          </cell>
          <cell r="F195">
            <v>4.2000000000000003E-2</v>
          </cell>
          <cell r="G195">
            <v>0.04</v>
          </cell>
          <cell r="H195">
            <v>4.3999999999999997E-2</v>
          </cell>
          <cell r="I195">
            <v>4.8000000000000001E-2</v>
          </cell>
          <cell r="J195">
            <v>0.05</v>
          </cell>
          <cell r="K195">
            <v>4.3999999999999997E-2</v>
          </cell>
          <cell r="L195">
            <v>4.1000000000000002E-2</v>
          </cell>
          <cell r="M195">
            <v>0.04</v>
          </cell>
          <cell r="N195">
            <v>3.9E-2</v>
          </cell>
          <cell r="O195">
            <v>3.3000000000000002E-2</v>
          </cell>
          <cell r="P195">
            <v>3.7999999999999999E-2</v>
          </cell>
          <cell r="Q195">
            <v>3.7999999999999999E-2</v>
          </cell>
          <cell r="R195">
            <v>3.5000000000000003E-2</v>
          </cell>
          <cell r="S195">
            <v>8.0000000000000002E-3</v>
          </cell>
          <cell r="T195">
            <v>3.7999999999999999E-2</v>
          </cell>
          <cell r="U195">
            <v>3.6999999999999998E-2</v>
          </cell>
          <cell r="V195">
            <v>3.5000000000000003E-2</v>
          </cell>
          <cell r="W195">
            <v>4.7E-2</v>
          </cell>
          <cell r="X195">
            <v>4.8000000000000001E-2</v>
          </cell>
          <cell r="Y195">
            <v>4.8000000000000001E-2</v>
          </cell>
          <cell r="Z195">
            <v>4.9000000000000002E-2</v>
          </cell>
          <cell r="AA195">
            <v>4.7E-2</v>
          </cell>
          <cell r="AB195">
            <v>4.4999999999999998E-2</v>
          </cell>
          <cell r="AC195">
            <v>4.3999999999999997E-2</v>
          </cell>
        </row>
        <row r="196">
          <cell r="A196" t="str">
            <v>Consumption (kWh/m2)</v>
          </cell>
          <cell r="B196">
            <v>100.41500000000001</v>
          </cell>
          <cell r="C196">
            <v>97.085999999999999</v>
          </cell>
          <cell r="D196">
            <v>93.731999999999999</v>
          </cell>
          <cell r="E196">
            <v>90.031000000000006</v>
          </cell>
          <cell r="F196">
            <v>85.662999999999997</v>
          </cell>
          <cell r="G196">
            <v>82.563999999999993</v>
          </cell>
          <cell r="H196">
            <v>79.706999999999994</v>
          </cell>
          <cell r="I196">
            <v>77.396000000000001</v>
          </cell>
          <cell r="J196">
            <v>74.731999999999999</v>
          </cell>
          <cell r="K196">
            <v>72.495999999999995</v>
          </cell>
          <cell r="L196">
            <v>70.405000000000001</v>
          </cell>
          <cell r="M196">
            <v>68.408000000000001</v>
          </cell>
          <cell r="N196">
            <v>66.47</v>
          </cell>
          <cell r="O196">
            <v>64.905000000000001</v>
          </cell>
          <cell r="P196">
            <v>63.183</v>
          </cell>
          <cell r="Q196">
            <v>61.475000000000001</v>
          </cell>
          <cell r="R196">
            <v>59.987000000000002</v>
          </cell>
          <cell r="S196">
            <v>55.848999999999997</v>
          </cell>
          <cell r="T196">
            <v>57.023000000000003</v>
          </cell>
          <cell r="U196">
            <v>55.863</v>
          </cell>
          <cell r="V196">
            <v>54.828000000000003</v>
          </cell>
          <cell r="W196">
            <v>54.067999999999998</v>
          </cell>
          <cell r="X196">
            <v>53.392000000000003</v>
          </cell>
          <cell r="Y196">
            <v>52.707999999999998</v>
          </cell>
          <cell r="Z196">
            <v>52.11</v>
          </cell>
          <cell r="AA196">
            <v>51.524000000000001</v>
          </cell>
          <cell r="AB196">
            <v>51.003</v>
          </cell>
          <cell r="AC196">
            <v>50.468000000000004</v>
          </cell>
        </row>
        <row r="197">
          <cell r="A197" t="str">
            <v>Consumption (TWh)</v>
          </cell>
          <cell r="B197">
            <v>260.45800000000003</v>
          </cell>
          <cell r="C197">
            <v>253.846</v>
          </cell>
          <cell r="D197">
            <v>247.452</v>
          </cell>
          <cell r="E197">
            <v>239.96</v>
          </cell>
          <cell r="F197">
            <v>230.488</v>
          </cell>
          <cell r="G197">
            <v>224.239</v>
          </cell>
          <cell r="H197">
            <v>218.499</v>
          </cell>
          <cell r="I197">
            <v>213.44499999999999</v>
          </cell>
          <cell r="J197">
            <v>207.33699999999999</v>
          </cell>
          <cell r="K197">
            <v>202.33099999999999</v>
          </cell>
          <cell r="L197">
            <v>197.65899999999999</v>
          </cell>
          <cell r="M197">
            <v>193.184</v>
          </cell>
          <cell r="N197">
            <v>188.81</v>
          </cell>
          <cell r="O197">
            <v>185.43600000000001</v>
          </cell>
          <cell r="P197">
            <v>181.56100000000001</v>
          </cell>
          <cell r="Q197">
            <v>177.667</v>
          </cell>
          <cell r="R197">
            <v>174.35599999999999</v>
          </cell>
          <cell r="S197">
            <v>162.584</v>
          </cell>
          <cell r="T197">
            <v>166.26400000000001</v>
          </cell>
          <cell r="U197">
            <v>163.137</v>
          </cell>
          <cell r="V197">
            <v>160.36699999999999</v>
          </cell>
          <cell r="W197">
            <v>158.393</v>
          </cell>
          <cell r="X197">
            <v>156.65899999999999</v>
          </cell>
          <cell r="Y197">
            <v>154.893</v>
          </cell>
          <cell r="Z197">
            <v>153.374</v>
          </cell>
          <cell r="AA197">
            <v>151.88499999999999</v>
          </cell>
          <cell r="AB197">
            <v>150.54900000000001</v>
          </cell>
          <cell r="AC197">
            <v>149.11000000000001</v>
          </cell>
        </row>
        <row r="198">
          <cell r="A198" t="str">
            <v>Consumption A (TWh)</v>
          </cell>
          <cell r="B198">
            <v>0.61699999999999999</v>
          </cell>
          <cell r="C198">
            <v>0.81399999999999995</v>
          </cell>
          <cell r="D198">
            <v>1.1399999999999999</v>
          </cell>
          <cell r="E198">
            <v>1.4910000000000001</v>
          </cell>
          <cell r="F198">
            <v>1.857</v>
          </cell>
          <cell r="G198">
            <v>2.2290000000000001</v>
          </cell>
          <cell r="H198">
            <v>2.605</v>
          </cell>
          <cell r="I198">
            <v>2.903</v>
          </cell>
          <cell r="J198">
            <v>3.222</v>
          </cell>
          <cell r="K198">
            <v>3.5430000000000001</v>
          </cell>
          <cell r="L198">
            <v>3.875</v>
          </cell>
          <cell r="M198">
            <v>4.2220000000000004</v>
          </cell>
          <cell r="N198">
            <v>4.5810000000000004</v>
          </cell>
          <cell r="O198">
            <v>4.9290000000000003</v>
          </cell>
          <cell r="P198">
            <v>5.2910000000000004</v>
          </cell>
          <cell r="Q198">
            <v>5.6639999999999997</v>
          </cell>
          <cell r="R198">
            <v>6.0419999999999998</v>
          </cell>
          <cell r="S198">
            <v>6.2930000000000001</v>
          </cell>
          <cell r="T198">
            <v>6.5419999999999998</v>
          </cell>
          <cell r="U198">
            <v>6.7949999999999999</v>
          </cell>
          <cell r="V198">
            <v>7.0469999999999997</v>
          </cell>
          <cell r="W198">
            <v>7.2370000000000001</v>
          </cell>
          <cell r="X198">
            <v>7.423</v>
          </cell>
          <cell r="Y198">
            <v>7.6079999999999997</v>
          </cell>
          <cell r="Z198">
            <v>7.7889999999999997</v>
          </cell>
          <cell r="AA198">
            <v>7.968</v>
          </cell>
          <cell r="AB198">
            <v>8.1440000000000001</v>
          </cell>
          <cell r="AC198">
            <v>8.3209999999999997</v>
          </cell>
        </row>
        <row r="199">
          <cell r="A199" t="str">
            <v>Consumption B (TWh)</v>
          </cell>
          <cell r="B199">
            <v>6.2160000000000002</v>
          </cell>
          <cell r="C199">
            <v>6.7880000000000003</v>
          </cell>
          <cell r="D199">
            <v>7.4340000000000002</v>
          </cell>
          <cell r="E199">
            <v>8.2509999999999994</v>
          </cell>
          <cell r="F199">
            <v>9.1289999999999996</v>
          </cell>
          <cell r="G199">
            <v>10.103999999999999</v>
          </cell>
          <cell r="H199">
            <v>11.199</v>
          </cell>
          <cell r="I199">
            <v>12.363</v>
          </cell>
          <cell r="J199">
            <v>13.541</v>
          </cell>
          <cell r="K199">
            <v>14.859</v>
          </cell>
          <cell r="L199">
            <v>16.228000000000002</v>
          </cell>
          <cell r="M199">
            <v>17.632999999999999</v>
          </cell>
          <cell r="N199">
            <v>19.065000000000001</v>
          </cell>
          <cell r="O199">
            <v>20.326000000000001</v>
          </cell>
          <cell r="P199">
            <v>21.611999999999998</v>
          </cell>
          <cell r="Q199">
            <v>22.905000000000001</v>
          </cell>
          <cell r="R199">
            <v>24.140999999999998</v>
          </cell>
          <cell r="S199">
            <v>25.37</v>
          </cell>
          <cell r="T199">
            <v>26.57</v>
          </cell>
          <cell r="U199">
            <v>27.760999999999999</v>
          </cell>
          <cell r="V199">
            <v>28.890999999999998</v>
          </cell>
          <cell r="W199">
            <v>29.724</v>
          </cell>
          <cell r="X199">
            <v>30.504999999999999</v>
          </cell>
          <cell r="Y199">
            <v>31.286999999999999</v>
          </cell>
          <cell r="Z199">
            <v>32.018999999999998</v>
          </cell>
          <cell r="AA199">
            <v>32.731999999999999</v>
          </cell>
          <cell r="AB199">
            <v>33.43</v>
          </cell>
          <cell r="AC199">
            <v>34.119</v>
          </cell>
        </row>
        <row r="200">
          <cell r="A200" t="str">
            <v>Consumption C (TWh)</v>
          </cell>
          <cell r="B200">
            <v>35.497</v>
          </cell>
          <cell r="C200">
            <v>37.264000000000003</v>
          </cell>
          <cell r="D200">
            <v>38.667000000000002</v>
          </cell>
          <cell r="E200">
            <v>41.201000000000001</v>
          </cell>
          <cell r="F200">
            <v>43.488</v>
          </cell>
          <cell r="G200">
            <v>46.222000000000001</v>
          </cell>
          <cell r="H200">
            <v>49.329000000000001</v>
          </cell>
          <cell r="I200">
            <v>52.723999999999997</v>
          </cell>
          <cell r="J200">
            <v>55.575000000000003</v>
          </cell>
          <cell r="K200">
            <v>58.57</v>
          </cell>
          <cell r="L200">
            <v>61.189</v>
          </cell>
          <cell r="M200">
            <v>63.466999999999999</v>
          </cell>
          <cell r="N200">
            <v>65.37</v>
          </cell>
          <cell r="O200">
            <v>66.63</v>
          </cell>
          <cell r="P200">
            <v>68.022000000000006</v>
          </cell>
          <cell r="Q200">
            <v>68.986999999999995</v>
          </cell>
          <cell r="R200">
            <v>69.587999999999994</v>
          </cell>
          <cell r="S200">
            <v>67.882000000000005</v>
          </cell>
          <cell r="T200">
            <v>70.951999999999998</v>
          </cell>
          <cell r="U200">
            <v>71.119</v>
          </cell>
          <cell r="V200">
            <v>71.087999999999994</v>
          </cell>
          <cell r="W200">
            <v>71.046999999999997</v>
          </cell>
          <cell r="X200">
            <v>71.009</v>
          </cell>
          <cell r="Y200">
            <v>70.927999999999997</v>
          </cell>
          <cell r="Z200">
            <v>70.869</v>
          </cell>
          <cell r="AA200">
            <v>70.771000000000001</v>
          </cell>
          <cell r="AB200">
            <v>70.634</v>
          </cell>
          <cell r="AC200">
            <v>70.457999999999998</v>
          </cell>
        </row>
        <row r="201">
          <cell r="A201" t="str">
            <v>Consumption D (TWh)</v>
          </cell>
          <cell r="B201">
            <v>102.74299999999999</v>
          </cell>
          <cell r="C201">
            <v>101.97799999999999</v>
          </cell>
          <cell r="D201">
            <v>101.14400000000001</v>
          </cell>
          <cell r="E201">
            <v>100.608</v>
          </cell>
          <cell r="F201">
            <v>98.796000000000006</v>
          </cell>
          <cell r="G201">
            <v>97.254000000000005</v>
          </cell>
          <cell r="H201">
            <v>95.299000000000007</v>
          </cell>
          <cell r="I201">
            <v>92.921999999999997</v>
          </cell>
          <cell r="J201">
            <v>90.933999999999997</v>
          </cell>
          <cell r="K201">
            <v>88.293999999999997</v>
          </cell>
          <cell r="L201">
            <v>85.244</v>
          </cell>
          <cell r="M201">
            <v>81.676000000000002</v>
          </cell>
          <cell r="N201">
            <v>77.837999999999994</v>
          </cell>
          <cell r="O201">
            <v>74.600999999999999</v>
          </cell>
          <cell r="P201">
            <v>70.316000000000003</v>
          </cell>
          <cell r="Q201">
            <v>66.174999999999997</v>
          </cell>
          <cell r="R201">
            <v>62.664999999999999</v>
          </cell>
          <cell r="S201">
            <v>54.100999999999999</v>
          </cell>
          <cell r="T201">
            <v>54.487000000000002</v>
          </cell>
          <cell r="U201">
            <v>51.156999999999996</v>
          </cell>
          <cell r="V201">
            <v>48.283000000000001</v>
          </cell>
          <cell r="W201">
            <v>46.369</v>
          </cell>
          <cell r="X201">
            <v>44.655999999999999</v>
          </cell>
          <cell r="Y201">
            <v>42.875999999999998</v>
          </cell>
          <cell r="Z201">
            <v>41.305</v>
          </cell>
          <cell r="AA201">
            <v>39.759</v>
          </cell>
          <cell r="AB201">
            <v>37.738</v>
          </cell>
          <cell r="AC201">
            <v>35.658999999999999</v>
          </cell>
        </row>
        <row r="202">
          <cell r="A202" t="str">
            <v>Consumption Direct electric (TWh)</v>
          </cell>
          <cell r="B202">
            <v>43.912999999999997</v>
          </cell>
          <cell r="C202">
            <v>40.822000000000003</v>
          </cell>
          <cell r="D202">
            <v>38.274999999999999</v>
          </cell>
          <cell r="E202">
            <v>35.811</v>
          </cell>
          <cell r="F202">
            <v>33.643000000000001</v>
          </cell>
          <cell r="G202">
            <v>31.591000000000001</v>
          </cell>
          <cell r="H202">
            <v>29.559000000000001</v>
          </cell>
          <cell r="I202">
            <v>27.475999999999999</v>
          </cell>
          <cell r="J202">
            <v>25.506</v>
          </cell>
          <cell r="K202">
            <v>23.597999999999999</v>
          </cell>
          <cell r="L202">
            <v>21.795999999999999</v>
          </cell>
          <cell r="M202">
            <v>20.094999999999999</v>
          </cell>
          <cell r="N202">
            <v>18.483000000000001</v>
          </cell>
          <cell r="O202">
            <v>16.875</v>
          </cell>
          <cell r="P202">
            <v>15.284000000000001</v>
          </cell>
          <cell r="Q202">
            <v>13.756</v>
          </cell>
          <cell r="R202">
            <v>12.308</v>
          </cell>
          <cell r="S202">
            <v>10.906000000000001</v>
          </cell>
          <cell r="T202">
            <v>9.5470000000000006</v>
          </cell>
          <cell r="U202">
            <v>8.2579999999999991</v>
          </cell>
          <cell r="V202">
            <v>7.032</v>
          </cell>
          <cell r="W202">
            <v>6.68</v>
          </cell>
          <cell r="X202">
            <v>6.3179999999999996</v>
          </cell>
          <cell r="Y202">
            <v>6.05</v>
          </cell>
          <cell r="Z202">
            <v>5.758</v>
          </cell>
          <cell r="AA202">
            <v>5.51</v>
          </cell>
          <cell r="AB202">
            <v>5.327</v>
          </cell>
          <cell r="AC202">
            <v>5.18</v>
          </cell>
        </row>
        <row r="203">
          <cell r="A203" t="str">
            <v>Consumption District heating (TWh)</v>
          </cell>
          <cell r="B203">
            <v>11.458</v>
          </cell>
          <cell r="C203">
            <v>12.433</v>
          </cell>
          <cell r="D203">
            <v>12.541</v>
          </cell>
          <cell r="E203">
            <v>14.083</v>
          </cell>
          <cell r="F203">
            <v>15.083</v>
          </cell>
          <cell r="G203">
            <v>17.132999999999999</v>
          </cell>
          <cell r="H203">
            <v>20.352</v>
          </cell>
          <cell r="I203">
            <v>24.602</v>
          </cell>
          <cell r="J203">
            <v>26.908999999999999</v>
          </cell>
          <cell r="K203">
            <v>30.338000000000001</v>
          </cell>
          <cell r="L203">
            <v>33.241999999999997</v>
          </cell>
          <cell r="M203">
            <v>35.552999999999997</v>
          </cell>
          <cell r="N203">
            <v>37.351999999999997</v>
          </cell>
          <cell r="O203">
            <v>38.664999999999999</v>
          </cell>
          <cell r="P203">
            <v>39.22</v>
          </cell>
          <cell r="Q203">
            <v>39.438000000000002</v>
          </cell>
          <cell r="R203">
            <v>39.345999999999997</v>
          </cell>
          <cell r="S203">
            <v>38.764000000000003</v>
          </cell>
          <cell r="T203">
            <v>38.344999999999999</v>
          </cell>
          <cell r="U203">
            <v>37.927999999999997</v>
          </cell>
          <cell r="V203">
            <v>37.540999999999997</v>
          </cell>
          <cell r="W203">
            <v>37.145000000000003</v>
          </cell>
          <cell r="X203">
            <v>36.762</v>
          </cell>
          <cell r="Y203">
            <v>36.393000000000001</v>
          </cell>
          <cell r="Z203">
            <v>36.033999999999999</v>
          </cell>
          <cell r="AA203">
            <v>35.686</v>
          </cell>
          <cell r="AB203">
            <v>35.651000000000003</v>
          </cell>
          <cell r="AC203">
            <v>35.606000000000002</v>
          </cell>
        </row>
        <row r="204">
          <cell r="A204" t="str">
            <v>Consumption E (TWh)</v>
          </cell>
          <cell r="B204">
            <v>52.265000000000001</v>
          </cell>
          <cell r="C204">
            <v>50.145000000000003</v>
          </cell>
          <cell r="D204">
            <v>47.689</v>
          </cell>
          <cell r="E204">
            <v>45.292999999999999</v>
          </cell>
          <cell r="F204">
            <v>42.183</v>
          </cell>
          <cell r="G204">
            <v>39.598999999999997</v>
          </cell>
          <cell r="H204">
            <v>37.012999999999998</v>
          </cell>
          <cell r="I204">
            <v>34.51</v>
          </cell>
          <cell r="J204">
            <v>29.919</v>
          </cell>
          <cell r="K204">
            <v>25.916</v>
          </cell>
          <cell r="L204">
            <v>22.303000000000001</v>
          </cell>
          <cell r="M204">
            <v>19.193000000000001</v>
          </cell>
          <cell r="N204">
            <v>16.405000000000001</v>
          </cell>
          <cell r="O204">
            <v>14.394</v>
          </cell>
          <cell r="P204">
            <v>12.573</v>
          </cell>
          <cell r="Q204">
            <v>10.903</v>
          </cell>
          <cell r="R204">
            <v>9.4540000000000006</v>
          </cell>
          <cell r="S204">
            <v>7.0860000000000003</v>
          </cell>
          <cell r="T204">
            <v>6.2329999999999997</v>
          </cell>
          <cell r="U204">
            <v>5.1440000000000001</v>
          </cell>
          <cell r="V204">
            <v>4.1630000000000003</v>
          </cell>
          <cell r="W204">
            <v>3.3210000000000002</v>
          </cell>
          <cell r="X204">
            <v>2.548</v>
          </cell>
          <cell r="Y204">
            <v>1.831</v>
          </cell>
          <cell r="Z204">
            <v>1.1679999999999999</v>
          </cell>
          <cell r="AA204">
            <v>0.55000000000000004</v>
          </cell>
          <cell r="AB204">
            <v>0.50800000000000001</v>
          </cell>
          <cell r="AC204">
            <v>0.46700000000000003</v>
          </cell>
        </row>
        <row r="205">
          <cell r="A205" t="str">
            <v>Consumption Electricity (TWh)</v>
          </cell>
          <cell r="B205">
            <v>50.896999999999998</v>
          </cell>
          <cell r="C205">
            <v>49.848999999999997</v>
          </cell>
          <cell r="D205">
            <v>49.463999999999999</v>
          </cell>
          <cell r="E205">
            <v>49.143000000000001</v>
          </cell>
          <cell r="F205">
            <v>49.213000000000001</v>
          </cell>
          <cell r="G205">
            <v>49.216999999999999</v>
          </cell>
          <cell r="H205">
            <v>49.058</v>
          </cell>
          <cell r="I205">
            <v>48.606999999999999</v>
          </cell>
          <cell r="J205">
            <v>48.402999999999999</v>
          </cell>
          <cell r="K205">
            <v>48.122999999999998</v>
          </cell>
          <cell r="L205">
            <v>47.981999999999999</v>
          </cell>
          <cell r="M205">
            <v>47.984000000000002</v>
          </cell>
          <cell r="N205">
            <v>48.119</v>
          </cell>
          <cell r="O205">
            <v>47.838000000000001</v>
          </cell>
          <cell r="P205">
            <v>47.606999999999999</v>
          </cell>
          <cell r="Q205">
            <v>47.405000000000001</v>
          </cell>
          <cell r="R205">
            <v>47.161000000000001</v>
          </cell>
          <cell r="S205">
            <v>46.9</v>
          </cell>
          <cell r="T205">
            <v>46.505000000000003</v>
          </cell>
          <cell r="U205">
            <v>46.164000000000001</v>
          </cell>
          <cell r="V205">
            <v>45.801000000000002</v>
          </cell>
          <cell r="W205">
            <v>45.862000000000002</v>
          </cell>
          <cell r="X205">
            <v>45.856000000000002</v>
          </cell>
          <cell r="Y205">
            <v>46.011000000000003</v>
          </cell>
          <cell r="Z205">
            <v>46.08</v>
          </cell>
          <cell r="AA205">
            <v>46.201999999999998</v>
          </cell>
          <cell r="AB205">
            <v>46.384999999999998</v>
          </cell>
          <cell r="AC205">
            <v>46.588000000000001</v>
          </cell>
        </row>
        <row r="206">
          <cell r="A206" t="str">
            <v>Consumption Electricity saving (TWh/year)</v>
          </cell>
          <cell r="C206">
            <v>1.2929999999999999</v>
          </cell>
          <cell r="D206">
            <v>0.69</v>
          </cell>
          <cell r="E206">
            <v>0.629</v>
          </cell>
          <cell r="F206">
            <v>0.24</v>
          </cell>
          <cell r="G206">
            <v>0.30599999999999999</v>
          </cell>
          <cell r="H206">
            <v>0.46899999999999997</v>
          </cell>
          <cell r="I206">
            <v>0.65900000000000003</v>
          </cell>
          <cell r="J206">
            <v>0.41199999999999998</v>
          </cell>
          <cell r="K206">
            <v>0.48599999999999999</v>
          </cell>
          <cell r="L206">
            <v>0.34599999999999997</v>
          </cell>
          <cell r="M206">
            <v>0.20200000000000001</v>
          </cell>
          <cell r="N206">
            <v>6.8000000000000005E-2</v>
          </cell>
          <cell r="O206">
            <v>0.48199999999999998</v>
          </cell>
          <cell r="P206">
            <v>0.435</v>
          </cell>
          <cell r="Q206">
            <v>0.40400000000000003</v>
          </cell>
          <cell r="R206">
            <v>0.45300000000000001</v>
          </cell>
          <cell r="S206">
            <v>0.34100000000000003</v>
          </cell>
          <cell r="T206">
            <v>0.47499999999999998</v>
          </cell>
          <cell r="U206">
            <v>0.42899999999999999</v>
          </cell>
          <cell r="V206">
            <v>0.45900000000000002</v>
          </cell>
          <cell r="W206">
            <v>4.3999999999999997E-2</v>
          </cell>
          <cell r="X206">
            <v>0.113</v>
          </cell>
          <cell r="Y206">
            <v>-4.5999999999999999E-2</v>
          </cell>
          <cell r="Z206">
            <v>4.1000000000000002E-2</v>
          </cell>
          <cell r="AA206">
            <v>-1.0999999999999999E-2</v>
          </cell>
          <cell r="AB206">
            <v>-6.7000000000000004E-2</v>
          </cell>
          <cell r="AC206">
            <v>-0.10299999999999999</v>
          </cell>
        </row>
        <row r="207">
          <cell r="A207" t="str">
            <v>Consumption Electricity-Heat pump air (TWh)</v>
          </cell>
          <cell r="B207">
            <v>1.397</v>
          </cell>
          <cell r="C207">
            <v>2.3759999999999999</v>
          </cell>
          <cell r="D207">
            <v>3.383</v>
          </cell>
          <cell r="E207">
            <v>4.2770000000000001</v>
          </cell>
          <cell r="F207">
            <v>5.2110000000000003</v>
          </cell>
          <cell r="G207">
            <v>6.0590000000000002</v>
          </cell>
          <cell r="H207">
            <v>6.8239999999999998</v>
          </cell>
          <cell r="I207">
            <v>7.4969999999999999</v>
          </cell>
          <cell r="J207">
            <v>8.2309999999999999</v>
          </cell>
          <cell r="K207">
            <v>8.9019999999999992</v>
          </cell>
          <cell r="L207">
            <v>9.5869999999999997</v>
          </cell>
          <cell r="M207">
            <v>10.289</v>
          </cell>
          <cell r="N207">
            <v>11.01</v>
          </cell>
          <cell r="O207">
            <v>11.574999999999999</v>
          </cell>
          <cell r="P207">
            <v>12.154</v>
          </cell>
          <cell r="Q207">
            <v>12.722</v>
          </cell>
          <cell r="R207">
            <v>13.239000000000001</v>
          </cell>
          <cell r="S207">
            <v>13.736000000000001</v>
          </cell>
          <cell r="T207">
            <v>14.157</v>
          </cell>
          <cell r="U207">
            <v>14.571999999999999</v>
          </cell>
          <cell r="V207">
            <v>14.952</v>
          </cell>
          <cell r="W207">
            <v>15.036</v>
          </cell>
          <cell r="X207">
            <v>15.090999999999999</v>
          </cell>
          <cell r="Y207">
            <v>15.223000000000001</v>
          </cell>
          <cell r="Z207">
            <v>15.327</v>
          </cell>
          <cell r="AA207">
            <v>15.446</v>
          </cell>
          <cell r="AB207">
            <v>15.576000000000001</v>
          </cell>
          <cell r="AC207">
            <v>15.71</v>
          </cell>
        </row>
        <row r="208">
          <cell r="A208" t="str">
            <v>Consumption Electricity-Heat pump water (TWh)</v>
          </cell>
          <cell r="B208">
            <v>5.5869999999999997</v>
          </cell>
          <cell r="C208">
            <v>6.6509999999999998</v>
          </cell>
          <cell r="D208">
            <v>7.806</v>
          </cell>
          <cell r="E208">
            <v>9.0549999999999997</v>
          </cell>
          <cell r="F208">
            <v>10.359</v>
          </cell>
          <cell r="G208">
            <v>11.566000000000001</v>
          </cell>
          <cell r="H208">
            <v>12.675000000000001</v>
          </cell>
          <cell r="I208">
            <v>13.632999999999999</v>
          </cell>
          <cell r="J208">
            <v>14.664999999999999</v>
          </cell>
          <cell r="K208">
            <v>15.622999999999999</v>
          </cell>
          <cell r="L208">
            <v>16.599</v>
          </cell>
          <cell r="M208">
            <v>17.600000000000001</v>
          </cell>
          <cell r="N208">
            <v>18.626000000000001</v>
          </cell>
          <cell r="O208">
            <v>19.388999999999999</v>
          </cell>
          <cell r="P208">
            <v>20.167999999999999</v>
          </cell>
          <cell r="Q208">
            <v>20.927</v>
          </cell>
          <cell r="R208">
            <v>21.613</v>
          </cell>
          <cell r="S208">
            <v>22.257999999999999</v>
          </cell>
          <cell r="T208">
            <v>22.800999999999998</v>
          </cell>
          <cell r="U208">
            <v>23.334</v>
          </cell>
          <cell r="V208">
            <v>23.818000000000001</v>
          </cell>
          <cell r="W208">
            <v>24.146999999999998</v>
          </cell>
          <cell r="X208">
            <v>24.448</v>
          </cell>
          <cell r="Y208">
            <v>24.738</v>
          </cell>
          <cell r="Z208">
            <v>24.995000000000001</v>
          </cell>
          <cell r="AA208">
            <v>25.245000000000001</v>
          </cell>
          <cell r="AB208">
            <v>25.481999999999999</v>
          </cell>
          <cell r="AC208">
            <v>25.698</v>
          </cell>
        </row>
        <row r="209">
          <cell r="A209" t="str">
            <v>Consumption Electricity-Performance boiler (TWh)</v>
          </cell>
          <cell r="B209">
            <v>43.912999999999997</v>
          </cell>
          <cell r="C209">
            <v>40.822000000000003</v>
          </cell>
          <cell r="D209">
            <v>38.274999999999999</v>
          </cell>
          <cell r="E209">
            <v>35.811</v>
          </cell>
          <cell r="F209">
            <v>33.643000000000001</v>
          </cell>
          <cell r="G209">
            <v>31.591000000000001</v>
          </cell>
          <cell r="H209">
            <v>29.559000000000001</v>
          </cell>
          <cell r="I209">
            <v>27.475999999999999</v>
          </cell>
          <cell r="J209">
            <v>25.506</v>
          </cell>
          <cell r="K209">
            <v>23.597999999999999</v>
          </cell>
          <cell r="L209">
            <v>21.795999999999999</v>
          </cell>
          <cell r="M209">
            <v>20.094999999999999</v>
          </cell>
          <cell r="N209">
            <v>18.483000000000001</v>
          </cell>
          <cell r="O209">
            <v>16.875</v>
          </cell>
          <cell r="P209">
            <v>15.284000000000001</v>
          </cell>
          <cell r="Q209">
            <v>13.756</v>
          </cell>
          <cell r="R209">
            <v>12.308</v>
          </cell>
          <cell r="S209">
            <v>10.906000000000001</v>
          </cell>
          <cell r="T209">
            <v>9.5470000000000006</v>
          </cell>
          <cell r="U209">
            <v>8.2579999999999991</v>
          </cell>
          <cell r="V209">
            <v>7.032</v>
          </cell>
          <cell r="W209">
            <v>6.68</v>
          </cell>
          <cell r="X209">
            <v>6.3179999999999996</v>
          </cell>
          <cell r="Y209">
            <v>6.05</v>
          </cell>
          <cell r="Z209">
            <v>5.758</v>
          </cell>
          <cell r="AA209">
            <v>5.51</v>
          </cell>
          <cell r="AB209">
            <v>5.327</v>
          </cell>
          <cell r="AC209">
            <v>5.18</v>
          </cell>
        </row>
        <row r="210">
          <cell r="A210" t="str">
            <v>Consumption existing (kWh/m2)</v>
          </cell>
          <cell r="B210">
            <v>100.41500000000001</v>
          </cell>
          <cell r="C210">
            <v>97.798000000000002</v>
          </cell>
          <cell r="D210">
            <v>95.248999999999995</v>
          </cell>
          <cell r="E210">
            <v>92.269000000000005</v>
          </cell>
          <cell r="F210">
            <v>88.516000000000005</v>
          </cell>
          <cell r="G210">
            <v>86.004000000000005</v>
          </cell>
          <cell r="H210">
            <v>83.683000000000007</v>
          </cell>
          <cell r="I210">
            <v>81.680999999999997</v>
          </cell>
          <cell r="J210">
            <v>79.265000000000001</v>
          </cell>
          <cell r="K210">
            <v>77.272000000000006</v>
          </cell>
          <cell r="L210">
            <v>75.405000000000001</v>
          </cell>
          <cell r="M210">
            <v>73.611999999999995</v>
          </cell>
          <cell r="N210">
            <v>71.852999999999994</v>
          </cell>
          <cell r="O210">
            <v>70.48</v>
          </cell>
          <cell r="P210">
            <v>68.908000000000001</v>
          </cell>
          <cell r="Q210">
            <v>67.326999999999998</v>
          </cell>
          <cell r="R210">
            <v>65.968999999999994</v>
          </cell>
          <cell r="S210">
            <v>61.406999999999996</v>
          </cell>
          <cell r="T210">
            <v>62.893000000000001</v>
          </cell>
          <cell r="U210">
            <v>61.707999999999998</v>
          </cell>
          <cell r="V210">
            <v>60.661000000000001</v>
          </cell>
          <cell r="W210">
            <v>59.923999999999999</v>
          </cell>
          <cell r="X210">
            <v>59.279000000000003</v>
          </cell>
          <cell r="Y210">
            <v>58.62</v>
          </cell>
          <cell r="Z210">
            <v>58.057000000000002</v>
          </cell>
          <cell r="AA210">
            <v>57.503</v>
          </cell>
          <cell r="AB210">
            <v>57.024000000000001</v>
          </cell>
          <cell r="AC210">
            <v>56.518999999999998</v>
          </cell>
        </row>
        <row r="211">
          <cell r="A211" t="str">
            <v>Consumption existing (TWh)</v>
          </cell>
          <cell r="B211">
            <v>260.45800000000003</v>
          </cell>
          <cell r="C211">
            <v>253.41</v>
          </cell>
          <cell r="D211">
            <v>246.55099999999999</v>
          </cell>
          <cell r="E211">
            <v>238.589</v>
          </cell>
          <cell r="F211">
            <v>228.64599999999999</v>
          </cell>
          <cell r="G211">
            <v>221.923</v>
          </cell>
          <cell r="H211">
            <v>215.70699999999999</v>
          </cell>
          <cell r="I211">
            <v>210.327</v>
          </cell>
          <cell r="J211">
            <v>203.892</v>
          </cell>
          <cell r="K211">
            <v>198.55699999999999</v>
          </cell>
          <cell r="L211">
            <v>193.55500000000001</v>
          </cell>
          <cell r="M211">
            <v>188.75</v>
          </cell>
          <cell r="N211">
            <v>184.04400000000001</v>
          </cell>
          <cell r="O211">
            <v>180.33600000000001</v>
          </cell>
          <cell r="P211">
            <v>176.125</v>
          </cell>
          <cell r="Q211">
            <v>171.898</v>
          </cell>
          <cell r="R211">
            <v>168.25</v>
          </cell>
          <cell r="S211">
            <v>156.357</v>
          </cell>
          <cell r="T211">
            <v>159.88</v>
          </cell>
          <cell r="U211">
            <v>156.613</v>
          </cell>
          <cell r="V211">
            <v>153.703</v>
          </cell>
          <cell r="W211">
            <v>151.58799999999999</v>
          </cell>
          <cell r="X211">
            <v>149.71299999999999</v>
          </cell>
          <cell r="Y211">
            <v>147.80500000000001</v>
          </cell>
          <cell r="Z211">
            <v>146.14400000000001</v>
          </cell>
          <cell r="AA211">
            <v>144.511</v>
          </cell>
          <cell r="AB211">
            <v>143.03200000000001</v>
          </cell>
          <cell r="AC211">
            <v>141.45400000000001</v>
          </cell>
        </row>
        <row r="212">
          <cell r="A212" t="str">
            <v>Consumption Existing (TWh)</v>
          </cell>
          <cell r="B212">
            <v>260.45800000000003</v>
          </cell>
          <cell r="C212">
            <v>253.41</v>
          </cell>
          <cell r="D212">
            <v>246.55099999999999</v>
          </cell>
          <cell r="E212">
            <v>238.589</v>
          </cell>
          <cell r="F212">
            <v>228.64599999999999</v>
          </cell>
          <cell r="G212">
            <v>221.923</v>
          </cell>
          <cell r="H212">
            <v>215.70699999999999</v>
          </cell>
          <cell r="I212">
            <v>210.327</v>
          </cell>
          <cell r="J212">
            <v>203.892</v>
          </cell>
          <cell r="K212">
            <v>198.55699999999999</v>
          </cell>
          <cell r="L212">
            <v>193.55500000000001</v>
          </cell>
          <cell r="M212">
            <v>188.75</v>
          </cell>
          <cell r="N212">
            <v>184.04400000000001</v>
          </cell>
          <cell r="O212">
            <v>180.33600000000001</v>
          </cell>
          <cell r="P212">
            <v>176.125</v>
          </cell>
          <cell r="Q212">
            <v>171.898</v>
          </cell>
          <cell r="R212">
            <v>168.25</v>
          </cell>
          <cell r="S212">
            <v>156.357</v>
          </cell>
          <cell r="T212">
            <v>159.88</v>
          </cell>
          <cell r="U212">
            <v>156.613</v>
          </cell>
          <cell r="V212">
            <v>153.703</v>
          </cell>
          <cell r="W212">
            <v>151.58799999999999</v>
          </cell>
          <cell r="X212">
            <v>149.71299999999999</v>
          </cell>
          <cell r="Y212">
            <v>147.80500000000001</v>
          </cell>
          <cell r="Z212">
            <v>146.14400000000001</v>
          </cell>
          <cell r="AA212">
            <v>144.511</v>
          </cell>
          <cell r="AB212">
            <v>143.03200000000001</v>
          </cell>
          <cell r="AC212">
            <v>141.45400000000001</v>
          </cell>
        </row>
        <row r="213">
          <cell r="A213" t="str">
            <v>Consumption F (TWh)</v>
          </cell>
          <cell r="B213">
            <v>38.957000000000001</v>
          </cell>
          <cell r="C213">
            <v>36.622</v>
          </cell>
          <cell r="D213">
            <v>34.308999999999997</v>
          </cell>
          <cell r="E213">
            <v>30.061</v>
          </cell>
          <cell r="F213">
            <v>25.766999999999999</v>
          </cell>
          <cell r="G213">
            <v>22.209</v>
          </cell>
          <cell r="H213">
            <v>18.646000000000001</v>
          </cell>
          <cell r="I213">
            <v>15.058</v>
          </cell>
          <cell r="J213">
            <v>12.138999999999999</v>
          </cell>
          <cell r="K213">
            <v>9.7850000000000001</v>
          </cell>
          <cell r="L213">
            <v>7.8849999999999998</v>
          </cell>
          <cell r="M213">
            <v>6.3490000000000002</v>
          </cell>
          <cell r="N213">
            <v>5.1029999999999998</v>
          </cell>
          <cell r="O213">
            <v>4.2</v>
          </cell>
          <cell r="P213">
            <v>3.464</v>
          </cell>
          <cell r="Q213">
            <v>2.8119999999999998</v>
          </cell>
          <cell r="R213">
            <v>2.2959999999999998</v>
          </cell>
          <cell r="S213">
            <v>1.7230000000000001</v>
          </cell>
          <cell r="T213">
            <v>1.3839999999999999</v>
          </cell>
          <cell r="U213">
            <v>1.0920000000000001</v>
          </cell>
          <cell r="V213">
            <v>0.84399999999999997</v>
          </cell>
          <cell r="W213">
            <v>0.65700000000000003</v>
          </cell>
          <cell r="X213">
            <v>0.49099999999999999</v>
          </cell>
          <cell r="Y213">
            <v>0.34599999999999997</v>
          </cell>
          <cell r="Z213">
            <v>0.215</v>
          </cell>
          <cell r="AA213">
            <v>0.1</v>
          </cell>
          <cell r="AB213">
            <v>9.1999999999999998E-2</v>
          </cell>
          <cell r="AC213">
            <v>8.3000000000000004E-2</v>
          </cell>
        </row>
        <row r="214">
          <cell r="A214" t="str">
            <v>Consumption G (TWh)</v>
          </cell>
          <cell r="B214">
            <v>24.164000000000001</v>
          </cell>
          <cell r="C214">
            <v>20.234999999999999</v>
          </cell>
          <cell r="D214">
            <v>17.068999999999999</v>
          </cell>
          <cell r="E214">
            <v>13.055</v>
          </cell>
          <cell r="F214">
            <v>9.2669999999999995</v>
          </cell>
          <cell r="G214">
            <v>6.6230000000000002</v>
          </cell>
          <cell r="H214">
            <v>4.407</v>
          </cell>
          <cell r="I214">
            <v>2.964</v>
          </cell>
          <cell r="J214">
            <v>2.0059999999999998</v>
          </cell>
          <cell r="K214">
            <v>1.3640000000000001</v>
          </cell>
          <cell r="L214">
            <v>0.93400000000000005</v>
          </cell>
          <cell r="M214">
            <v>0.64500000000000002</v>
          </cell>
          <cell r="N214">
            <v>0.44700000000000001</v>
          </cell>
          <cell r="O214">
            <v>0.35499999999999998</v>
          </cell>
          <cell r="P214">
            <v>0.28299999999999997</v>
          </cell>
          <cell r="Q214">
            <v>0.22</v>
          </cell>
          <cell r="R214">
            <v>0.17100000000000001</v>
          </cell>
          <cell r="S214">
            <v>0.128</v>
          </cell>
          <cell r="T214">
            <v>9.6000000000000002E-2</v>
          </cell>
          <cell r="U214">
            <v>7.0999999999999994E-2</v>
          </cell>
          <cell r="V214">
            <v>5.0999999999999997E-2</v>
          </cell>
          <cell r="W214">
            <v>3.6999999999999998E-2</v>
          </cell>
          <cell r="X214">
            <v>2.5999999999999999E-2</v>
          </cell>
          <cell r="Y214">
            <v>1.7000000000000001E-2</v>
          </cell>
          <cell r="Z214">
            <v>0.01</v>
          </cell>
          <cell r="AA214">
            <v>4.0000000000000001E-3</v>
          </cell>
          <cell r="AB214">
            <v>4.0000000000000001E-3</v>
          </cell>
          <cell r="AC214">
            <v>3.0000000000000001E-3</v>
          </cell>
        </row>
        <row r="215">
          <cell r="A215" t="str">
            <v>Consumption Heat pump (TWh)</v>
          </cell>
          <cell r="B215">
            <v>6.984</v>
          </cell>
          <cell r="C215">
            <v>9.0269999999999992</v>
          </cell>
          <cell r="D215">
            <v>11.189</v>
          </cell>
          <cell r="E215">
            <v>13.333</v>
          </cell>
          <cell r="F215">
            <v>15.57</v>
          </cell>
          <cell r="G215">
            <v>17.626000000000001</v>
          </cell>
          <cell r="H215">
            <v>19.498999999999999</v>
          </cell>
          <cell r="I215">
            <v>21.13</v>
          </cell>
          <cell r="J215">
            <v>22.896000000000001</v>
          </cell>
          <cell r="K215">
            <v>24.526</v>
          </cell>
          <cell r="L215">
            <v>26.186</v>
          </cell>
          <cell r="M215">
            <v>27.89</v>
          </cell>
          <cell r="N215">
            <v>29.635999999999999</v>
          </cell>
          <cell r="O215">
            <v>30.963000000000001</v>
          </cell>
          <cell r="P215">
            <v>32.322000000000003</v>
          </cell>
          <cell r="Q215">
            <v>33.649000000000001</v>
          </cell>
          <cell r="R215">
            <v>34.851999999999997</v>
          </cell>
          <cell r="S215">
            <v>35.994</v>
          </cell>
          <cell r="T215">
            <v>36.957999999999998</v>
          </cell>
          <cell r="U215">
            <v>37.905999999999999</v>
          </cell>
          <cell r="V215">
            <v>38.768999999999998</v>
          </cell>
          <cell r="W215">
            <v>39.183</v>
          </cell>
          <cell r="X215">
            <v>39.537999999999997</v>
          </cell>
          <cell r="Y215">
            <v>39.960999999999999</v>
          </cell>
          <cell r="Z215">
            <v>40.322000000000003</v>
          </cell>
          <cell r="AA215">
            <v>40.692</v>
          </cell>
          <cell r="AB215">
            <v>41.058</v>
          </cell>
          <cell r="AC215">
            <v>41.408000000000001</v>
          </cell>
        </row>
        <row r="216">
          <cell r="A216" t="str">
            <v>Consumption Heating (TWh)</v>
          </cell>
          <cell r="B216">
            <v>11.458</v>
          </cell>
          <cell r="C216">
            <v>12.433</v>
          </cell>
          <cell r="D216">
            <v>12.541</v>
          </cell>
          <cell r="E216">
            <v>14.083</v>
          </cell>
          <cell r="F216">
            <v>15.083</v>
          </cell>
          <cell r="G216">
            <v>17.132999999999999</v>
          </cell>
          <cell r="H216">
            <v>20.352</v>
          </cell>
          <cell r="I216">
            <v>24.602</v>
          </cell>
          <cell r="J216">
            <v>26.908999999999999</v>
          </cell>
          <cell r="K216">
            <v>30.338000000000001</v>
          </cell>
          <cell r="L216">
            <v>33.241999999999997</v>
          </cell>
          <cell r="M216">
            <v>35.552999999999997</v>
          </cell>
          <cell r="N216">
            <v>37.351999999999997</v>
          </cell>
          <cell r="O216">
            <v>38.664999999999999</v>
          </cell>
          <cell r="P216">
            <v>39.22</v>
          </cell>
          <cell r="Q216">
            <v>39.438000000000002</v>
          </cell>
          <cell r="R216">
            <v>39.345999999999997</v>
          </cell>
          <cell r="S216">
            <v>38.764000000000003</v>
          </cell>
          <cell r="T216">
            <v>38.344999999999999</v>
          </cell>
          <cell r="U216">
            <v>37.927999999999997</v>
          </cell>
          <cell r="V216">
            <v>37.540999999999997</v>
          </cell>
          <cell r="W216">
            <v>37.145000000000003</v>
          </cell>
          <cell r="X216">
            <v>36.762</v>
          </cell>
          <cell r="Y216">
            <v>36.393000000000001</v>
          </cell>
          <cell r="Z216">
            <v>36.033999999999999</v>
          </cell>
          <cell r="AA216">
            <v>35.686</v>
          </cell>
          <cell r="AB216">
            <v>35.651000000000003</v>
          </cell>
          <cell r="AC216">
            <v>35.606000000000002</v>
          </cell>
        </row>
        <row r="217">
          <cell r="A217" t="str">
            <v>Consumption Heating saving (TWh/year)</v>
          </cell>
          <cell r="C217">
            <v>-0.90800000000000003</v>
          </cell>
          <cell r="D217">
            <v>0.04</v>
          </cell>
          <cell r="E217">
            <v>-1.3939999999999999</v>
          </cell>
          <cell r="F217">
            <v>-0.85199999999999998</v>
          </cell>
          <cell r="G217">
            <v>-1.903</v>
          </cell>
          <cell r="H217">
            <v>-3.0720000000000001</v>
          </cell>
          <cell r="I217">
            <v>-4.1219999999999999</v>
          </cell>
          <cell r="J217">
            <v>-2.1819999999999999</v>
          </cell>
          <cell r="K217">
            <v>-3.3069999999999999</v>
          </cell>
          <cell r="L217">
            <v>-2.7890000000000001</v>
          </cell>
          <cell r="M217">
            <v>-2.2040000000000002</v>
          </cell>
          <cell r="N217">
            <v>-1.7050000000000001</v>
          </cell>
          <cell r="O217">
            <v>-1.2330000000000001</v>
          </cell>
          <cell r="P217">
            <v>-0.48499999999999999</v>
          </cell>
          <cell r="Q217">
            <v>-0.158</v>
          </cell>
          <cell r="R217">
            <v>0.14000000000000001</v>
          </cell>
          <cell r="S217">
            <v>0.45200000000000001</v>
          </cell>
          <cell r="T217">
            <v>0.25600000000000001</v>
          </cell>
          <cell r="U217">
            <v>0.23499999999999999</v>
          </cell>
          <cell r="V217">
            <v>0.185</v>
          </cell>
          <cell r="W217">
            <v>0.17299999999999999</v>
          </cell>
          <cell r="X217">
            <v>0.14899999999999999</v>
          </cell>
          <cell r="Y217">
            <v>0.125</v>
          </cell>
          <cell r="Z217">
            <v>0.105</v>
          </cell>
          <cell r="AA217">
            <v>8.5000000000000006E-2</v>
          </cell>
          <cell r="AB217">
            <v>7.2999999999999995E-2</v>
          </cell>
          <cell r="AC217">
            <v>7.6999999999999999E-2</v>
          </cell>
        </row>
        <row r="218">
          <cell r="A218" t="str">
            <v>Consumption Heating-District heating (TWh)</v>
          </cell>
          <cell r="B218">
            <v>11.458</v>
          </cell>
          <cell r="C218">
            <v>12.433</v>
          </cell>
          <cell r="D218">
            <v>12.541</v>
          </cell>
          <cell r="E218">
            <v>14.083</v>
          </cell>
          <cell r="F218">
            <v>15.083</v>
          </cell>
          <cell r="G218">
            <v>17.132999999999999</v>
          </cell>
          <cell r="H218">
            <v>20.352</v>
          </cell>
          <cell r="I218">
            <v>24.602</v>
          </cell>
          <cell r="J218">
            <v>26.908999999999999</v>
          </cell>
          <cell r="K218">
            <v>30.338000000000001</v>
          </cell>
          <cell r="L218">
            <v>33.241999999999997</v>
          </cell>
          <cell r="M218">
            <v>35.552999999999997</v>
          </cell>
          <cell r="N218">
            <v>37.351999999999997</v>
          </cell>
          <cell r="O218">
            <v>38.664999999999999</v>
          </cell>
          <cell r="P218">
            <v>39.22</v>
          </cell>
          <cell r="Q218">
            <v>39.438000000000002</v>
          </cell>
          <cell r="R218">
            <v>39.345999999999997</v>
          </cell>
          <cell r="S218">
            <v>38.764000000000003</v>
          </cell>
          <cell r="T218">
            <v>38.344999999999999</v>
          </cell>
          <cell r="U218">
            <v>37.927999999999997</v>
          </cell>
          <cell r="V218">
            <v>37.540999999999997</v>
          </cell>
          <cell r="W218">
            <v>37.145000000000003</v>
          </cell>
          <cell r="X218">
            <v>36.762</v>
          </cell>
          <cell r="Y218">
            <v>36.393000000000001</v>
          </cell>
          <cell r="Z218">
            <v>36.033999999999999</v>
          </cell>
          <cell r="AA218">
            <v>35.686</v>
          </cell>
          <cell r="AB218">
            <v>35.651000000000003</v>
          </cell>
          <cell r="AC218">
            <v>35.606000000000002</v>
          </cell>
        </row>
        <row r="219">
          <cell r="A219" t="str">
            <v>Consumption Natural gas (TWh)</v>
          </cell>
          <cell r="B219">
            <v>91</v>
          </cell>
          <cell r="C219">
            <v>89.096999999999994</v>
          </cell>
          <cell r="D219">
            <v>87.244</v>
          </cell>
          <cell r="E219">
            <v>83.888000000000005</v>
          </cell>
          <cell r="F219">
            <v>79.346000000000004</v>
          </cell>
          <cell r="G219">
            <v>75.790999999999997</v>
          </cell>
          <cell r="H219">
            <v>71.686999999999998</v>
          </cell>
          <cell r="I219">
            <v>67.331999999999994</v>
          </cell>
          <cell r="J219">
            <v>63.332999999999998</v>
          </cell>
          <cell r="K219">
            <v>59.170999999999999</v>
          </cell>
          <cell r="L219">
            <v>55.412999999999997</v>
          </cell>
          <cell r="M219">
            <v>52.036999999999999</v>
          </cell>
          <cell r="N219">
            <v>48.930999999999997</v>
          </cell>
          <cell r="O219">
            <v>45.555999999999997</v>
          </cell>
          <cell r="P219">
            <v>42.365000000000002</v>
          </cell>
          <cell r="Q219">
            <v>39.395000000000003</v>
          </cell>
          <cell r="R219">
            <v>37.170999999999999</v>
          </cell>
          <cell r="S219">
            <v>28.712</v>
          </cell>
          <cell r="T219">
            <v>32.500999999999998</v>
          </cell>
          <cell r="U219">
            <v>30.83</v>
          </cell>
          <cell r="V219">
            <v>29.431999999999999</v>
          </cell>
          <cell r="W219">
            <v>28.286999999999999</v>
          </cell>
          <cell r="X219">
            <v>27.376000000000001</v>
          </cell>
          <cell r="Y219">
            <v>26.273</v>
          </cell>
          <cell r="Z219">
            <v>25.428999999999998</v>
          </cell>
          <cell r="AA219">
            <v>24.542999999999999</v>
          </cell>
          <cell r="AB219">
            <v>23.547000000000001</v>
          </cell>
          <cell r="AC219">
            <v>22.486999999999998</v>
          </cell>
        </row>
        <row r="220">
          <cell r="A220" t="str">
            <v>Consumption Natural gas saving (TWh/year)</v>
          </cell>
          <cell r="C220">
            <v>2.06</v>
          </cell>
          <cell r="D220">
            <v>1.909</v>
          </cell>
          <cell r="E220">
            <v>3.4049999999999998</v>
          </cell>
          <cell r="F220">
            <v>4.5819999999999999</v>
          </cell>
          <cell r="G220">
            <v>3.5880000000000001</v>
          </cell>
          <cell r="H220">
            <v>4.13</v>
          </cell>
          <cell r="I220">
            <v>4.3739999999999997</v>
          </cell>
          <cell r="J220">
            <v>4.0129999999999999</v>
          </cell>
          <cell r="K220">
            <v>4.1710000000000003</v>
          </cell>
          <cell r="L220">
            <v>3.7610000000000001</v>
          </cell>
          <cell r="M220">
            <v>3.3740000000000001</v>
          </cell>
          <cell r="N220">
            <v>3.097</v>
          </cell>
          <cell r="O220">
            <v>3.359</v>
          </cell>
          <cell r="P220">
            <v>3.1720000000000002</v>
          </cell>
          <cell r="Q220">
            <v>2.9489999999999998</v>
          </cell>
          <cell r="R220">
            <v>2.2010000000000001</v>
          </cell>
          <cell r="S220">
            <v>8.3659999999999997</v>
          </cell>
          <cell r="T220">
            <v>-3.8180000000000001</v>
          </cell>
          <cell r="U220">
            <v>1.615</v>
          </cell>
          <cell r="V220">
            <v>1.3380000000000001</v>
          </cell>
          <cell r="W220">
            <v>1.083</v>
          </cell>
          <cell r="X220">
            <v>0.84799999999999998</v>
          </cell>
          <cell r="Y220">
            <v>1.042</v>
          </cell>
          <cell r="Z220">
            <v>0.78400000000000003</v>
          </cell>
          <cell r="AA220">
            <v>0.82599999999999996</v>
          </cell>
          <cell r="AB220">
            <v>0.88600000000000001</v>
          </cell>
          <cell r="AC220">
            <v>0.92900000000000005</v>
          </cell>
        </row>
        <row r="221">
          <cell r="A221" t="str">
            <v>Consumption Natural gas-Performance boiler (TWh)</v>
          </cell>
          <cell r="B221">
            <v>91</v>
          </cell>
          <cell r="C221">
            <v>89.096999999999994</v>
          </cell>
          <cell r="D221">
            <v>87.244</v>
          </cell>
          <cell r="E221">
            <v>83.888000000000005</v>
          </cell>
          <cell r="F221">
            <v>79.346000000000004</v>
          </cell>
          <cell r="G221">
            <v>75.790999999999997</v>
          </cell>
          <cell r="H221">
            <v>71.686999999999998</v>
          </cell>
          <cell r="I221">
            <v>67.331999999999994</v>
          </cell>
          <cell r="J221">
            <v>63.332999999999998</v>
          </cell>
          <cell r="K221">
            <v>59.170999999999999</v>
          </cell>
          <cell r="L221">
            <v>55.412999999999997</v>
          </cell>
          <cell r="M221">
            <v>52.036999999999999</v>
          </cell>
          <cell r="N221">
            <v>48.930999999999997</v>
          </cell>
          <cell r="O221">
            <v>45.555999999999997</v>
          </cell>
          <cell r="P221">
            <v>42.365000000000002</v>
          </cell>
          <cell r="Q221">
            <v>39.395000000000003</v>
          </cell>
          <cell r="R221">
            <v>37.170999999999999</v>
          </cell>
          <cell r="S221">
            <v>28.712</v>
          </cell>
          <cell r="T221">
            <v>32.500999999999998</v>
          </cell>
          <cell r="U221">
            <v>30.83</v>
          </cell>
          <cell r="V221">
            <v>29.431999999999999</v>
          </cell>
          <cell r="W221">
            <v>28.286999999999999</v>
          </cell>
          <cell r="X221">
            <v>27.376000000000001</v>
          </cell>
          <cell r="Y221">
            <v>26.273</v>
          </cell>
          <cell r="Z221">
            <v>25.428999999999998</v>
          </cell>
          <cell r="AA221">
            <v>24.542999999999999</v>
          </cell>
          <cell r="AB221">
            <v>23.547000000000001</v>
          </cell>
          <cell r="AC221">
            <v>22.486999999999998</v>
          </cell>
        </row>
        <row r="222">
          <cell r="A222" t="str">
            <v>Consumption new (kWh/m2)</v>
          </cell>
          <cell r="C222">
            <v>18.538</v>
          </cell>
          <cell r="D222">
            <v>17.501999999999999</v>
          </cell>
          <cell r="E222">
            <v>17.241</v>
          </cell>
          <cell r="F222">
            <v>17.123999999999999</v>
          </cell>
          <cell r="G222">
            <v>17.082000000000001</v>
          </cell>
          <cell r="H222">
            <v>17.065999999999999</v>
          </cell>
          <cell r="I222">
            <v>17.052</v>
          </cell>
          <cell r="J222">
            <v>17.047000000000001</v>
          </cell>
          <cell r="K222">
            <v>17.047999999999998</v>
          </cell>
          <cell r="L222">
            <v>17.053999999999998</v>
          </cell>
          <cell r="M222">
            <v>17.065000000000001</v>
          </cell>
          <cell r="N222">
            <v>17.077999999999999</v>
          </cell>
          <cell r="O222">
            <v>17.094999999999999</v>
          </cell>
          <cell r="P222">
            <v>17.114000000000001</v>
          </cell>
          <cell r="Q222">
            <v>17.125</v>
          </cell>
          <cell r="R222">
            <v>17.146999999999998</v>
          </cell>
          <cell r="S222">
            <v>17.064</v>
          </cell>
          <cell r="T222">
            <v>17.088000000000001</v>
          </cell>
          <cell r="U222">
            <v>17.062999999999999</v>
          </cell>
          <cell r="V222">
            <v>17.04</v>
          </cell>
          <cell r="W222">
            <v>17.018999999999998</v>
          </cell>
          <cell r="X222">
            <v>17.001000000000001</v>
          </cell>
          <cell r="Y222">
            <v>16.984999999999999</v>
          </cell>
          <cell r="Z222">
            <v>16.972000000000001</v>
          </cell>
          <cell r="AA222">
            <v>16.96</v>
          </cell>
          <cell r="AB222">
            <v>16.95</v>
          </cell>
          <cell r="AC222">
            <v>16.946999999999999</v>
          </cell>
        </row>
        <row r="223">
          <cell r="A223" t="str">
            <v>Consumption new (TWh)</v>
          </cell>
          <cell r="B223">
            <v>0</v>
          </cell>
          <cell r="C223">
            <v>0.435</v>
          </cell>
          <cell r="D223">
            <v>0.90100000000000002</v>
          </cell>
          <cell r="E223">
            <v>1.371</v>
          </cell>
          <cell r="F223">
            <v>1.841</v>
          </cell>
          <cell r="G223">
            <v>2.3159999999999998</v>
          </cell>
          <cell r="H223">
            <v>2.7919999999999998</v>
          </cell>
          <cell r="I223">
            <v>3.1179999999999999</v>
          </cell>
          <cell r="J223">
            <v>3.4449999999999998</v>
          </cell>
          <cell r="K223">
            <v>3.774</v>
          </cell>
          <cell r="L223">
            <v>4.1029999999999998</v>
          </cell>
          <cell r="M223">
            <v>4.4349999999999996</v>
          </cell>
          <cell r="N223">
            <v>4.7670000000000003</v>
          </cell>
          <cell r="O223">
            <v>5.101</v>
          </cell>
          <cell r="P223">
            <v>5.4359999999999999</v>
          </cell>
          <cell r="Q223">
            <v>5.7690000000000001</v>
          </cell>
          <cell r="R223">
            <v>6.1070000000000002</v>
          </cell>
          <cell r="S223">
            <v>6.226</v>
          </cell>
          <cell r="T223">
            <v>6.3840000000000003</v>
          </cell>
          <cell r="U223">
            <v>6.524</v>
          </cell>
          <cell r="V223">
            <v>6.6639999999999997</v>
          </cell>
          <cell r="W223">
            <v>6.8049999999999997</v>
          </cell>
          <cell r="X223">
            <v>6.9459999999999997</v>
          </cell>
          <cell r="Y223">
            <v>7.0880000000000001</v>
          </cell>
          <cell r="Z223">
            <v>7.23</v>
          </cell>
          <cell r="AA223">
            <v>7.3730000000000002</v>
          </cell>
          <cell r="AB223">
            <v>7.5170000000000003</v>
          </cell>
          <cell r="AC223">
            <v>7.6559999999999997</v>
          </cell>
        </row>
        <row r="224">
          <cell r="A224" t="str">
            <v>Consumption New (TWh)</v>
          </cell>
          <cell r="C224">
            <v>0.435</v>
          </cell>
          <cell r="D224">
            <v>0.90100000000000002</v>
          </cell>
          <cell r="E224">
            <v>1.371</v>
          </cell>
          <cell r="F224">
            <v>1.841</v>
          </cell>
          <cell r="G224">
            <v>2.3159999999999998</v>
          </cell>
          <cell r="H224">
            <v>2.7919999999999998</v>
          </cell>
          <cell r="I224">
            <v>3.1179999999999999</v>
          </cell>
          <cell r="J224">
            <v>3.4449999999999998</v>
          </cell>
          <cell r="K224">
            <v>3.774</v>
          </cell>
          <cell r="L224">
            <v>4.1029999999999998</v>
          </cell>
          <cell r="M224">
            <v>4.4349999999999996</v>
          </cell>
          <cell r="N224">
            <v>4.7670000000000003</v>
          </cell>
          <cell r="O224">
            <v>5.101</v>
          </cell>
          <cell r="P224">
            <v>5.4359999999999999</v>
          </cell>
          <cell r="Q224">
            <v>5.7690000000000001</v>
          </cell>
          <cell r="R224">
            <v>6.1070000000000002</v>
          </cell>
          <cell r="S224">
            <v>6.226</v>
          </cell>
          <cell r="T224">
            <v>6.3840000000000003</v>
          </cell>
          <cell r="U224">
            <v>6.524</v>
          </cell>
          <cell r="V224">
            <v>6.6639999999999997</v>
          </cell>
          <cell r="W224">
            <v>6.8049999999999997</v>
          </cell>
          <cell r="X224">
            <v>6.9459999999999997</v>
          </cell>
          <cell r="Y224">
            <v>7.0880000000000001</v>
          </cell>
          <cell r="Z224">
            <v>7.23</v>
          </cell>
          <cell r="AA224">
            <v>7.3730000000000002</v>
          </cell>
          <cell r="AB224">
            <v>7.5170000000000003</v>
          </cell>
          <cell r="AC224">
            <v>7.6559999999999997</v>
          </cell>
        </row>
        <row r="225">
          <cell r="A225" t="str">
            <v>Consumption Oil fuel (TWh)</v>
          </cell>
          <cell r="B225">
            <v>31</v>
          </cell>
          <cell r="C225">
            <v>27.902999999999999</v>
          </cell>
          <cell r="D225">
            <v>24.992000000000001</v>
          </cell>
          <cell r="E225">
            <v>21.634</v>
          </cell>
          <cell r="F225">
            <v>17.998000000000001</v>
          </cell>
          <cell r="G225">
            <v>15.118</v>
          </cell>
          <cell r="H225">
            <v>12.404</v>
          </cell>
          <cell r="I225">
            <v>9.9819999999999993</v>
          </cell>
          <cell r="J225">
            <v>7.6989999999999998</v>
          </cell>
          <cell r="K225">
            <v>5.5970000000000004</v>
          </cell>
          <cell r="L225">
            <v>3.6320000000000001</v>
          </cell>
          <cell r="M225">
            <v>1.7729999999999999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</row>
        <row r="226">
          <cell r="A226" t="str">
            <v>Consumption Oil fuel saving (TWh/year)</v>
          </cell>
          <cell r="C226">
            <v>3.069</v>
          </cell>
          <cell r="D226">
            <v>2.88</v>
          </cell>
          <cell r="E226">
            <v>3.3250000000000002</v>
          </cell>
          <cell r="F226">
            <v>3.6019999999999999</v>
          </cell>
          <cell r="G226">
            <v>2.8460000000000001</v>
          </cell>
          <cell r="H226">
            <v>2.681</v>
          </cell>
          <cell r="I226">
            <v>2.39</v>
          </cell>
          <cell r="J226">
            <v>2.2530000000000001</v>
          </cell>
          <cell r="K226">
            <v>2.0739999999999998</v>
          </cell>
          <cell r="L226">
            <v>1.9390000000000001</v>
          </cell>
          <cell r="M226">
            <v>1.839</v>
          </cell>
          <cell r="N226">
            <v>1.7609999999999999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</row>
        <row r="227">
          <cell r="A227" t="str">
            <v>Consumption Oil fuel-Performance boiler (TWh)</v>
          </cell>
          <cell r="B227">
            <v>31</v>
          </cell>
          <cell r="C227">
            <v>27.902999999999999</v>
          </cell>
          <cell r="D227">
            <v>24.992000000000001</v>
          </cell>
          <cell r="E227">
            <v>21.634</v>
          </cell>
          <cell r="F227">
            <v>17.998000000000001</v>
          </cell>
          <cell r="G227">
            <v>15.118</v>
          </cell>
          <cell r="H227">
            <v>12.404</v>
          </cell>
          <cell r="I227">
            <v>9.9819999999999993</v>
          </cell>
          <cell r="J227">
            <v>7.6989999999999998</v>
          </cell>
          <cell r="K227">
            <v>5.5970000000000004</v>
          </cell>
          <cell r="L227">
            <v>3.6320000000000001</v>
          </cell>
          <cell r="M227">
            <v>1.7729999999999999</v>
          </cell>
        </row>
        <row r="228">
          <cell r="A228" t="str">
            <v>Consumption PE (TWh)</v>
          </cell>
          <cell r="B228">
            <v>326.62400000000002</v>
          </cell>
          <cell r="C228">
            <v>318.649</v>
          </cell>
          <cell r="D228">
            <v>311.755</v>
          </cell>
          <cell r="E228">
            <v>303.84699999999998</v>
          </cell>
          <cell r="F228">
            <v>294.464</v>
          </cell>
          <cell r="G228">
            <v>288.221</v>
          </cell>
          <cell r="H228">
            <v>282.274</v>
          </cell>
          <cell r="I228">
            <v>276.63400000000001</v>
          </cell>
          <cell r="J228">
            <v>270.26</v>
          </cell>
          <cell r="K228">
            <v>264.89100000000002</v>
          </cell>
          <cell r="L228">
            <v>260.036</v>
          </cell>
          <cell r="M228">
            <v>255.56399999999999</v>
          </cell>
          <cell r="N228">
            <v>251.36500000000001</v>
          </cell>
          <cell r="O228">
            <v>247.626</v>
          </cell>
          <cell r="P228">
            <v>243.45</v>
          </cell>
          <cell r="Q228">
            <v>239.29400000000001</v>
          </cell>
          <cell r="R228">
            <v>235.66499999999999</v>
          </cell>
          <cell r="S228">
            <v>223.553</v>
          </cell>
          <cell r="T228">
            <v>226.72</v>
          </cell>
          <cell r="U228">
            <v>223.15</v>
          </cell>
          <cell r="V228">
            <v>219.90799999999999</v>
          </cell>
          <cell r="W228">
            <v>218.01400000000001</v>
          </cell>
          <cell r="X228">
            <v>216.27099999999999</v>
          </cell>
          <cell r="Y228">
            <v>214.708</v>
          </cell>
          <cell r="Z228">
            <v>213.27799999999999</v>
          </cell>
          <cell r="AA228">
            <v>211.947</v>
          </cell>
          <cell r="AB228">
            <v>210.85</v>
          </cell>
          <cell r="AC228">
            <v>209.67500000000001</v>
          </cell>
        </row>
        <row r="229">
          <cell r="A229" t="str">
            <v>Consumption saving (TWh/year)</v>
          </cell>
          <cell r="C229">
            <v>7.181</v>
          </cell>
          <cell r="D229">
            <v>6.98</v>
          </cell>
          <cell r="E229">
            <v>8.0679999999999996</v>
          </cell>
          <cell r="F229">
            <v>10.035</v>
          </cell>
          <cell r="G229">
            <v>6.8019999999999996</v>
          </cell>
          <cell r="H229">
            <v>6.2830000000000004</v>
          </cell>
          <cell r="I229">
            <v>5.4379999999999997</v>
          </cell>
          <cell r="J229">
            <v>6.484</v>
          </cell>
          <cell r="K229">
            <v>5.367</v>
          </cell>
          <cell r="L229">
            <v>5.0190000000000001</v>
          </cell>
          <cell r="M229">
            <v>4.8079999999999998</v>
          </cell>
          <cell r="N229">
            <v>4.6929999999999996</v>
          </cell>
          <cell r="O229">
            <v>3.68</v>
          </cell>
          <cell r="P229">
            <v>4.1669999999999998</v>
          </cell>
          <cell r="Q229">
            <v>4.1680000000000001</v>
          </cell>
          <cell r="R229">
            <v>3.5739999999999998</v>
          </cell>
          <cell r="S229">
            <v>11.593</v>
          </cell>
          <cell r="T229">
            <v>-3.8239999999999998</v>
          </cell>
          <cell r="U229">
            <v>2.9340000000000002</v>
          </cell>
          <cell r="V229">
            <v>2.5579999999999998</v>
          </cell>
          <cell r="W229">
            <v>1.7430000000000001</v>
          </cell>
          <cell r="X229">
            <v>1.4930000000000001</v>
          </cell>
          <cell r="Y229">
            <v>1.516</v>
          </cell>
          <cell r="Z229">
            <v>1.262</v>
          </cell>
          <cell r="AA229">
            <v>1.226</v>
          </cell>
          <cell r="AB229">
            <v>1.2190000000000001</v>
          </cell>
          <cell r="AC229">
            <v>1.2370000000000001</v>
          </cell>
        </row>
        <row r="230">
          <cell r="A230" t="str">
            <v>Consumption saving heater (TWh/year)</v>
          </cell>
          <cell r="C230">
            <v>4.0599999999999996</v>
          </cell>
          <cell r="D230">
            <v>4.3129999999999997</v>
          </cell>
          <cell r="E230">
            <v>3.9630000000000001</v>
          </cell>
          <cell r="F230">
            <v>4.1879999999999997</v>
          </cell>
          <cell r="G230">
            <v>3.6240000000000001</v>
          </cell>
          <cell r="H230">
            <v>3.0569999999999999</v>
          </cell>
          <cell r="I230">
            <v>2.524</v>
          </cell>
          <cell r="J230">
            <v>3.1</v>
          </cell>
          <cell r="K230">
            <v>2.5920000000000001</v>
          </cell>
          <cell r="L230">
            <v>2.7280000000000002</v>
          </cell>
          <cell r="M230">
            <v>2.9079999999999999</v>
          </cell>
          <cell r="N230">
            <v>3.0710000000000002</v>
          </cell>
          <cell r="O230">
            <v>2.153</v>
          </cell>
          <cell r="P230">
            <v>2.3740000000000001</v>
          </cell>
          <cell r="Q230">
            <v>2.4470000000000001</v>
          </cell>
          <cell r="R230">
            <v>2.0950000000000002</v>
          </cell>
          <cell r="S230">
            <v>1.946</v>
          </cell>
          <cell r="T230">
            <v>1.833</v>
          </cell>
          <cell r="U230">
            <v>1.7869999999999999</v>
          </cell>
          <cell r="V230">
            <v>1.5660000000000001</v>
          </cell>
          <cell r="W230">
            <v>0.82599999999999996</v>
          </cell>
          <cell r="X230">
            <v>0.65200000000000002</v>
          </cell>
          <cell r="Y230">
            <v>0.85</v>
          </cell>
          <cell r="Z230">
            <v>0.66600000000000004</v>
          </cell>
          <cell r="AA230">
            <v>0.69399999999999995</v>
          </cell>
          <cell r="AB230">
            <v>0.73</v>
          </cell>
          <cell r="AC230">
            <v>0.753</v>
          </cell>
        </row>
        <row r="231">
          <cell r="A231" t="str">
            <v>Consumption saving insulation (TWh/year)</v>
          </cell>
          <cell r="C231">
            <v>1.921</v>
          </cell>
          <cell r="D231">
            <v>1.768</v>
          </cell>
          <cell r="E231">
            <v>3.71</v>
          </cell>
          <cell r="F231">
            <v>3.6549999999999998</v>
          </cell>
          <cell r="G231">
            <v>3.0739999999999998</v>
          </cell>
          <cell r="H231">
            <v>3.1019999999999999</v>
          </cell>
          <cell r="I231">
            <v>2.835</v>
          </cell>
          <cell r="J231">
            <v>3.0550000000000002</v>
          </cell>
          <cell r="K231">
            <v>2.5049999999999999</v>
          </cell>
          <cell r="L231">
            <v>2.0920000000000001</v>
          </cell>
          <cell r="M231">
            <v>1.758</v>
          </cell>
          <cell r="N231">
            <v>1.49</v>
          </cell>
          <cell r="O231">
            <v>1.4810000000000001</v>
          </cell>
          <cell r="P231">
            <v>1.76</v>
          </cell>
          <cell r="Q231">
            <v>1.6619999999999999</v>
          </cell>
          <cell r="R231">
            <v>1.484</v>
          </cell>
          <cell r="S231">
            <v>2.1230000000000002</v>
          </cell>
          <cell r="T231">
            <v>1.349</v>
          </cell>
          <cell r="U231">
            <v>1.222</v>
          </cell>
          <cell r="V231">
            <v>1.0469999999999999</v>
          </cell>
          <cell r="W231">
            <v>0.98099999999999998</v>
          </cell>
          <cell r="X231">
            <v>0.89400000000000002</v>
          </cell>
          <cell r="Y231">
            <v>0.81399999999999995</v>
          </cell>
          <cell r="Z231">
            <v>0.74299999999999999</v>
          </cell>
          <cell r="AA231">
            <v>0.67900000000000005</v>
          </cell>
          <cell r="AB231">
            <v>0.63500000000000001</v>
          </cell>
          <cell r="AC231">
            <v>0.628</v>
          </cell>
        </row>
        <row r="232">
          <cell r="A232" t="str">
            <v>Consumption saving natural replacement (TWh/year)</v>
          </cell>
          <cell r="C232">
            <v>-0.56799999999999995</v>
          </cell>
          <cell r="D232">
            <v>-0.58699999999999997</v>
          </cell>
          <cell r="E232">
            <v>-0.57599999999999996</v>
          </cell>
          <cell r="F232">
            <v>-0.56299999999999994</v>
          </cell>
          <cell r="G232">
            <v>-0.55300000000000005</v>
          </cell>
          <cell r="H232">
            <v>-0.54300000000000004</v>
          </cell>
          <cell r="I232">
            <v>-0.38300000000000001</v>
          </cell>
          <cell r="J232">
            <v>-0.376</v>
          </cell>
          <cell r="K232">
            <v>-0.36099999999999999</v>
          </cell>
          <cell r="L232">
            <v>-0.34799999999999998</v>
          </cell>
          <cell r="M232">
            <v>-0.33300000000000002</v>
          </cell>
          <cell r="N232">
            <v>-0.31900000000000001</v>
          </cell>
          <cell r="O232">
            <v>-0.30599999999999999</v>
          </cell>
          <cell r="P232">
            <v>-0.29199999999999998</v>
          </cell>
          <cell r="Q232">
            <v>-0.27500000000000002</v>
          </cell>
          <cell r="R232">
            <v>-0.26300000000000001</v>
          </cell>
          <cell r="S232">
            <v>0.18</v>
          </cell>
          <cell r="T232">
            <v>0.14399999999999999</v>
          </cell>
          <cell r="U232">
            <v>0.193</v>
          </cell>
          <cell r="V232">
            <v>0.21199999999999999</v>
          </cell>
          <cell r="W232">
            <v>0.23100000000000001</v>
          </cell>
          <cell r="X232">
            <v>0.24099999999999999</v>
          </cell>
          <cell r="Y232">
            <v>0.249</v>
          </cell>
          <cell r="Z232">
            <v>0.25700000000000001</v>
          </cell>
          <cell r="AA232">
            <v>0.26300000000000001</v>
          </cell>
          <cell r="AB232">
            <v>0.11700000000000001</v>
          </cell>
          <cell r="AC232">
            <v>0.20200000000000001</v>
          </cell>
        </row>
        <row r="233">
          <cell r="A233" t="str">
            <v>Consumption saving no rebound heater (TWh/year)</v>
          </cell>
          <cell r="C233">
            <v>4.6379999999999999</v>
          </cell>
          <cell r="D233">
            <v>4.7809999999999997</v>
          </cell>
          <cell r="E233">
            <v>4.5869999999999997</v>
          </cell>
          <cell r="F233">
            <v>4.7939999999999996</v>
          </cell>
          <cell r="G233">
            <v>4.3360000000000003</v>
          </cell>
          <cell r="H233">
            <v>3.895</v>
          </cell>
          <cell r="I233">
            <v>3.4750000000000001</v>
          </cell>
          <cell r="J233">
            <v>3.8450000000000002</v>
          </cell>
          <cell r="K233">
            <v>3.4740000000000002</v>
          </cell>
          <cell r="L233">
            <v>3.552</v>
          </cell>
          <cell r="M233">
            <v>3.6629999999999998</v>
          </cell>
          <cell r="N233">
            <v>3.7679999999999998</v>
          </cell>
          <cell r="O233">
            <v>2.6659999999999999</v>
          </cell>
          <cell r="P233">
            <v>2.8029999999999999</v>
          </cell>
          <cell r="Q233">
            <v>2.8290000000000002</v>
          </cell>
          <cell r="R233">
            <v>2.403</v>
          </cell>
          <cell r="S233">
            <v>2.3250000000000002</v>
          </cell>
          <cell r="T233">
            <v>2.093</v>
          </cell>
          <cell r="U233">
            <v>2.0379999999999998</v>
          </cell>
          <cell r="V233">
            <v>1.7969999999999999</v>
          </cell>
          <cell r="W233">
            <v>0.92700000000000005</v>
          </cell>
          <cell r="X233">
            <v>0.74199999999999999</v>
          </cell>
          <cell r="Y233">
            <v>0.94199999999999995</v>
          </cell>
          <cell r="Z233">
            <v>0.747</v>
          </cell>
          <cell r="AA233">
            <v>0.77</v>
          </cell>
          <cell r="AB233">
            <v>0.80100000000000005</v>
          </cell>
          <cell r="AC233">
            <v>0.81799999999999995</v>
          </cell>
        </row>
        <row r="234">
          <cell r="A234" t="str">
            <v>Consumption saving no rebound insulation (TWh/year)</v>
          </cell>
          <cell r="C234">
            <v>2.282</v>
          </cell>
          <cell r="D234">
            <v>2.1040000000000001</v>
          </cell>
          <cell r="E234">
            <v>4.367</v>
          </cell>
          <cell r="F234">
            <v>4.3019999999999996</v>
          </cell>
          <cell r="G234">
            <v>3.6280000000000001</v>
          </cell>
          <cell r="H234">
            <v>3.661</v>
          </cell>
          <cell r="I234">
            <v>3.3540000000000001</v>
          </cell>
          <cell r="J234">
            <v>3.6230000000000002</v>
          </cell>
          <cell r="K234">
            <v>2.976</v>
          </cell>
          <cell r="L234">
            <v>2.4910000000000001</v>
          </cell>
          <cell r="M234">
            <v>2.1</v>
          </cell>
          <cell r="N234">
            <v>1.784</v>
          </cell>
          <cell r="O234">
            <v>1.77</v>
          </cell>
          <cell r="P234">
            <v>2.1139999999999999</v>
          </cell>
          <cell r="Q234">
            <v>1.994</v>
          </cell>
          <cell r="R234">
            <v>1.784</v>
          </cell>
          <cell r="S234">
            <v>2.5329999999999999</v>
          </cell>
          <cell r="T234">
            <v>1.631</v>
          </cell>
          <cell r="U234">
            <v>1.478</v>
          </cell>
          <cell r="V234">
            <v>1.2689999999999999</v>
          </cell>
          <cell r="W234">
            <v>1.1910000000000001</v>
          </cell>
          <cell r="X234">
            <v>1.0860000000000001</v>
          </cell>
          <cell r="Y234">
            <v>0.99</v>
          </cell>
          <cell r="Z234">
            <v>0.90400000000000003</v>
          </cell>
          <cell r="AA234">
            <v>0.82699999999999996</v>
          </cell>
          <cell r="AB234">
            <v>0.77400000000000002</v>
          </cell>
          <cell r="AC234">
            <v>0.76400000000000001</v>
          </cell>
        </row>
        <row r="235">
          <cell r="A235" t="str">
            <v>Consumption saving prices (Billion euro)</v>
          </cell>
          <cell r="C235">
            <v>0.20899999999999999</v>
          </cell>
          <cell r="D235">
            <v>0.13900000000000001</v>
          </cell>
          <cell r="E235">
            <v>3.9E-2</v>
          </cell>
          <cell r="F235">
            <v>0.17199999999999999</v>
          </cell>
          <cell r="G235">
            <v>1.0999999999999999E-2</v>
          </cell>
          <cell r="H235">
            <v>1.2E-2</v>
          </cell>
          <cell r="I235">
            <v>8.0000000000000002E-3</v>
          </cell>
          <cell r="J235">
            <v>2.7E-2</v>
          </cell>
          <cell r="K235">
            <v>2.1999999999999999E-2</v>
          </cell>
          <cell r="L235">
            <v>1.7000000000000001E-2</v>
          </cell>
          <cell r="M235">
            <v>1.2E-2</v>
          </cell>
          <cell r="N235">
            <v>1.0999999999999999E-2</v>
          </cell>
          <cell r="O235">
            <v>4.0000000000000001E-3</v>
          </cell>
          <cell r="P235">
            <v>3.0000000000000001E-3</v>
          </cell>
          <cell r="Q235">
            <v>0.01</v>
          </cell>
          <cell r="R235">
            <v>0</v>
          </cell>
          <cell r="S235">
            <v>0.56399999999999995</v>
          </cell>
          <cell r="T235">
            <v>-0.52400000000000002</v>
          </cell>
          <cell r="U235">
            <v>-5.0000000000000001E-3</v>
          </cell>
          <cell r="V235">
            <v>-4.0000000000000001E-3</v>
          </cell>
          <cell r="W235">
            <v>-4.0000000000000001E-3</v>
          </cell>
          <cell r="X235">
            <v>-4.0000000000000001E-3</v>
          </cell>
          <cell r="Y235">
            <v>-1.0999999999999999E-2</v>
          </cell>
          <cell r="Z235">
            <v>-1.0999999999999999E-2</v>
          </cell>
          <cell r="AA235">
            <v>-1.0999999999999999E-2</v>
          </cell>
          <cell r="AB235">
            <v>-1.0999999999999999E-2</v>
          </cell>
          <cell r="AC235">
            <v>-1.0999999999999999E-2</v>
          </cell>
        </row>
        <row r="236">
          <cell r="A236" t="str">
            <v>Consumption saving prices constant (TWh/year)</v>
          </cell>
          <cell r="C236">
            <v>5.9809999999999999</v>
          </cell>
          <cell r="D236">
            <v>6.0810000000000004</v>
          </cell>
          <cell r="E236">
            <v>7.673</v>
          </cell>
          <cell r="F236">
            <v>7.843</v>
          </cell>
          <cell r="G236">
            <v>6.6970000000000001</v>
          </cell>
          <cell r="H236">
            <v>6.1589999999999998</v>
          </cell>
          <cell r="I236">
            <v>5.36</v>
          </cell>
          <cell r="J236">
            <v>6.1550000000000002</v>
          </cell>
          <cell r="K236">
            <v>5.0970000000000004</v>
          </cell>
          <cell r="L236">
            <v>4.82</v>
          </cell>
          <cell r="M236">
            <v>4.6660000000000004</v>
          </cell>
          <cell r="N236">
            <v>4.5609999999999999</v>
          </cell>
          <cell r="O236">
            <v>3.6339999999999999</v>
          </cell>
          <cell r="P236">
            <v>4.1340000000000003</v>
          </cell>
          <cell r="Q236">
            <v>4.1100000000000003</v>
          </cell>
          <cell r="R236">
            <v>3.5790000000000002</v>
          </cell>
          <cell r="S236">
            <v>4.0679999999999996</v>
          </cell>
          <cell r="T236">
            <v>3.1819999999999999</v>
          </cell>
          <cell r="U236">
            <v>3.0089999999999999</v>
          </cell>
          <cell r="V236">
            <v>2.6120000000000001</v>
          </cell>
          <cell r="W236">
            <v>1.8069999999999999</v>
          </cell>
          <cell r="X236">
            <v>1.546</v>
          </cell>
          <cell r="Y236">
            <v>1.6639999999999999</v>
          </cell>
          <cell r="Z236">
            <v>1.409</v>
          </cell>
          <cell r="AA236">
            <v>1.373</v>
          </cell>
          <cell r="AB236">
            <v>1.365</v>
          </cell>
          <cell r="AC236">
            <v>1.3819999999999999</v>
          </cell>
        </row>
        <row r="237">
          <cell r="A237" t="str">
            <v>Consumption saving prices effect (TWh/year)</v>
          </cell>
          <cell r="C237">
            <v>1.1990000000000001</v>
          </cell>
          <cell r="D237">
            <v>0.89900000000000002</v>
          </cell>
          <cell r="E237">
            <v>0.39500000000000002</v>
          </cell>
          <cell r="F237">
            <v>2.1920000000000002</v>
          </cell>
          <cell r="G237">
            <v>0.105</v>
          </cell>
          <cell r="H237">
            <v>0.124</v>
          </cell>
          <cell r="I237">
            <v>7.8E-2</v>
          </cell>
          <cell r="J237">
            <v>0.32900000000000001</v>
          </cell>
          <cell r="K237">
            <v>0.27</v>
          </cell>
          <cell r="L237">
            <v>0.19900000000000001</v>
          </cell>
          <cell r="M237">
            <v>0.14199999999999999</v>
          </cell>
          <cell r="N237">
            <v>0.13200000000000001</v>
          </cell>
          <cell r="O237">
            <v>4.5999999999999999E-2</v>
          </cell>
          <cell r="P237">
            <v>3.3000000000000002E-2</v>
          </cell>
          <cell r="Q237">
            <v>5.8999999999999997E-2</v>
          </cell>
          <cell r="R237">
            <v>-5.0000000000000001E-3</v>
          </cell>
          <cell r="S237">
            <v>7.5250000000000004</v>
          </cell>
          <cell r="T237">
            <v>-7.0060000000000002</v>
          </cell>
          <cell r="U237">
            <v>-7.4999999999999997E-2</v>
          </cell>
          <cell r="V237">
            <v>-5.5E-2</v>
          </cell>
          <cell r="W237">
            <v>-6.3E-2</v>
          </cell>
          <cell r="X237">
            <v>-5.2999999999999999E-2</v>
          </cell>
          <cell r="Y237">
            <v>-0.14799999999999999</v>
          </cell>
          <cell r="Z237">
            <v>-0.14699999999999999</v>
          </cell>
          <cell r="AA237">
            <v>-0.14699999999999999</v>
          </cell>
          <cell r="AB237">
            <v>-0.14599999999999999</v>
          </cell>
          <cell r="AC237">
            <v>-0.14499999999999999</v>
          </cell>
        </row>
        <row r="238">
          <cell r="A238" t="str">
            <v>Consumption saving total (%/year)</v>
          </cell>
          <cell r="C238">
            <v>2.5000000000000001E-2</v>
          </cell>
          <cell r="D238">
            <v>2.5000000000000001E-2</v>
          </cell>
          <cell r="E238">
            <v>0.03</v>
          </cell>
          <cell r="F238">
            <v>3.9E-2</v>
          </cell>
          <cell r="G238">
            <v>2.7E-2</v>
          </cell>
          <cell r="H238">
            <v>2.5999999999999999E-2</v>
          </cell>
          <cell r="I238">
            <v>2.3E-2</v>
          </cell>
          <cell r="J238">
            <v>2.9000000000000001E-2</v>
          </cell>
          <cell r="K238">
            <v>2.4E-2</v>
          </cell>
          <cell r="L238">
            <v>2.3E-2</v>
          </cell>
          <cell r="M238">
            <v>2.3E-2</v>
          </cell>
          <cell r="N238">
            <v>2.3E-2</v>
          </cell>
          <cell r="O238">
            <v>1.7999999999999999E-2</v>
          </cell>
          <cell r="P238">
            <v>2.1000000000000001E-2</v>
          </cell>
          <cell r="Q238">
            <v>2.1000000000000001E-2</v>
          </cell>
          <cell r="R238">
            <v>1.9E-2</v>
          </cell>
          <cell r="S238">
            <v>6.8000000000000005E-2</v>
          </cell>
          <cell r="T238">
            <v>-2.3E-2</v>
          </cell>
          <cell r="U238">
            <v>1.9E-2</v>
          </cell>
          <cell r="V238">
            <v>1.7000000000000001E-2</v>
          </cell>
          <cell r="W238">
            <v>1.2E-2</v>
          </cell>
          <cell r="X238">
            <v>1.0999999999999999E-2</v>
          </cell>
          <cell r="Y238">
            <v>1.0999999999999999E-2</v>
          </cell>
          <cell r="Z238">
            <v>0.01</v>
          </cell>
          <cell r="AA238">
            <v>0.01</v>
          </cell>
          <cell r="AB238">
            <v>8.9999999999999993E-3</v>
          </cell>
          <cell r="AC238">
            <v>0.01</v>
          </cell>
        </row>
        <row r="239">
          <cell r="A239" t="str">
            <v>Consumption saving total (TWh/year)</v>
          </cell>
          <cell r="C239">
            <v>6.6120000000000001</v>
          </cell>
          <cell r="D239">
            <v>6.3929999999999998</v>
          </cell>
          <cell r="E239">
            <v>7.492</v>
          </cell>
          <cell r="F239">
            <v>9.4719999999999995</v>
          </cell>
          <cell r="G239">
            <v>6.2489999999999997</v>
          </cell>
          <cell r="H239">
            <v>5.74</v>
          </cell>
          <cell r="I239">
            <v>5.0540000000000003</v>
          </cell>
          <cell r="J239">
            <v>6.1079999999999997</v>
          </cell>
          <cell r="K239">
            <v>5.0060000000000002</v>
          </cell>
          <cell r="L239">
            <v>4.6719999999999997</v>
          </cell>
          <cell r="M239">
            <v>4.4749999999999996</v>
          </cell>
          <cell r="N239">
            <v>4.3739999999999997</v>
          </cell>
          <cell r="O239">
            <v>3.3740000000000001</v>
          </cell>
          <cell r="P239">
            <v>3.875</v>
          </cell>
          <cell r="Q239">
            <v>3.8940000000000001</v>
          </cell>
          <cell r="R239">
            <v>3.3109999999999999</v>
          </cell>
          <cell r="S239">
            <v>11.773</v>
          </cell>
          <cell r="T239">
            <v>-3.68</v>
          </cell>
          <cell r="U239">
            <v>3.1269999999999998</v>
          </cell>
          <cell r="V239">
            <v>2.77</v>
          </cell>
          <cell r="W239">
            <v>1.9750000000000001</v>
          </cell>
          <cell r="X239">
            <v>1.734</v>
          </cell>
          <cell r="Y239">
            <v>1.7649999999999999</v>
          </cell>
          <cell r="Z239">
            <v>1.5189999999999999</v>
          </cell>
          <cell r="AA239">
            <v>1.49</v>
          </cell>
          <cell r="AB239">
            <v>1.3360000000000001</v>
          </cell>
          <cell r="AC239">
            <v>1.4390000000000001</v>
          </cell>
        </row>
        <row r="240">
          <cell r="A240" t="str">
            <v>Consumption standard (kWh/m2)</v>
          </cell>
          <cell r="B240">
            <v>127.754</v>
          </cell>
          <cell r="C240">
            <v>122.875</v>
          </cell>
          <cell r="D240">
            <v>117.953</v>
          </cell>
          <cell r="E240">
            <v>111.899</v>
          </cell>
          <cell r="F240">
            <v>105.881</v>
          </cell>
          <cell r="G240">
            <v>100.627</v>
          </cell>
          <cell r="H240">
            <v>95.712999999999994</v>
          </cell>
          <cell r="I240">
            <v>91.537999999999997</v>
          </cell>
          <cell r="J240">
            <v>87.227999999999994</v>
          </cell>
          <cell r="K240">
            <v>83.491</v>
          </cell>
          <cell r="L240">
            <v>80.037999999999997</v>
          </cell>
          <cell r="M240">
            <v>76.798000000000002</v>
          </cell>
          <cell r="N240">
            <v>73.727000000000004</v>
          </cell>
          <cell r="O240">
            <v>71.239999999999995</v>
          </cell>
          <cell r="P240">
            <v>68.614999999999995</v>
          </cell>
          <cell r="Q240">
            <v>66.075999999999993</v>
          </cell>
          <cell r="R240">
            <v>63.851999999999997</v>
          </cell>
          <cell r="S240">
            <v>61.29</v>
          </cell>
          <cell r="T240">
            <v>59.43</v>
          </cell>
          <cell r="U240">
            <v>57.667000000000002</v>
          </cell>
          <cell r="V240">
            <v>56.1</v>
          </cell>
          <cell r="W240">
            <v>54.932000000000002</v>
          </cell>
          <cell r="X240">
            <v>53.886000000000003</v>
          </cell>
          <cell r="Y240">
            <v>52.807000000000002</v>
          </cell>
          <cell r="Z240">
            <v>51.844000000000001</v>
          </cell>
          <cell r="AA240">
            <v>50.908999999999999</v>
          </cell>
          <cell r="AB240">
            <v>50.072000000000003</v>
          </cell>
          <cell r="AC240">
            <v>49.228000000000002</v>
          </cell>
        </row>
        <row r="241">
          <cell r="A241" t="str">
            <v>Consumption standard (TWh)</v>
          </cell>
          <cell r="B241">
            <v>331.37200000000001</v>
          </cell>
          <cell r="C241">
            <v>321.274</v>
          </cell>
          <cell r="D241">
            <v>311.39600000000002</v>
          </cell>
          <cell r="E241">
            <v>298.245</v>
          </cell>
          <cell r="F241">
            <v>284.88799999999998</v>
          </cell>
          <cell r="G241">
            <v>273.29899999999998</v>
          </cell>
          <cell r="H241">
            <v>262.37400000000002</v>
          </cell>
          <cell r="I241">
            <v>252.44499999999999</v>
          </cell>
          <cell r="J241">
            <v>242.00299999999999</v>
          </cell>
          <cell r="K241">
            <v>233.018</v>
          </cell>
          <cell r="L241">
            <v>224.703</v>
          </cell>
          <cell r="M241">
            <v>216.87799999999999</v>
          </cell>
          <cell r="N241">
            <v>209.423</v>
          </cell>
          <cell r="O241">
            <v>203.53700000000001</v>
          </cell>
          <cell r="P241">
            <v>197.17099999999999</v>
          </cell>
          <cell r="Q241">
            <v>190.96600000000001</v>
          </cell>
          <cell r="R241">
            <v>185.59</v>
          </cell>
          <cell r="S241">
            <v>178.423</v>
          </cell>
          <cell r="T241">
            <v>173.28</v>
          </cell>
          <cell r="U241">
            <v>168.40600000000001</v>
          </cell>
          <cell r="V241">
            <v>164.08600000000001</v>
          </cell>
          <cell r="W241">
            <v>160.92500000000001</v>
          </cell>
          <cell r="X241">
            <v>158.108</v>
          </cell>
          <cell r="Y241">
            <v>155.18199999999999</v>
          </cell>
          <cell r="Z241">
            <v>152.59</v>
          </cell>
          <cell r="AA241">
            <v>150.071</v>
          </cell>
          <cell r="AB241">
            <v>147.80099999999999</v>
          </cell>
          <cell r="AC241">
            <v>145.44499999999999</v>
          </cell>
        </row>
        <row r="242">
          <cell r="A242" t="str">
            <v>Consumption standard Electricity saving (TWh/year)</v>
          </cell>
          <cell r="C242">
            <v>1.7070000000000001</v>
          </cell>
          <cell r="D242">
            <v>1.36</v>
          </cell>
          <cell r="E242">
            <v>2.2599999999999998</v>
          </cell>
          <cell r="F242">
            <v>1.669</v>
          </cell>
          <cell r="G242">
            <v>1.6</v>
          </cell>
          <cell r="H242">
            <v>1.7290000000000001</v>
          </cell>
          <cell r="I242">
            <v>1.93</v>
          </cell>
          <cell r="J242">
            <v>1.6160000000000001</v>
          </cell>
          <cell r="K242">
            <v>1.5940000000000001</v>
          </cell>
          <cell r="L242">
            <v>1.3640000000000001</v>
          </cell>
          <cell r="M242">
            <v>1.139</v>
          </cell>
          <cell r="N242">
            <v>0.93400000000000005</v>
          </cell>
          <cell r="O242">
            <v>1.367</v>
          </cell>
          <cell r="P242">
            <v>1.3220000000000001</v>
          </cell>
          <cell r="Q242">
            <v>1.2070000000000001</v>
          </cell>
          <cell r="R242">
            <v>1.2450000000000001</v>
          </cell>
          <cell r="S242">
            <v>1.099</v>
          </cell>
          <cell r="T242">
            <v>1.1850000000000001</v>
          </cell>
          <cell r="U242">
            <v>1.087</v>
          </cell>
          <cell r="V242">
            <v>1.069</v>
          </cell>
          <cell r="W242">
            <v>0.253</v>
          </cell>
          <cell r="X242">
            <v>0.318</v>
          </cell>
          <cell r="Y242">
            <v>0.114</v>
          </cell>
          <cell r="Z242">
            <v>0.20300000000000001</v>
          </cell>
          <cell r="AA242">
            <v>0.127</v>
          </cell>
          <cell r="AB242">
            <v>4.9000000000000002E-2</v>
          </cell>
          <cell r="AC242">
            <v>-2E-3</v>
          </cell>
        </row>
        <row r="243">
          <cell r="A243" t="str">
            <v>Consumption standard Electricity-Heat pump air (TWh)</v>
          </cell>
          <cell r="B243">
            <v>1.377</v>
          </cell>
          <cell r="C243">
            <v>2.452</v>
          </cell>
          <cell r="D243">
            <v>3.5510000000000002</v>
          </cell>
          <cell r="E243">
            <v>4.4880000000000004</v>
          </cell>
          <cell r="F243">
            <v>5.4459999999999997</v>
          </cell>
          <cell r="G243">
            <v>6.3049999999999997</v>
          </cell>
          <cell r="H243">
            <v>7.0659999999999998</v>
          </cell>
          <cell r="I243">
            <v>7.7290000000000001</v>
          </cell>
          <cell r="J243">
            <v>8.4380000000000006</v>
          </cell>
          <cell r="K243">
            <v>9.0779999999999994</v>
          </cell>
          <cell r="L243">
            <v>9.7230000000000008</v>
          </cell>
          <cell r="M243">
            <v>10.379</v>
          </cell>
          <cell r="N243">
            <v>11.044</v>
          </cell>
          <cell r="O243">
            <v>11.545999999999999</v>
          </cell>
          <cell r="P243">
            <v>12.05</v>
          </cell>
          <cell r="Q243">
            <v>12.548999999999999</v>
          </cell>
          <cell r="R243">
            <v>12.983000000000001</v>
          </cell>
          <cell r="S243">
            <v>13.391999999999999</v>
          </cell>
          <cell r="T243">
            <v>13.728</v>
          </cell>
          <cell r="U243">
            <v>14.055999999999999</v>
          </cell>
          <cell r="V243">
            <v>14.35</v>
          </cell>
          <cell r="W243">
            <v>14.361000000000001</v>
          </cell>
          <cell r="X243">
            <v>14.346</v>
          </cell>
          <cell r="Y243">
            <v>14.407999999999999</v>
          </cell>
          <cell r="Z243">
            <v>14.444000000000001</v>
          </cell>
          <cell r="AA243">
            <v>14.497</v>
          </cell>
          <cell r="AB243">
            <v>14.56</v>
          </cell>
          <cell r="AC243">
            <v>14.629</v>
          </cell>
        </row>
        <row r="244">
          <cell r="A244" t="str">
            <v>Consumption standard Electricity-Heat pump water (TWh)</v>
          </cell>
          <cell r="B244">
            <v>5.508</v>
          </cell>
          <cell r="C244">
            <v>6.8170000000000002</v>
          </cell>
          <cell r="D244">
            <v>8.1780000000000008</v>
          </cell>
          <cell r="E244">
            <v>9.5530000000000008</v>
          </cell>
          <cell r="F244">
            <v>10.956</v>
          </cell>
          <cell r="G244">
            <v>12.231999999999999</v>
          </cell>
          <cell r="H244">
            <v>13.381</v>
          </cell>
          <cell r="I244">
            <v>14.367000000000001</v>
          </cell>
          <cell r="J244">
            <v>15.406000000000001</v>
          </cell>
          <cell r="K244">
            <v>16.359000000000002</v>
          </cell>
          <cell r="L244">
            <v>17.315999999999999</v>
          </cell>
          <cell r="M244">
            <v>18.286999999999999</v>
          </cell>
          <cell r="N244">
            <v>19.271000000000001</v>
          </cell>
          <cell r="O244">
            <v>19.957999999999998</v>
          </cell>
          <cell r="P244">
            <v>20.649000000000001</v>
          </cell>
          <cell r="Q244">
            <v>21.329000000000001</v>
          </cell>
          <cell r="R244">
            <v>21.908999999999999</v>
          </cell>
          <cell r="S244">
            <v>22.445</v>
          </cell>
          <cell r="T244">
            <v>22.876000000000001</v>
          </cell>
          <cell r="U244">
            <v>23.297000000000001</v>
          </cell>
          <cell r="V244">
            <v>23.667999999999999</v>
          </cell>
          <cell r="W244">
            <v>23.902999999999999</v>
          </cell>
          <cell r="X244">
            <v>24.109000000000002</v>
          </cell>
          <cell r="Y244">
            <v>24.306999999999999</v>
          </cell>
          <cell r="Z244">
            <v>24.472000000000001</v>
          </cell>
          <cell r="AA244">
            <v>24.631</v>
          </cell>
          <cell r="AB244">
            <v>24.774999999999999</v>
          </cell>
          <cell r="AC244">
            <v>24.896999999999998</v>
          </cell>
        </row>
        <row r="245">
          <cell r="A245" t="str">
            <v>Consumption standard Electricity-Performance boiler (TWh)</v>
          </cell>
          <cell r="B245">
            <v>68.760000000000005</v>
          </cell>
          <cell r="C245">
            <v>64.728999999999999</v>
          </cell>
          <cell r="D245">
            <v>61.024000000000001</v>
          </cell>
          <cell r="E245">
            <v>56.567999999999998</v>
          </cell>
          <cell r="F245">
            <v>52.655999999999999</v>
          </cell>
          <cell r="G245">
            <v>49.04</v>
          </cell>
          <cell r="H245">
            <v>45.518999999999998</v>
          </cell>
          <cell r="I245">
            <v>41.968000000000004</v>
          </cell>
          <cell r="J245">
            <v>38.636000000000003</v>
          </cell>
          <cell r="K245">
            <v>35.478000000000002</v>
          </cell>
          <cell r="L245">
            <v>32.539000000000001</v>
          </cell>
          <cell r="M245">
            <v>29.8</v>
          </cell>
          <cell r="N245">
            <v>27.239000000000001</v>
          </cell>
          <cell r="O245">
            <v>24.704000000000001</v>
          </cell>
          <cell r="P245">
            <v>22.210999999999999</v>
          </cell>
          <cell r="Q245">
            <v>19.855</v>
          </cell>
          <cell r="R245">
            <v>17.63</v>
          </cell>
          <cell r="S245">
            <v>15.491</v>
          </cell>
          <cell r="T245">
            <v>13.445</v>
          </cell>
          <cell r="U245">
            <v>11.529</v>
          </cell>
          <cell r="V245">
            <v>9.73</v>
          </cell>
          <cell r="W245">
            <v>9.1809999999999992</v>
          </cell>
          <cell r="X245">
            <v>8.625</v>
          </cell>
          <cell r="Y245">
            <v>8.2070000000000007</v>
          </cell>
          <cell r="Z245">
            <v>7.7590000000000003</v>
          </cell>
          <cell r="AA245">
            <v>7.3769999999999998</v>
          </cell>
          <cell r="AB245">
            <v>7.1020000000000003</v>
          </cell>
          <cell r="AC245">
            <v>6.8760000000000003</v>
          </cell>
        </row>
        <row r="246">
          <cell r="A246" t="str">
            <v>Consumption standard Heating saving (TWh/year)</v>
          </cell>
          <cell r="C246">
            <v>-0.94299999999999995</v>
          </cell>
          <cell r="D246">
            <v>5.6000000000000001E-2</v>
          </cell>
          <cell r="E246">
            <v>-1.42</v>
          </cell>
          <cell r="F246">
            <v>-0.84899999999999998</v>
          </cell>
          <cell r="G246">
            <v>-1.911</v>
          </cell>
          <cell r="H246">
            <v>-3.081</v>
          </cell>
          <cell r="I246">
            <v>-4.1180000000000003</v>
          </cell>
          <cell r="J246">
            <v>-2.0939999999999999</v>
          </cell>
          <cell r="K246">
            <v>-3.19</v>
          </cell>
          <cell r="L246">
            <v>-2.6459999999999999</v>
          </cell>
          <cell r="M246">
            <v>-2.052</v>
          </cell>
          <cell r="N246">
            <v>-1.5489999999999999</v>
          </cell>
          <cell r="O246">
            <v>-1.06</v>
          </cell>
          <cell r="P246">
            <v>-0.31</v>
          </cell>
          <cell r="Q246">
            <v>4.0000000000000001E-3</v>
          </cell>
          <cell r="R246">
            <v>0.28199999999999997</v>
          </cell>
          <cell r="S246">
            <v>0.57199999999999995</v>
          </cell>
          <cell r="T246">
            <v>0.38100000000000001</v>
          </cell>
          <cell r="U246">
            <v>0.35199999999999998</v>
          </cell>
          <cell r="V246">
            <v>0.28499999999999998</v>
          </cell>
          <cell r="W246">
            <v>0.26900000000000002</v>
          </cell>
          <cell r="X246">
            <v>0.23799999999999999</v>
          </cell>
          <cell r="Y246">
            <v>0.20699999999999999</v>
          </cell>
          <cell r="Z246">
            <v>0.18099999999999999</v>
          </cell>
          <cell r="AA246">
            <v>0.156</v>
          </cell>
          <cell r="AB246">
            <v>0.14000000000000001</v>
          </cell>
          <cell r="AC246">
            <v>0.14199999999999999</v>
          </cell>
        </row>
        <row r="247">
          <cell r="A247" t="str">
            <v>Consumption standard Heating-District heating (TWh)</v>
          </cell>
          <cell r="B247">
            <v>12.319000000000001</v>
          </cell>
          <cell r="C247">
            <v>13.29</v>
          </cell>
          <cell r="D247">
            <v>13.318</v>
          </cell>
          <cell r="E247">
            <v>14.821</v>
          </cell>
          <cell r="F247">
            <v>15.75</v>
          </cell>
          <cell r="G247">
            <v>17.738</v>
          </cell>
          <cell r="H247">
            <v>20.890999999999998</v>
          </cell>
          <cell r="I247">
            <v>25.059000000000001</v>
          </cell>
          <cell r="J247">
            <v>27.190999999999999</v>
          </cell>
          <cell r="K247">
            <v>30.411000000000001</v>
          </cell>
          <cell r="L247">
            <v>33.070999999999998</v>
          </cell>
          <cell r="M247">
            <v>35.122</v>
          </cell>
          <cell r="N247">
            <v>36.651000000000003</v>
          </cell>
          <cell r="O247">
            <v>37.673000000000002</v>
          </cell>
          <cell r="P247">
            <v>37.929000000000002</v>
          </cell>
          <cell r="Q247">
            <v>37.859000000000002</v>
          </cell>
          <cell r="R247">
            <v>37.497999999999998</v>
          </cell>
          <cell r="S247">
            <v>36.686</v>
          </cell>
          <cell r="T247">
            <v>36.030999999999999</v>
          </cell>
          <cell r="U247">
            <v>35.384999999999998</v>
          </cell>
          <cell r="V247">
            <v>34.786000000000001</v>
          </cell>
          <cell r="W247">
            <v>34.180999999999997</v>
          </cell>
          <cell r="X247">
            <v>33.595999999999997</v>
          </cell>
          <cell r="Y247">
            <v>33.033000000000001</v>
          </cell>
          <cell r="Z247">
            <v>32.485999999999997</v>
          </cell>
          <cell r="AA247">
            <v>31.956</v>
          </cell>
          <cell r="AB247">
            <v>31.771000000000001</v>
          </cell>
          <cell r="AC247">
            <v>31.576000000000001</v>
          </cell>
        </row>
        <row r="248">
          <cell r="A248" t="str">
            <v>Consumption standard Natural gas saving (TWh/year)</v>
          </cell>
          <cell r="C248">
            <v>3.5590000000000002</v>
          </cell>
          <cell r="D248">
            <v>3.081</v>
          </cell>
          <cell r="E248">
            <v>5.7839999999999998</v>
          </cell>
          <cell r="F248">
            <v>6.0670000000000002</v>
          </cell>
          <cell r="G248">
            <v>6.266</v>
          </cell>
          <cell r="H248">
            <v>7.0330000000000004</v>
          </cell>
          <cell r="I248">
            <v>7.3049999999999997</v>
          </cell>
          <cell r="J248">
            <v>6.5209999999999999</v>
          </cell>
          <cell r="K248">
            <v>6.6029999999999998</v>
          </cell>
          <cell r="L248">
            <v>5.9260000000000002</v>
          </cell>
          <cell r="M248">
            <v>5.298</v>
          </cell>
          <cell r="N248">
            <v>4.8109999999999999</v>
          </cell>
          <cell r="O248">
            <v>5.2670000000000003</v>
          </cell>
          <cell r="P248">
            <v>5.0030000000000001</v>
          </cell>
          <cell r="Q248">
            <v>4.6459999999999999</v>
          </cell>
          <cell r="R248">
            <v>3.4910000000000001</v>
          </cell>
          <cell r="S248">
            <v>4.6269999999999998</v>
          </cell>
          <cell r="T248">
            <v>2.71</v>
          </cell>
          <cell r="U248">
            <v>2.5790000000000002</v>
          </cell>
          <cell r="V248">
            <v>2.11</v>
          </cell>
          <cell r="W248">
            <v>1.7190000000000001</v>
          </cell>
          <cell r="X248">
            <v>1.3460000000000001</v>
          </cell>
          <cell r="Y248">
            <v>1.7170000000000001</v>
          </cell>
          <cell r="Z248">
            <v>1.323</v>
          </cell>
          <cell r="AA248">
            <v>1.367</v>
          </cell>
          <cell r="AB248">
            <v>1.4330000000000001</v>
          </cell>
          <cell r="AC248">
            <v>1.4770000000000001</v>
          </cell>
        </row>
        <row r="249">
          <cell r="A249" t="str">
            <v>Consumption standard Natural gas-Performance boiler (TWh)</v>
          </cell>
          <cell r="B249">
            <v>144.13499999999999</v>
          </cell>
          <cell r="C249">
            <v>140.471</v>
          </cell>
          <cell r="D249">
            <v>137.18799999999999</v>
          </cell>
          <cell r="E249">
            <v>131.196</v>
          </cell>
          <cell r="F249">
            <v>124.91800000000001</v>
          </cell>
          <cell r="G249">
            <v>118.44199999999999</v>
          </cell>
          <cell r="H249">
            <v>111.2</v>
          </cell>
          <cell r="I249">
            <v>103.691</v>
          </cell>
          <cell r="J249">
            <v>96.974000000000004</v>
          </cell>
          <cell r="K249">
            <v>90.179000000000002</v>
          </cell>
          <cell r="L249">
            <v>84.064999999999998</v>
          </cell>
          <cell r="M249">
            <v>78.582999999999998</v>
          </cell>
          <cell r="N249">
            <v>73.59</v>
          </cell>
          <cell r="O249">
            <v>68.138999999999996</v>
          </cell>
          <cell r="P249">
            <v>62.957999999999998</v>
          </cell>
          <cell r="Q249">
            <v>58.142000000000003</v>
          </cell>
          <cell r="R249">
            <v>54.484999999999999</v>
          </cell>
          <cell r="S249">
            <v>49.616</v>
          </cell>
          <cell r="T249">
            <v>46.709000000000003</v>
          </cell>
          <cell r="U249">
            <v>43.933</v>
          </cell>
          <cell r="V249">
            <v>41.628</v>
          </cell>
          <cell r="W249">
            <v>39.713000000000001</v>
          </cell>
          <cell r="X249">
            <v>38.176000000000002</v>
          </cell>
          <cell r="Y249">
            <v>36.271000000000001</v>
          </cell>
          <cell r="Z249">
            <v>34.765999999999998</v>
          </cell>
          <cell r="AA249">
            <v>33.222000000000001</v>
          </cell>
          <cell r="AB249">
            <v>31.553000000000001</v>
          </cell>
          <cell r="AC249">
            <v>29.812999999999999</v>
          </cell>
        </row>
        <row r="250">
          <cell r="A250" t="str">
            <v>Consumption standard Oil fuel saving (TWh/year)</v>
          </cell>
          <cell r="C250">
            <v>5.8869999999999996</v>
          </cell>
          <cell r="D250">
            <v>5.5549999999999997</v>
          </cell>
          <cell r="E250">
            <v>6.4850000000000003</v>
          </cell>
          <cell r="F250">
            <v>6.4119999999999999</v>
          </cell>
          <cell r="G250">
            <v>5.5650000000000004</v>
          </cell>
          <cell r="H250">
            <v>5.1479999999999997</v>
          </cell>
          <cell r="I250">
            <v>4.4610000000000003</v>
          </cell>
          <cell r="J250">
            <v>4.0549999999999997</v>
          </cell>
          <cell r="K250">
            <v>3.6669999999999998</v>
          </cell>
          <cell r="L250">
            <v>3.3879999999999999</v>
          </cell>
          <cell r="M250">
            <v>3.1819999999999999</v>
          </cell>
          <cell r="N250">
            <v>3.0259999999999998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</row>
        <row r="251">
          <cell r="A251" t="str">
            <v>Consumption standard Oil fuel-Performance boiler (TWh)</v>
          </cell>
          <cell r="B251">
            <v>58.136000000000003</v>
          </cell>
          <cell r="C251">
            <v>52.079000000000001</v>
          </cell>
          <cell r="D251">
            <v>46.362000000000002</v>
          </cell>
          <cell r="E251">
            <v>39.720999999999997</v>
          </cell>
          <cell r="F251">
            <v>33.164000000000001</v>
          </cell>
          <cell r="G251">
            <v>27.468</v>
          </cell>
          <cell r="H251">
            <v>22.201000000000001</v>
          </cell>
          <cell r="I251">
            <v>17.635000000000002</v>
          </cell>
          <cell r="J251">
            <v>13.49</v>
          </cell>
          <cell r="K251">
            <v>9.7430000000000003</v>
          </cell>
          <cell r="L251">
            <v>6.2880000000000003</v>
          </cell>
          <cell r="M251">
            <v>3.0550000000000002</v>
          </cell>
        </row>
        <row r="252">
          <cell r="A252" t="str">
            <v>Consumption standard saving (TWh/year)</v>
          </cell>
          <cell r="C252">
            <v>9.9190000000000005</v>
          </cell>
          <cell r="D252">
            <v>9.7240000000000002</v>
          </cell>
          <cell r="E252">
            <v>12.996</v>
          </cell>
          <cell r="F252">
            <v>13.208</v>
          </cell>
          <cell r="G252">
            <v>11.449</v>
          </cell>
          <cell r="H252">
            <v>10.792</v>
          </cell>
          <cell r="I252">
            <v>9.6769999999999996</v>
          </cell>
          <cell r="J252">
            <v>10.199999999999999</v>
          </cell>
          <cell r="K252">
            <v>8.7430000000000003</v>
          </cell>
          <cell r="L252">
            <v>8.0709999999999997</v>
          </cell>
          <cell r="M252">
            <v>7.5789999999999997</v>
          </cell>
          <cell r="N252">
            <v>7.2080000000000002</v>
          </cell>
          <cell r="O252">
            <v>5.6369999999999996</v>
          </cell>
          <cell r="P252">
            <v>6.1120000000000001</v>
          </cell>
          <cell r="Q252">
            <v>5.9450000000000003</v>
          </cell>
          <cell r="R252">
            <v>5.1100000000000003</v>
          </cell>
          <cell r="S252">
            <v>6.4790000000000001</v>
          </cell>
          <cell r="T252">
            <v>4.4550000000000001</v>
          </cell>
          <cell r="U252">
            <v>4.1749999999999998</v>
          </cell>
          <cell r="V252">
            <v>3.6110000000000002</v>
          </cell>
          <cell r="W252">
            <v>2.4409999999999998</v>
          </cell>
          <cell r="X252">
            <v>2.093</v>
          </cell>
          <cell r="Y252">
            <v>2.198</v>
          </cell>
          <cell r="Z252">
            <v>1.863</v>
          </cell>
          <cell r="AA252">
            <v>1.7869999999999999</v>
          </cell>
          <cell r="AB252">
            <v>1.7509999999999999</v>
          </cell>
          <cell r="AC252">
            <v>1.7470000000000001</v>
          </cell>
        </row>
        <row r="253">
          <cell r="A253" t="str">
            <v>Consumption standard saving heater (TWh/year)</v>
          </cell>
          <cell r="C253">
            <v>6.4989999999999997</v>
          </cell>
          <cell r="D253">
            <v>6.641</v>
          </cell>
          <cell r="E253">
            <v>6.407</v>
          </cell>
          <cell r="F253">
            <v>6.6660000000000004</v>
          </cell>
          <cell r="G253">
            <v>5.9960000000000004</v>
          </cell>
          <cell r="H253">
            <v>5.3719999999999999</v>
          </cell>
          <cell r="I253">
            <v>4.774</v>
          </cell>
          <cell r="J253">
            <v>5.1580000000000004</v>
          </cell>
          <cell r="K253">
            <v>4.6580000000000004</v>
          </cell>
          <cell r="L253">
            <v>4.7069999999999999</v>
          </cell>
          <cell r="M253">
            <v>4.8010000000000002</v>
          </cell>
          <cell r="N253">
            <v>4.8929999999999998</v>
          </cell>
          <cell r="O253">
            <v>3.383</v>
          </cell>
          <cell r="P253">
            <v>3.5190000000000001</v>
          </cell>
          <cell r="Q253">
            <v>3.5230000000000001</v>
          </cell>
          <cell r="R253">
            <v>2.976</v>
          </cell>
          <cell r="S253">
            <v>3.17</v>
          </cell>
          <cell r="T253">
            <v>2.5550000000000002</v>
          </cell>
          <cell r="U253">
            <v>2.4710000000000001</v>
          </cell>
          <cell r="V253">
            <v>2.1680000000000001</v>
          </cell>
          <cell r="W253">
            <v>1.1000000000000001</v>
          </cell>
          <cell r="X253">
            <v>0.878</v>
          </cell>
          <cell r="Y253">
            <v>1.099</v>
          </cell>
          <cell r="Z253">
            <v>0.86699999999999999</v>
          </cell>
          <cell r="AA253">
            <v>0.88500000000000001</v>
          </cell>
          <cell r="AB253">
            <v>0.91</v>
          </cell>
          <cell r="AC253">
            <v>0.91900000000000004</v>
          </cell>
        </row>
        <row r="254">
          <cell r="A254" t="str">
            <v>Consumption standard saving insulation (%)</v>
          </cell>
          <cell r="C254">
            <v>0.28100000000000003</v>
          </cell>
          <cell r="D254">
            <v>0.26400000000000001</v>
          </cell>
          <cell r="E254">
            <v>0.36499999999999999</v>
          </cell>
          <cell r="F254">
            <v>0.35199999999999998</v>
          </cell>
          <cell r="G254">
            <v>0.32200000000000001</v>
          </cell>
          <cell r="H254">
            <v>0.32100000000000001</v>
          </cell>
          <cell r="I254">
            <v>0.313</v>
          </cell>
          <cell r="J254">
            <v>0.32400000000000001</v>
          </cell>
          <cell r="K254">
            <v>0.30599999999999999</v>
          </cell>
          <cell r="L254">
            <v>0.28299999999999997</v>
          </cell>
          <cell r="M254">
            <v>0.254</v>
          </cell>
          <cell r="N254">
            <v>0.23499999999999999</v>
          </cell>
          <cell r="O254">
            <v>0.23499999999999999</v>
          </cell>
          <cell r="P254">
            <v>0.224</v>
          </cell>
          <cell r="Q254">
            <v>0.222</v>
          </cell>
          <cell r="R254">
            <v>0.21</v>
          </cell>
          <cell r="S254">
            <v>0.24199999999999999</v>
          </cell>
          <cell r="T254">
            <v>0.187</v>
          </cell>
          <cell r="U254">
            <v>0.18</v>
          </cell>
          <cell r="V254">
            <v>0.17399999999999999</v>
          </cell>
          <cell r="W254">
            <v>0.16800000000000001</v>
          </cell>
          <cell r="X254">
            <v>0.16300000000000001</v>
          </cell>
          <cell r="Y254">
            <v>0.158</v>
          </cell>
          <cell r="Z254">
            <v>0.153</v>
          </cell>
          <cell r="AA254">
            <v>0.14799999999999999</v>
          </cell>
          <cell r="AB254">
            <v>0.14499999999999999</v>
          </cell>
          <cell r="AC254">
            <v>0.14899999999999999</v>
          </cell>
        </row>
        <row r="255">
          <cell r="A255" t="str">
            <v>Consumption standard saving insulation (TWh/year)</v>
          </cell>
          <cell r="C255">
            <v>3.4180000000000001</v>
          </cell>
          <cell r="D255">
            <v>3.0830000000000002</v>
          </cell>
          <cell r="E255">
            <v>6.5880000000000001</v>
          </cell>
          <cell r="F255">
            <v>6.5430000000000001</v>
          </cell>
          <cell r="G255">
            <v>5.4530000000000003</v>
          </cell>
          <cell r="H255">
            <v>5.42</v>
          </cell>
          <cell r="I255">
            <v>4.9029999999999996</v>
          </cell>
          <cell r="J255">
            <v>5.0410000000000004</v>
          </cell>
          <cell r="K255">
            <v>4.085</v>
          </cell>
          <cell r="L255">
            <v>3.3639999999999999</v>
          </cell>
          <cell r="M255">
            <v>2.778</v>
          </cell>
          <cell r="N255">
            <v>2.3140000000000001</v>
          </cell>
          <cell r="O255">
            <v>2.2549999999999999</v>
          </cell>
          <cell r="P255">
            <v>2.593</v>
          </cell>
          <cell r="Q255">
            <v>2.4209999999999998</v>
          </cell>
          <cell r="R255">
            <v>2.1339999999999999</v>
          </cell>
          <cell r="S255">
            <v>3.3079999999999998</v>
          </cell>
          <cell r="T255">
            <v>1.9</v>
          </cell>
          <cell r="U255">
            <v>1.7050000000000001</v>
          </cell>
          <cell r="V255">
            <v>1.4430000000000001</v>
          </cell>
          <cell r="W255">
            <v>1.3420000000000001</v>
          </cell>
          <cell r="X255">
            <v>1.2150000000000001</v>
          </cell>
          <cell r="Y255">
            <v>1.099</v>
          </cell>
          <cell r="Z255">
            <v>0.996</v>
          </cell>
          <cell r="AA255">
            <v>0.90300000000000002</v>
          </cell>
          <cell r="AB255">
            <v>0.84099999999999997</v>
          </cell>
          <cell r="AC255">
            <v>0.82699999999999996</v>
          </cell>
        </row>
        <row r="256">
          <cell r="A256" t="str">
            <v>Consumption standard saving Multi-family - Owner-occupied (%)</v>
          </cell>
          <cell r="C256">
            <v>0.33900000000000002</v>
          </cell>
          <cell r="D256">
            <v>0.36699999999999999</v>
          </cell>
          <cell r="E256">
            <v>0.36299999999999999</v>
          </cell>
          <cell r="F256">
            <v>0.38300000000000001</v>
          </cell>
          <cell r="G256">
            <v>0.375</v>
          </cell>
          <cell r="H256">
            <v>0.39200000000000002</v>
          </cell>
          <cell r="I256">
            <v>0.40100000000000002</v>
          </cell>
          <cell r="J256">
            <v>0.39</v>
          </cell>
          <cell r="K256">
            <v>0.38</v>
          </cell>
          <cell r="L256">
            <v>0.36899999999999999</v>
          </cell>
          <cell r="M256">
            <v>0.35899999999999999</v>
          </cell>
          <cell r="N256">
            <v>0.34899999999999998</v>
          </cell>
          <cell r="O256">
            <v>0.38900000000000001</v>
          </cell>
          <cell r="P256">
            <v>0.38</v>
          </cell>
          <cell r="Q256">
            <v>0.38700000000000001</v>
          </cell>
          <cell r="R256">
            <v>0.378</v>
          </cell>
          <cell r="S256">
            <v>0.48199999999999998</v>
          </cell>
          <cell r="T256">
            <v>0.32700000000000001</v>
          </cell>
          <cell r="U256">
            <v>0.32</v>
          </cell>
          <cell r="V256">
            <v>0.314</v>
          </cell>
          <cell r="W256">
            <v>0.30599999999999999</v>
          </cell>
          <cell r="X256">
            <v>0.29899999999999999</v>
          </cell>
          <cell r="Y256">
            <v>0.28999999999999998</v>
          </cell>
          <cell r="Z256">
            <v>0.28100000000000003</v>
          </cell>
          <cell r="AA256">
            <v>0.27100000000000002</v>
          </cell>
          <cell r="AB256">
            <v>0.26900000000000002</v>
          </cell>
          <cell r="AC256">
            <v>0.27600000000000002</v>
          </cell>
        </row>
        <row r="257">
          <cell r="A257" t="str">
            <v>Consumption standard saving Multi-family - Privately rented (%)</v>
          </cell>
          <cell r="C257">
            <v>0.52800000000000002</v>
          </cell>
          <cell r="D257">
            <v>0.50900000000000001</v>
          </cell>
          <cell r="E257">
            <v>0.57399999999999995</v>
          </cell>
          <cell r="F257">
            <v>0.54500000000000004</v>
          </cell>
          <cell r="G257">
            <v>0.51500000000000001</v>
          </cell>
          <cell r="H257">
            <v>0.48599999999999999</v>
          </cell>
          <cell r="I257">
            <v>0.45400000000000001</v>
          </cell>
          <cell r="J257">
            <v>0.46</v>
          </cell>
          <cell r="K257">
            <v>0.44900000000000001</v>
          </cell>
          <cell r="L257">
            <v>0.437</v>
          </cell>
          <cell r="M257">
            <v>0.42499999999999999</v>
          </cell>
          <cell r="N257">
            <v>0.41099999999999998</v>
          </cell>
          <cell r="O257">
            <v>0.39800000000000002</v>
          </cell>
          <cell r="P257">
            <v>0.28499999999999998</v>
          </cell>
          <cell r="Q257">
            <v>0.28799999999999998</v>
          </cell>
          <cell r="R257">
            <v>0.28299999999999997</v>
          </cell>
          <cell r="S257">
            <v>0.316</v>
          </cell>
          <cell r="T257">
            <v>0.27300000000000002</v>
          </cell>
          <cell r="U257">
            <v>0.26900000000000002</v>
          </cell>
          <cell r="V257">
            <v>0.26600000000000001</v>
          </cell>
          <cell r="W257">
            <v>0.26100000000000001</v>
          </cell>
          <cell r="X257">
            <v>0.25700000000000001</v>
          </cell>
          <cell r="Y257">
            <v>0.252</v>
          </cell>
          <cell r="Z257">
            <v>0.247</v>
          </cell>
          <cell r="AA257">
            <v>0.24299999999999999</v>
          </cell>
          <cell r="AB257">
            <v>0.24</v>
          </cell>
          <cell r="AC257">
            <v>0.246</v>
          </cell>
        </row>
        <row r="258">
          <cell r="A258" t="str">
            <v>Consumption standard saving Multi-family - Social-housing (%)</v>
          </cell>
          <cell r="C258">
            <v>0.52200000000000002</v>
          </cell>
          <cell r="D258">
            <v>0.34300000000000003</v>
          </cell>
          <cell r="E258">
            <v>0.26600000000000001</v>
          </cell>
          <cell r="F258">
            <v>0.25800000000000001</v>
          </cell>
          <cell r="G258">
            <v>0.24399999999999999</v>
          </cell>
          <cell r="H258">
            <v>0.246</v>
          </cell>
          <cell r="I258">
            <v>0.247</v>
          </cell>
          <cell r="J258">
            <v>0.245</v>
          </cell>
          <cell r="K258">
            <v>0.252</v>
          </cell>
          <cell r="L258">
            <v>0.24399999999999999</v>
          </cell>
          <cell r="M258">
            <v>0.22</v>
          </cell>
          <cell r="N258">
            <v>0.21</v>
          </cell>
          <cell r="O258">
            <v>0.21199999999999999</v>
          </cell>
          <cell r="P258">
            <v>0.20499999999999999</v>
          </cell>
          <cell r="Q258">
            <v>0.19600000000000001</v>
          </cell>
          <cell r="R258">
            <v>0.18</v>
          </cell>
          <cell r="S258">
            <v>0.193</v>
          </cell>
          <cell r="T258">
            <v>0.16300000000000001</v>
          </cell>
          <cell r="U258">
            <v>0.157</v>
          </cell>
          <cell r="V258">
            <v>0.13900000000000001</v>
          </cell>
          <cell r="W258">
            <v>0.13600000000000001</v>
          </cell>
          <cell r="X258">
            <v>0.13300000000000001</v>
          </cell>
          <cell r="Y258">
            <v>0.13</v>
          </cell>
          <cell r="Z258">
            <v>0.127</v>
          </cell>
          <cell r="AA258">
            <v>0.124</v>
          </cell>
          <cell r="AB258">
            <v>0.121</v>
          </cell>
          <cell r="AC258">
            <v>0.122</v>
          </cell>
        </row>
        <row r="259">
          <cell r="A259" t="str">
            <v>Consumption standard saving Single-family - Owner-occupied (%)</v>
          </cell>
          <cell r="C259">
            <v>0.17499999999999999</v>
          </cell>
          <cell r="D259">
            <v>0.16300000000000001</v>
          </cell>
          <cell r="E259">
            <v>0.32400000000000001</v>
          </cell>
          <cell r="F259">
            <v>0.33700000000000002</v>
          </cell>
          <cell r="G259">
            <v>0.318</v>
          </cell>
          <cell r="H259">
            <v>0.33</v>
          </cell>
          <cell r="I259">
            <v>0.32800000000000001</v>
          </cell>
          <cell r="J259">
            <v>0.29799999999999999</v>
          </cell>
          <cell r="K259">
            <v>0.27300000000000002</v>
          </cell>
          <cell r="L259">
            <v>0.252</v>
          </cell>
          <cell r="M259">
            <v>0.23400000000000001</v>
          </cell>
          <cell r="N259">
            <v>0.22</v>
          </cell>
          <cell r="O259">
            <v>0.21099999999999999</v>
          </cell>
          <cell r="P259">
            <v>0.20100000000000001</v>
          </cell>
          <cell r="Q259">
            <v>0.20399999999999999</v>
          </cell>
          <cell r="R259">
            <v>0.19400000000000001</v>
          </cell>
          <cell r="S259">
            <v>0.19700000000000001</v>
          </cell>
          <cell r="T259">
            <v>0.16200000000000001</v>
          </cell>
          <cell r="U259">
            <v>0.158</v>
          </cell>
          <cell r="V259">
            <v>0.153</v>
          </cell>
          <cell r="W259">
            <v>0.151</v>
          </cell>
          <cell r="X259">
            <v>0.14699999999999999</v>
          </cell>
          <cell r="Y259">
            <v>0.14299999999999999</v>
          </cell>
          <cell r="Z259">
            <v>0.13900000000000001</v>
          </cell>
          <cell r="AA259">
            <v>0.13500000000000001</v>
          </cell>
          <cell r="AB259">
            <v>0.13300000000000001</v>
          </cell>
          <cell r="AC259">
            <v>0.13900000000000001</v>
          </cell>
        </row>
        <row r="260">
          <cell r="A260" t="str">
            <v>Consumption standard saving Single-family - Privately rented (%)</v>
          </cell>
          <cell r="C260">
            <v>0.51100000000000001</v>
          </cell>
          <cell r="D260">
            <v>0.47199999999999998</v>
          </cell>
          <cell r="E260">
            <v>0.55400000000000005</v>
          </cell>
          <cell r="F260">
            <v>0.53200000000000003</v>
          </cell>
          <cell r="G260">
            <v>0.505</v>
          </cell>
          <cell r="H260">
            <v>0.48399999999999999</v>
          </cell>
          <cell r="I260">
            <v>0.44800000000000001</v>
          </cell>
          <cell r="J260">
            <v>0.42699999999999999</v>
          </cell>
          <cell r="K260">
            <v>0.40400000000000003</v>
          </cell>
          <cell r="L260">
            <v>0.378</v>
          </cell>
          <cell r="M260">
            <v>0.34899999999999998</v>
          </cell>
          <cell r="N260">
            <v>0.318</v>
          </cell>
          <cell r="O260">
            <v>0.29599999999999999</v>
          </cell>
          <cell r="P260">
            <v>0.14799999999999999</v>
          </cell>
          <cell r="Q260">
            <v>0.14699999999999999</v>
          </cell>
          <cell r="R260">
            <v>0.14000000000000001</v>
          </cell>
          <cell r="S260">
            <v>0.16500000000000001</v>
          </cell>
          <cell r="T260">
            <v>0.13</v>
          </cell>
          <cell r="U260">
            <v>0.127</v>
          </cell>
          <cell r="V260">
            <v>0.124</v>
          </cell>
          <cell r="W260">
            <v>0.12</v>
          </cell>
          <cell r="X260">
            <v>0.11600000000000001</v>
          </cell>
          <cell r="Y260">
            <v>0.112</v>
          </cell>
          <cell r="Z260">
            <v>0.108</v>
          </cell>
          <cell r="AA260">
            <v>0.105</v>
          </cell>
          <cell r="AB260">
            <v>0.10199999999999999</v>
          </cell>
          <cell r="AC260">
            <v>0.105</v>
          </cell>
        </row>
        <row r="261">
          <cell r="A261" t="str">
            <v>Consumption standard saving Single-family - Social-housing (%)</v>
          </cell>
          <cell r="C261">
            <v>0.35199999999999998</v>
          </cell>
          <cell r="D261">
            <v>0.22900000000000001</v>
          </cell>
          <cell r="E261">
            <v>0.22600000000000001</v>
          </cell>
          <cell r="F261">
            <v>0.20100000000000001</v>
          </cell>
          <cell r="G261">
            <v>0.14499999999999999</v>
          </cell>
          <cell r="H261">
            <v>0.11899999999999999</v>
          </cell>
          <cell r="I261">
            <v>0.11899999999999999</v>
          </cell>
          <cell r="J261">
            <v>0.11799999999999999</v>
          </cell>
          <cell r="K261">
            <v>0.12</v>
          </cell>
          <cell r="L261">
            <v>0.12</v>
          </cell>
          <cell r="M261">
            <v>0.10299999999999999</v>
          </cell>
          <cell r="N261">
            <v>8.1000000000000003E-2</v>
          </cell>
          <cell r="O261">
            <v>7.9000000000000001E-2</v>
          </cell>
          <cell r="P261">
            <v>7.6999999999999999E-2</v>
          </cell>
          <cell r="Q261">
            <v>7.8E-2</v>
          </cell>
          <cell r="R261">
            <v>7.4999999999999997E-2</v>
          </cell>
          <cell r="S261">
            <v>0.114</v>
          </cell>
          <cell r="T261">
            <v>6.9000000000000006E-2</v>
          </cell>
          <cell r="U261">
            <v>6.7000000000000004E-2</v>
          </cell>
          <cell r="V261">
            <v>5.6000000000000001E-2</v>
          </cell>
          <cell r="W261">
            <v>5.5E-2</v>
          </cell>
          <cell r="X261">
            <v>5.2999999999999999E-2</v>
          </cell>
          <cell r="Y261">
            <v>5.1999999999999998E-2</v>
          </cell>
          <cell r="Z261">
            <v>5.0999999999999997E-2</v>
          </cell>
          <cell r="AA261">
            <v>0.05</v>
          </cell>
          <cell r="AB261">
            <v>4.9000000000000002E-2</v>
          </cell>
          <cell r="AC261">
            <v>0.05</v>
          </cell>
        </row>
        <row r="262">
          <cell r="A262" t="str">
            <v>Consumption standard Wood fuel saving (TWh/year)</v>
          </cell>
          <cell r="C262">
            <v>-0.29099999999999998</v>
          </cell>
          <cell r="D262">
            <v>-0.32800000000000001</v>
          </cell>
          <cell r="E262">
            <v>-0.114</v>
          </cell>
          <cell r="F262">
            <v>-9.0999999999999998E-2</v>
          </cell>
          <cell r="G262">
            <v>-7.0999999999999994E-2</v>
          </cell>
          <cell r="H262">
            <v>-3.7999999999999999E-2</v>
          </cell>
          <cell r="I262">
            <v>9.8000000000000004E-2</v>
          </cell>
          <cell r="J262">
            <v>0.10199999999999999</v>
          </cell>
          <cell r="K262">
            <v>7.0000000000000007E-2</v>
          </cell>
          <cell r="L262">
            <v>3.9E-2</v>
          </cell>
          <cell r="M262">
            <v>1.2E-2</v>
          </cell>
          <cell r="N262">
            <v>-1.4E-2</v>
          </cell>
          <cell r="O262">
            <v>6.4000000000000001E-2</v>
          </cell>
          <cell r="P262">
            <v>9.6000000000000002E-2</v>
          </cell>
          <cell r="Q262">
            <v>8.7999999999999995E-2</v>
          </cell>
          <cell r="R262">
            <v>9.1999999999999998E-2</v>
          </cell>
          <cell r="S262">
            <v>0.18099999999999999</v>
          </cell>
          <cell r="T262">
            <v>0.18</v>
          </cell>
          <cell r="U262">
            <v>0.157</v>
          </cell>
          <cell r="V262">
            <v>0.14799999999999999</v>
          </cell>
          <cell r="W262">
            <v>0.20100000000000001</v>
          </cell>
          <cell r="X262">
            <v>0.192</v>
          </cell>
          <cell r="Y262">
            <v>0.161</v>
          </cell>
          <cell r="Z262">
            <v>0.155</v>
          </cell>
          <cell r="AA262">
            <v>0.13900000000000001</v>
          </cell>
          <cell r="AB262">
            <v>0.129</v>
          </cell>
          <cell r="AC262">
            <v>0.13</v>
          </cell>
        </row>
        <row r="263">
          <cell r="A263" t="str">
            <v>Consumption standard Wood fuel-Performance boiler (TWh)</v>
          </cell>
          <cell r="B263">
            <v>41.137</v>
          </cell>
          <cell r="C263">
            <v>41.436</v>
          </cell>
          <cell r="D263">
            <v>41.776000000000003</v>
          </cell>
          <cell r="E263">
            <v>41.899000000000001</v>
          </cell>
          <cell r="F263">
            <v>41.999000000000002</v>
          </cell>
          <cell r="G263">
            <v>42.075000000000003</v>
          </cell>
          <cell r="H263">
            <v>42.116</v>
          </cell>
          <cell r="I263">
            <v>41.994999999999997</v>
          </cell>
          <cell r="J263">
            <v>41.869</v>
          </cell>
          <cell r="K263">
            <v>41.771999999999998</v>
          </cell>
          <cell r="L263">
            <v>41.701000000000001</v>
          </cell>
          <cell r="M263">
            <v>41.652999999999999</v>
          </cell>
          <cell r="N263">
            <v>41.628</v>
          </cell>
          <cell r="O263">
            <v>41.518999999999998</v>
          </cell>
          <cell r="P263">
            <v>41.372999999999998</v>
          </cell>
          <cell r="Q263">
            <v>41.232999999999997</v>
          </cell>
          <cell r="R263">
            <v>41.084000000000003</v>
          </cell>
          <cell r="S263">
            <v>40.792999999999999</v>
          </cell>
          <cell r="T263">
            <v>40.49</v>
          </cell>
          <cell r="U263">
            <v>40.204999999999998</v>
          </cell>
          <cell r="V263">
            <v>39.923999999999999</v>
          </cell>
          <cell r="W263">
            <v>39.585999999999999</v>
          </cell>
          <cell r="X263">
            <v>39.256</v>
          </cell>
          <cell r="Y263">
            <v>38.957000000000001</v>
          </cell>
          <cell r="Z263">
            <v>38.664000000000001</v>
          </cell>
          <cell r="AA263">
            <v>38.387999999999998</v>
          </cell>
          <cell r="AB263">
            <v>38.04</v>
          </cell>
          <cell r="AC263">
            <v>37.655000000000001</v>
          </cell>
        </row>
        <row r="264">
          <cell r="A264" t="str">
            <v>Consumption Wood fuel (TWh)</v>
          </cell>
          <cell r="B264">
            <v>76.102999999999994</v>
          </cell>
          <cell r="C264">
            <v>74.563999999999993</v>
          </cell>
          <cell r="D264">
            <v>73.210999999999999</v>
          </cell>
          <cell r="E264">
            <v>71.212000000000003</v>
          </cell>
          <cell r="F264">
            <v>68.849000000000004</v>
          </cell>
          <cell r="G264">
            <v>66.98</v>
          </cell>
          <cell r="H264">
            <v>64.998000000000005</v>
          </cell>
          <cell r="I264">
            <v>62.921999999999997</v>
          </cell>
          <cell r="J264">
            <v>60.991999999999997</v>
          </cell>
          <cell r="K264">
            <v>59.100999999999999</v>
          </cell>
          <cell r="L264">
            <v>57.389000000000003</v>
          </cell>
          <cell r="M264">
            <v>55.837000000000003</v>
          </cell>
          <cell r="N264">
            <v>54.408000000000001</v>
          </cell>
          <cell r="O264">
            <v>53.377000000000002</v>
          </cell>
          <cell r="P264">
            <v>52.369</v>
          </cell>
          <cell r="Q264">
            <v>51.429000000000002</v>
          </cell>
          <cell r="R264">
            <v>50.679000000000002</v>
          </cell>
          <cell r="S264">
            <v>48.207999999999998</v>
          </cell>
          <cell r="T264">
            <v>48.911999999999999</v>
          </cell>
          <cell r="U264">
            <v>48.213999999999999</v>
          </cell>
          <cell r="V264">
            <v>47.593000000000004</v>
          </cell>
          <cell r="W264">
            <v>47.097999999999999</v>
          </cell>
          <cell r="X264">
            <v>46.664000000000001</v>
          </cell>
          <cell r="Y264">
            <v>46.216000000000001</v>
          </cell>
          <cell r="Z264">
            <v>45.832000000000001</v>
          </cell>
          <cell r="AA264">
            <v>45.454000000000001</v>
          </cell>
          <cell r="AB264">
            <v>44.966000000000001</v>
          </cell>
          <cell r="AC264">
            <v>44.429000000000002</v>
          </cell>
        </row>
        <row r="265">
          <cell r="A265" t="str">
            <v>Consumption Wood fuel saving (TWh/year)</v>
          </cell>
          <cell r="C265">
            <v>1.667</v>
          </cell>
          <cell r="D265">
            <v>1.4610000000000001</v>
          </cell>
          <cell r="E265">
            <v>2.1040000000000001</v>
          </cell>
          <cell r="F265">
            <v>2.4630000000000001</v>
          </cell>
          <cell r="G265">
            <v>1.966</v>
          </cell>
          <cell r="H265">
            <v>2.0750000000000002</v>
          </cell>
          <cell r="I265">
            <v>2.1360000000000001</v>
          </cell>
          <cell r="J265">
            <v>1.9870000000000001</v>
          </cell>
          <cell r="K265">
            <v>1.944</v>
          </cell>
          <cell r="L265">
            <v>1.7609999999999999</v>
          </cell>
          <cell r="M265">
            <v>1.597</v>
          </cell>
          <cell r="N265">
            <v>1.472</v>
          </cell>
          <cell r="O265">
            <v>1.0720000000000001</v>
          </cell>
          <cell r="P265">
            <v>1.0449999999999999</v>
          </cell>
          <cell r="Q265">
            <v>0.97299999999999998</v>
          </cell>
          <cell r="R265">
            <v>0.78</v>
          </cell>
          <cell r="S265">
            <v>2.4329999999999998</v>
          </cell>
          <cell r="T265">
            <v>-0.73699999999999999</v>
          </cell>
          <cell r="U265">
            <v>0.65500000000000003</v>
          </cell>
          <cell r="V265">
            <v>0.57499999999999996</v>
          </cell>
          <cell r="W265">
            <v>0.44400000000000001</v>
          </cell>
          <cell r="X265">
            <v>0.38200000000000001</v>
          </cell>
          <cell r="Y265">
            <v>0.39500000000000002</v>
          </cell>
          <cell r="Z265">
            <v>0.33200000000000002</v>
          </cell>
          <cell r="AA265">
            <v>0.32600000000000001</v>
          </cell>
          <cell r="AB265">
            <v>0.32800000000000001</v>
          </cell>
          <cell r="AC265">
            <v>0.33400000000000002</v>
          </cell>
        </row>
        <row r="266">
          <cell r="A266" t="str">
            <v>Consumption Wood fuel-Performance boiler (TWh)</v>
          </cell>
          <cell r="B266">
            <v>76.102999999999994</v>
          </cell>
          <cell r="C266">
            <v>74.563999999999993</v>
          </cell>
          <cell r="D266">
            <v>73.210999999999999</v>
          </cell>
          <cell r="E266">
            <v>71.212000000000003</v>
          </cell>
          <cell r="F266">
            <v>68.849000000000004</v>
          </cell>
          <cell r="G266">
            <v>66.98</v>
          </cell>
          <cell r="H266">
            <v>64.998000000000005</v>
          </cell>
          <cell r="I266">
            <v>62.921999999999997</v>
          </cell>
          <cell r="J266">
            <v>60.991999999999997</v>
          </cell>
          <cell r="K266">
            <v>59.100999999999999</v>
          </cell>
          <cell r="L266">
            <v>57.389000000000003</v>
          </cell>
          <cell r="M266">
            <v>55.837000000000003</v>
          </cell>
          <cell r="N266">
            <v>54.408000000000001</v>
          </cell>
          <cell r="O266">
            <v>53.377000000000002</v>
          </cell>
          <cell r="P266">
            <v>52.369</v>
          </cell>
          <cell r="Q266">
            <v>51.429000000000002</v>
          </cell>
          <cell r="R266">
            <v>50.679000000000002</v>
          </cell>
          <cell r="S266">
            <v>48.207999999999998</v>
          </cell>
          <cell r="T266">
            <v>48.911999999999999</v>
          </cell>
          <cell r="U266">
            <v>48.213999999999999</v>
          </cell>
          <cell r="V266">
            <v>47.593000000000004</v>
          </cell>
          <cell r="W266">
            <v>47.097999999999999</v>
          </cell>
          <cell r="X266">
            <v>46.664000000000001</v>
          </cell>
          <cell r="Y266">
            <v>46.216000000000001</v>
          </cell>
          <cell r="Z266">
            <v>45.832000000000001</v>
          </cell>
          <cell r="AA266">
            <v>45.454000000000001</v>
          </cell>
          <cell r="AB266">
            <v>44.966000000000001</v>
          </cell>
          <cell r="AC266">
            <v>44.429000000000002</v>
          </cell>
        </row>
        <row r="267">
          <cell r="A267" t="str">
            <v>Cost emission (Billion euro)</v>
          </cell>
          <cell r="C267">
            <v>5.4829999999999997</v>
          </cell>
          <cell r="D267">
            <v>5.8230000000000004</v>
          </cell>
          <cell r="E267">
            <v>6.0880000000000001</v>
          </cell>
          <cell r="F267">
            <v>6.1840000000000002</v>
          </cell>
          <cell r="G267">
            <v>6.3360000000000003</v>
          </cell>
          <cell r="H267">
            <v>6.4749999999999996</v>
          </cell>
          <cell r="I267">
            <v>6.5650000000000004</v>
          </cell>
          <cell r="J267">
            <v>6.798</v>
          </cell>
          <cell r="K267">
            <v>6.9770000000000003</v>
          </cell>
          <cell r="L267">
            <v>7.1189999999999998</v>
          </cell>
          <cell r="M267">
            <v>7.2039999999999997</v>
          </cell>
          <cell r="N267">
            <v>7.2510000000000003</v>
          </cell>
          <cell r="O267">
            <v>7.4139999999999997</v>
          </cell>
          <cell r="P267">
            <v>7.5110000000000001</v>
          </cell>
          <cell r="Q267">
            <v>7.593</v>
          </cell>
          <cell r="R267">
            <v>7.7030000000000003</v>
          </cell>
          <cell r="S267">
            <v>7.0330000000000004</v>
          </cell>
          <cell r="T267">
            <v>7.7119999999999997</v>
          </cell>
          <cell r="U267">
            <v>7.7270000000000003</v>
          </cell>
          <cell r="V267">
            <v>7.8</v>
          </cell>
          <cell r="W267">
            <v>7.9059999999999997</v>
          </cell>
          <cell r="X267">
            <v>8.0259999999999998</v>
          </cell>
          <cell r="Y267">
            <v>8.1449999999999996</v>
          </cell>
          <cell r="Z267">
            <v>8.2929999999999993</v>
          </cell>
          <cell r="AA267">
            <v>8.4190000000000005</v>
          </cell>
          <cell r="AB267">
            <v>8.5540000000000003</v>
          </cell>
          <cell r="AC267">
            <v>8.6300000000000008</v>
          </cell>
        </row>
        <row r="268">
          <cell r="A268" t="str">
            <v>Cost energy (Billion euro)</v>
          </cell>
          <cell r="C268">
            <v>24.966000000000001</v>
          </cell>
          <cell r="D268">
            <v>24.398</v>
          </cell>
          <cell r="E268">
            <v>23.757999999999999</v>
          </cell>
          <cell r="F268">
            <v>23.007999999999999</v>
          </cell>
          <cell r="G268">
            <v>22.509</v>
          </cell>
          <cell r="H268">
            <v>22.036000000000001</v>
          </cell>
          <cell r="I268">
            <v>21.591000000000001</v>
          </cell>
          <cell r="J268">
            <v>21.088000000000001</v>
          </cell>
          <cell r="K268">
            <v>20.667000000000002</v>
          </cell>
          <cell r="L268">
            <v>20.286000000000001</v>
          </cell>
          <cell r="M268">
            <v>19.936</v>
          </cell>
          <cell r="N268">
            <v>19.606999999999999</v>
          </cell>
          <cell r="O268">
            <v>19.324000000000002</v>
          </cell>
          <cell r="P268">
            <v>19.006</v>
          </cell>
          <cell r="Q268">
            <v>18.687999999999999</v>
          </cell>
          <cell r="R268">
            <v>18.408000000000001</v>
          </cell>
          <cell r="S268">
            <v>17.481999999999999</v>
          </cell>
          <cell r="T268">
            <v>17.716000000000001</v>
          </cell>
          <cell r="U268">
            <v>17.439</v>
          </cell>
          <cell r="V268">
            <v>17.186</v>
          </cell>
          <cell r="W268">
            <v>17.045000000000002</v>
          </cell>
          <cell r="X268">
            <v>16.913</v>
          </cell>
          <cell r="Y268">
            <v>16.797999999999998</v>
          </cell>
          <cell r="Z268">
            <v>16.692</v>
          </cell>
          <cell r="AA268">
            <v>16.594000000000001</v>
          </cell>
          <cell r="AB268">
            <v>16.518000000000001</v>
          </cell>
          <cell r="AC268">
            <v>16.437000000000001</v>
          </cell>
        </row>
        <row r="269">
          <cell r="A269" t="str">
            <v>Cost heater (Billion euro)</v>
          </cell>
          <cell r="C269">
            <v>1.0269999999999999</v>
          </cell>
          <cell r="D269">
            <v>2.1</v>
          </cell>
          <cell r="E269">
            <v>3.1030000000000002</v>
          </cell>
          <cell r="F269">
            <v>4.1340000000000003</v>
          </cell>
          <cell r="G269">
            <v>5.093</v>
          </cell>
          <cell r="H269">
            <v>5.9729999999999999</v>
          </cell>
          <cell r="I269">
            <v>6.782</v>
          </cell>
          <cell r="J269">
            <v>7.6840000000000002</v>
          </cell>
          <cell r="K269">
            <v>8.5109999999999992</v>
          </cell>
          <cell r="L269">
            <v>9.3569999999999993</v>
          </cell>
          <cell r="M269">
            <v>10.228999999999999</v>
          </cell>
          <cell r="N269">
            <v>11.121</v>
          </cell>
          <cell r="O269">
            <v>11.891</v>
          </cell>
          <cell r="P269">
            <v>12.699</v>
          </cell>
          <cell r="Q269">
            <v>13.523999999999999</v>
          </cell>
          <cell r="R269">
            <v>14.276</v>
          </cell>
          <cell r="S269">
            <v>15.077999999999999</v>
          </cell>
          <cell r="T269">
            <v>15.795</v>
          </cell>
          <cell r="U269">
            <v>16.510000000000002</v>
          </cell>
          <cell r="V269">
            <v>17.178999999999998</v>
          </cell>
          <cell r="W269">
            <v>17.039000000000001</v>
          </cell>
          <cell r="X269">
            <v>16.832000000000001</v>
          </cell>
          <cell r="Y269">
            <v>16.742999999999999</v>
          </cell>
          <cell r="Z269">
            <v>16.609000000000002</v>
          </cell>
          <cell r="AA269">
            <v>16.53</v>
          </cell>
          <cell r="AB269">
            <v>16.513999999999999</v>
          </cell>
          <cell r="AC269">
            <v>16.552</v>
          </cell>
        </row>
        <row r="270">
          <cell r="A270" t="str">
            <v>Cost heath (Billion euro)</v>
          </cell>
          <cell r="C270">
            <v>4.3360000000000003</v>
          </cell>
          <cell r="D270">
            <v>3.919</v>
          </cell>
          <cell r="E270">
            <v>3.3029999999999999</v>
          </cell>
          <cell r="F270">
            <v>2.734</v>
          </cell>
          <cell r="G270">
            <v>2.2559999999999998</v>
          </cell>
          <cell r="H270">
            <v>1.837</v>
          </cell>
          <cell r="I270">
            <v>1.4610000000000001</v>
          </cell>
          <cell r="J270">
            <v>1.167</v>
          </cell>
          <cell r="K270">
            <v>0.93400000000000005</v>
          </cell>
          <cell r="L270">
            <v>0.75</v>
          </cell>
          <cell r="M270">
            <v>0.60399999999999998</v>
          </cell>
          <cell r="N270">
            <v>0.48799999999999999</v>
          </cell>
          <cell r="O270">
            <v>0.39700000000000002</v>
          </cell>
          <cell r="P270">
            <v>0.32300000000000001</v>
          </cell>
          <cell r="Q270">
            <v>0.26</v>
          </cell>
          <cell r="R270">
            <v>0.20799999999999999</v>
          </cell>
          <cell r="S270">
            <v>0.158</v>
          </cell>
          <cell r="T270">
            <v>0.122</v>
          </cell>
          <cell r="U270">
            <v>9.2999999999999999E-2</v>
          </cell>
          <cell r="V270">
            <v>6.9000000000000006E-2</v>
          </cell>
          <cell r="W270">
            <v>5.2999999999999999E-2</v>
          </cell>
          <cell r="X270">
            <v>3.9E-2</v>
          </cell>
          <cell r="Y270">
            <v>2.7E-2</v>
          </cell>
          <cell r="Z270">
            <v>1.7000000000000001E-2</v>
          </cell>
          <cell r="AA270">
            <v>8.0000000000000002E-3</v>
          </cell>
          <cell r="AB270">
            <v>8.0000000000000002E-3</v>
          </cell>
          <cell r="AC270">
            <v>7.0000000000000001E-3</v>
          </cell>
        </row>
        <row r="271">
          <cell r="A271" t="str">
            <v>Cost insulation (Billion euro)</v>
          </cell>
          <cell r="C271">
            <v>0.38600000000000001</v>
          </cell>
          <cell r="D271">
            <v>0.76300000000000001</v>
          </cell>
          <cell r="E271">
            <v>1.508</v>
          </cell>
          <cell r="F271">
            <v>2.2559999999999998</v>
          </cell>
          <cell r="G271">
            <v>2.9329999999999998</v>
          </cell>
          <cell r="H271">
            <v>3.625</v>
          </cell>
          <cell r="I271">
            <v>4.3109999999999999</v>
          </cell>
          <cell r="J271">
            <v>5.0229999999999997</v>
          </cell>
          <cell r="K271">
            <v>5.6420000000000003</v>
          </cell>
          <cell r="L271">
            <v>6.1959999999999997</v>
          </cell>
          <cell r="M271">
            <v>6.7089999999999996</v>
          </cell>
          <cell r="N271">
            <v>7.1749999999999998</v>
          </cell>
          <cell r="O271">
            <v>7.6219999999999999</v>
          </cell>
          <cell r="P271">
            <v>8.173</v>
          </cell>
          <cell r="Q271">
            <v>8.7070000000000007</v>
          </cell>
          <cell r="R271">
            <v>9.2070000000000007</v>
          </cell>
          <cell r="S271">
            <v>9.9019999999999992</v>
          </cell>
          <cell r="T271">
            <v>10.427</v>
          </cell>
          <cell r="U271">
            <v>10.919</v>
          </cell>
          <cell r="V271">
            <v>11.353</v>
          </cell>
          <cell r="W271">
            <v>11.388</v>
          </cell>
          <cell r="X271">
            <v>11.409000000000001</v>
          </cell>
          <cell r="Y271">
            <v>11.042</v>
          </cell>
          <cell r="Z271">
            <v>10.651999999999999</v>
          </cell>
          <cell r="AA271">
            <v>10.315</v>
          </cell>
          <cell r="AB271">
            <v>9.9480000000000004</v>
          </cell>
          <cell r="AC271">
            <v>9.5839999999999996</v>
          </cell>
        </row>
        <row r="272">
          <cell r="A272" t="str">
            <v>Cost-benefits analysis (Billion euro)</v>
          </cell>
          <cell r="C272">
            <v>0.29499999999999998</v>
          </cell>
          <cell r="D272">
            <v>0.17899999999999999</v>
          </cell>
          <cell r="E272">
            <v>0.46400000000000002</v>
          </cell>
          <cell r="F272">
            <v>0.50700000000000001</v>
          </cell>
          <cell r="G272">
            <v>0.30199999999999999</v>
          </cell>
          <cell r="H272">
            <v>0.28499999999999998</v>
          </cell>
          <cell r="I272">
            <v>0.22900000000000001</v>
          </cell>
          <cell r="J272">
            <v>0.13400000000000001</v>
          </cell>
          <cell r="K272">
            <v>0.14899999999999999</v>
          </cell>
          <cell r="L272">
            <v>6.5000000000000002E-2</v>
          </cell>
          <cell r="M272">
            <v>1.2999999999999999E-2</v>
          </cell>
          <cell r="N272">
            <v>-4.8000000000000001E-2</v>
          </cell>
          <cell r="O272">
            <v>-0.25800000000000001</v>
          </cell>
          <cell r="P272">
            <v>-0.35599999999999998</v>
          </cell>
          <cell r="Q272">
            <v>-0.41799999999999998</v>
          </cell>
          <cell r="R272">
            <v>-0.44600000000000001</v>
          </cell>
          <cell r="S272">
            <v>-0.78300000000000003</v>
          </cell>
          <cell r="T272">
            <v>-1.149</v>
          </cell>
          <cell r="U272">
            <v>-0.54500000000000004</v>
          </cell>
          <cell r="V272">
            <v>-0.54300000000000004</v>
          </cell>
          <cell r="W272">
            <v>-0.97799999999999998</v>
          </cell>
          <cell r="X272">
            <v>-0.96199999999999997</v>
          </cell>
          <cell r="Y272">
            <v>-1.0009999999999999</v>
          </cell>
          <cell r="Z272">
            <v>-1.0189999999999999</v>
          </cell>
          <cell r="AA272">
            <v>-0.96599999999999997</v>
          </cell>
          <cell r="AB272">
            <v>-0.97</v>
          </cell>
          <cell r="AC272">
            <v>-0.92400000000000004</v>
          </cell>
        </row>
        <row r="273">
          <cell r="A273" t="str">
            <v>Debt heater (Billion euro)</v>
          </cell>
          <cell r="C273">
            <v>1.137</v>
          </cell>
          <cell r="D273">
            <v>1.1319999999999999</v>
          </cell>
          <cell r="E273">
            <v>0.86199999999999999</v>
          </cell>
          <cell r="F273">
            <v>0.85399999999999998</v>
          </cell>
          <cell r="G273">
            <v>0.78400000000000003</v>
          </cell>
          <cell r="H273">
            <v>0.71799999999999997</v>
          </cell>
          <cell r="I273">
            <v>0.66300000000000003</v>
          </cell>
          <cell r="J273">
            <v>0.72399999999999998</v>
          </cell>
          <cell r="K273">
            <v>0.66400000000000003</v>
          </cell>
          <cell r="L273">
            <v>0.67200000000000004</v>
          </cell>
          <cell r="M273">
            <v>0.68300000000000005</v>
          </cell>
          <cell r="N273">
            <v>0.69</v>
          </cell>
          <cell r="O273">
            <v>0.57399999999999995</v>
          </cell>
          <cell r="P273">
            <v>0.59899999999999998</v>
          </cell>
          <cell r="Q273">
            <v>0.60899999999999999</v>
          </cell>
          <cell r="R273">
            <v>0.55100000000000005</v>
          </cell>
          <cell r="S273">
            <v>0.58499999999999996</v>
          </cell>
          <cell r="T273">
            <v>0.52200000000000002</v>
          </cell>
          <cell r="U273">
            <v>0.52</v>
          </cell>
          <cell r="V273">
            <v>0.48599999999999999</v>
          </cell>
          <cell r="W273">
            <v>0.53900000000000003</v>
          </cell>
          <cell r="X273">
            <v>0.51800000000000002</v>
          </cell>
          <cell r="Y273">
            <v>0.54900000000000004</v>
          </cell>
          <cell r="Z273">
            <v>0.52700000000000002</v>
          </cell>
          <cell r="AA273">
            <v>0.51900000000000002</v>
          </cell>
          <cell r="AB273">
            <v>0.51100000000000001</v>
          </cell>
          <cell r="AC273">
            <v>0.502</v>
          </cell>
        </row>
        <row r="274">
          <cell r="A274" t="str">
            <v>Debt insulation (Billion euro)</v>
          </cell>
          <cell r="C274">
            <v>4.5739999999999998</v>
          </cell>
          <cell r="D274">
            <v>4.4889999999999999</v>
          </cell>
          <cell r="E274">
            <v>7.1909999999999998</v>
          </cell>
          <cell r="F274">
            <v>7.0789999999999997</v>
          </cell>
          <cell r="G274">
            <v>6.43</v>
          </cell>
          <cell r="H274">
            <v>6.5010000000000003</v>
          </cell>
          <cell r="I274">
            <v>6.35</v>
          </cell>
          <cell r="J274">
            <v>7.016</v>
          </cell>
          <cell r="K274">
            <v>6.2069999999999999</v>
          </cell>
          <cell r="L274">
            <v>5.7030000000000003</v>
          </cell>
          <cell r="M274">
            <v>5.444</v>
          </cell>
          <cell r="N274">
            <v>5.0590000000000002</v>
          </cell>
          <cell r="O274">
            <v>4.9580000000000002</v>
          </cell>
          <cell r="P274">
            <v>6.5110000000000001</v>
          </cell>
          <cell r="Q274">
            <v>6.3140000000000001</v>
          </cell>
          <cell r="R274">
            <v>6.0149999999999997</v>
          </cell>
          <cell r="S274">
            <v>8.2840000000000007</v>
          </cell>
          <cell r="T274">
            <v>6.4029999999999996</v>
          </cell>
          <cell r="U274">
            <v>6.032</v>
          </cell>
          <cell r="V274">
            <v>5.3250000000000002</v>
          </cell>
          <cell r="W274">
            <v>5.2409999999999997</v>
          </cell>
          <cell r="X274">
            <v>4.9740000000000002</v>
          </cell>
          <cell r="Y274">
            <v>4.7300000000000004</v>
          </cell>
          <cell r="Z274">
            <v>4.5010000000000003</v>
          </cell>
          <cell r="AA274">
            <v>4.2930000000000001</v>
          </cell>
          <cell r="AB274">
            <v>4.0970000000000004</v>
          </cell>
          <cell r="AC274">
            <v>4.0279999999999996</v>
          </cell>
        </row>
        <row r="275">
          <cell r="A275" t="str">
            <v>Debt insulation (Thousand euro/household)</v>
          </cell>
          <cell r="C275">
            <v>7.61</v>
          </cell>
          <cell r="D275">
            <v>7.0919999999999996</v>
          </cell>
          <cell r="E275">
            <v>7.9290000000000003</v>
          </cell>
          <cell r="F275">
            <v>7.6070000000000002</v>
          </cell>
          <cell r="G275">
            <v>7.0609999999999999</v>
          </cell>
          <cell r="H275">
            <v>7.0730000000000004</v>
          </cell>
          <cell r="I275">
            <v>7.024</v>
          </cell>
          <cell r="J275">
            <v>6.4909999999999997</v>
          </cell>
          <cell r="K275">
            <v>6.359</v>
          </cell>
          <cell r="L275">
            <v>6.1760000000000002</v>
          </cell>
          <cell r="M275">
            <v>5.9329999999999998</v>
          </cell>
          <cell r="N275">
            <v>5.7560000000000002</v>
          </cell>
          <cell r="O275">
            <v>5.8470000000000004</v>
          </cell>
          <cell r="P275">
            <v>5.4039999999999999</v>
          </cell>
          <cell r="Q275">
            <v>5.4829999999999997</v>
          </cell>
          <cell r="R275">
            <v>5.3789999999999996</v>
          </cell>
          <cell r="S275">
            <v>6.31</v>
          </cell>
          <cell r="T275">
            <v>5.5720000000000001</v>
          </cell>
          <cell r="U275">
            <v>5.5179999999999998</v>
          </cell>
          <cell r="V275">
            <v>5.46</v>
          </cell>
          <cell r="W275">
            <v>5.3940000000000001</v>
          </cell>
          <cell r="X275">
            <v>5.4009999999999998</v>
          </cell>
          <cell r="Y275">
            <v>5.3979999999999997</v>
          </cell>
          <cell r="Z275">
            <v>5.3979999999999997</v>
          </cell>
          <cell r="AA275">
            <v>5.3979999999999997</v>
          </cell>
          <cell r="AB275">
            <v>5.399</v>
          </cell>
          <cell r="AC275">
            <v>5.5090000000000003</v>
          </cell>
        </row>
        <row r="276">
          <cell r="A276" t="str">
            <v>Debt insulation Owner-occupied - C1 (euro/household)</v>
          </cell>
          <cell r="C276">
            <v>3151.46</v>
          </cell>
          <cell r="D276">
            <v>3157.1590000000001</v>
          </cell>
          <cell r="E276">
            <v>4095.194</v>
          </cell>
          <cell r="F276">
            <v>4136.7160000000003</v>
          </cell>
          <cell r="G276">
            <v>3715.7</v>
          </cell>
          <cell r="H276">
            <v>3417.4780000000001</v>
          </cell>
          <cell r="I276">
            <v>3596.125</v>
          </cell>
          <cell r="J276">
            <v>3573.4270000000001</v>
          </cell>
          <cell r="K276">
            <v>3548.895</v>
          </cell>
          <cell r="L276">
            <v>3517.7190000000001</v>
          </cell>
          <cell r="M276">
            <v>3483.3420000000001</v>
          </cell>
          <cell r="N276">
            <v>3445.6930000000002</v>
          </cell>
          <cell r="O276">
            <v>3871.7449999999999</v>
          </cell>
          <cell r="P276">
            <v>3847.1089999999999</v>
          </cell>
          <cell r="Q276">
            <v>3820.9409999999998</v>
          </cell>
          <cell r="R276">
            <v>3857.45</v>
          </cell>
          <cell r="S276">
            <v>4926.43</v>
          </cell>
          <cell r="T276">
            <v>4929.9560000000001</v>
          </cell>
          <cell r="U276">
            <v>4916.5020000000004</v>
          </cell>
          <cell r="V276">
            <v>4927.9219999999996</v>
          </cell>
          <cell r="W276">
            <v>5033.2780000000002</v>
          </cell>
          <cell r="X276">
            <v>5056.6959999999999</v>
          </cell>
          <cell r="Y276">
            <v>5035.0940000000001</v>
          </cell>
          <cell r="Z276">
            <v>5057.5320000000002</v>
          </cell>
          <cell r="AA276">
            <v>5071.2889999999998</v>
          </cell>
          <cell r="AB276">
            <v>5062.598</v>
          </cell>
          <cell r="AC276">
            <v>5065.8149999999996</v>
          </cell>
        </row>
        <row r="277">
          <cell r="A277" t="str">
            <v>Debt insulation Owner-occupied - C2 (euro/household)</v>
          </cell>
          <cell r="C277">
            <v>4395.9319999999998</v>
          </cell>
          <cell r="D277">
            <v>4454.3890000000001</v>
          </cell>
          <cell r="E277">
            <v>7035.5820000000003</v>
          </cell>
          <cell r="F277">
            <v>7260.2030000000004</v>
          </cell>
          <cell r="G277">
            <v>7415.277</v>
          </cell>
          <cell r="H277">
            <v>7348.3590000000004</v>
          </cell>
          <cell r="I277">
            <v>7573.9359999999997</v>
          </cell>
          <cell r="J277">
            <v>7538.48</v>
          </cell>
          <cell r="K277">
            <v>7361.39</v>
          </cell>
          <cell r="L277">
            <v>7197.0990000000002</v>
          </cell>
          <cell r="M277">
            <v>7048.8230000000003</v>
          </cell>
          <cell r="N277">
            <v>6917.4269999999997</v>
          </cell>
          <cell r="O277">
            <v>6926.6729999999998</v>
          </cell>
          <cell r="P277">
            <v>6834.8980000000001</v>
          </cell>
          <cell r="Q277">
            <v>6828.5190000000002</v>
          </cell>
          <cell r="R277">
            <v>6756.2619999999997</v>
          </cell>
          <cell r="S277">
            <v>7389.5290000000005</v>
          </cell>
          <cell r="T277">
            <v>7084.8230000000003</v>
          </cell>
          <cell r="U277">
            <v>7049.2039999999997</v>
          </cell>
          <cell r="V277">
            <v>7023.6409999999996</v>
          </cell>
          <cell r="W277">
            <v>7035.0770000000002</v>
          </cell>
          <cell r="X277">
            <v>7015.4459999999999</v>
          </cell>
          <cell r="Y277">
            <v>6988.1459999999997</v>
          </cell>
          <cell r="Z277">
            <v>6972.1989999999996</v>
          </cell>
          <cell r="AA277">
            <v>6968.1710000000003</v>
          </cell>
          <cell r="AB277">
            <v>6954.8559999999998</v>
          </cell>
          <cell r="AC277">
            <v>7257.7479999999996</v>
          </cell>
        </row>
        <row r="278">
          <cell r="A278" t="str">
            <v>Debt insulation Owner-occupied - C3 (euro/household)</v>
          </cell>
          <cell r="C278">
            <v>7927.433</v>
          </cell>
          <cell r="D278">
            <v>7761.0039999999999</v>
          </cell>
          <cell r="E278">
            <v>9526.34</v>
          </cell>
          <cell r="F278">
            <v>9405.9599999999991</v>
          </cell>
          <cell r="G278">
            <v>8964.9030000000002</v>
          </cell>
          <cell r="H278">
            <v>9023.0910000000003</v>
          </cell>
          <cell r="I278">
            <v>9216.1849999999995</v>
          </cell>
          <cell r="J278">
            <v>8844.5730000000003</v>
          </cell>
          <cell r="K278">
            <v>8539.357</v>
          </cell>
          <cell r="L278">
            <v>8289.9179999999997</v>
          </cell>
          <cell r="M278">
            <v>8090.0820000000003</v>
          </cell>
          <cell r="N278">
            <v>7931.4870000000001</v>
          </cell>
          <cell r="O278">
            <v>7791.8770000000004</v>
          </cell>
          <cell r="P278">
            <v>7685.1959999999999</v>
          </cell>
          <cell r="Q278">
            <v>7772.24</v>
          </cell>
          <cell r="R278">
            <v>7673.1019999999999</v>
          </cell>
          <cell r="S278">
            <v>8046.5550000000003</v>
          </cell>
          <cell r="T278">
            <v>7553.3559999999998</v>
          </cell>
          <cell r="U278">
            <v>7515.1090000000004</v>
          </cell>
          <cell r="V278">
            <v>7483.9340000000002</v>
          </cell>
          <cell r="W278">
            <v>7481.3040000000001</v>
          </cell>
          <cell r="X278">
            <v>7461.826</v>
          </cell>
          <cell r="Y278">
            <v>7442.3549999999996</v>
          </cell>
          <cell r="Z278">
            <v>7425.7510000000002</v>
          </cell>
          <cell r="AA278">
            <v>7409.9970000000003</v>
          </cell>
          <cell r="AB278">
            <v>7394.451</v>
          </cell>
          <cell r="AC278">
            <v>7489.8050000000003</v>
          </cell>
        </row>
        <row r="279">
          <cell r="A279" t="str">
            <v>Debt insulation Owner-occupied - C4 (euro/household)</v>
          </cell>
          <cell r="C279">
            <v>7683.7179999999998</v>
          </cell>
          <cell r="D279">
            <v>7579.9449999999997</v>
          </cell>
          <cell r="E279">
            <v>9441.3220000000001</v>
          </cell>
          <cell r="F279">
            <v>9482.4050000000007</v>
          </cell>
          <cell r="G279">
            <v>9125.3829999999998</v>
          </cell>
          <cell r="H279">
            <v>9322.8940000000002</v>
          </cell>
          <cell r="I279">
            <v>9368.4969999999994</v>
          </cell>
          <cell r="J279">
            <v>9025.8189999999995</v>
          </cell>
          <cell r="K279">
            <v>8729.9869999999992</v>
          </cell>
          <cell r="L279">
            <v>8470.4539999999997</v>
          </cell>
          <cell r="M279">
            <v>8246.8610000000008</v>
          </cell>
          <cell r="N279">
            <v>8058.3909999999996</v>
          </cell>
          <cell r="O279">
            <v>7883.6909999999998</v>
          </cell>
          <cell r="P279">
            <v>7760.6</v>
          </cell>
          <cell r="Q279">
            <v>7848.5870000000004</v>
          </cell>
          <cell r="R279">
            <v>7745.7719999999999</v>
          </cell>
          <cell r="S279">
            <v>8180.6059999999998</v>
          </cell>
          <cell r="T279">
            <v>7489.634</v>
          </cell>
          <cell r="U279">
            <v>7446.48</v>
          </cell>
          <cell r="V279">
            <v>7409.6469999999999</v>
          </cell>
          <cell r="W279">
            <v>7392</v>
          </cell>
          <cell r="X279">
            <v>7368.8</v>
          </cell>
          <cell r="Y279">
            <v>7343.8459999999995</v>
          </cell>
          <cell r="Z279">
            <v>7320.8059999999996</v>
          </cell>
          <cell r="AA279">
            <v>7299.3419999999996</v>
          </cell>
          <cell r="AB279">
            <v>7283.3549999999996</v>
          </cell>
          <cell r="AC279">
            <v>7385.451</v>
          </cell>
        </row>
        <row r="280">
          <cell r="A280" t="str">
            <v>Debt insulation Owner-occupied - C5 (euro/household)</v>
          </cell>
          <cell r="C280">
            <v>9289.4439999999995</v>
          </cell>
          <cell r="D280">
            <v>8936.509</v>
          </cell>
          <cell r="E280">
            <v>9742.375</v>
          </cell>
          <cell r="F280">
            <v>9669.6080000000002</v>
          </cell>
          <cell r="G280">
            <v>9196.9159999999993</v>
          </cell>
          <cell r="H280">
            <v>9552.4150000000009</v>
          </cell>
          <cell r="I280">
            <v>9419.4390000000003</v>
          </cell>
          <cell r="J280">
            <v>8992.3369999999995</v>
          </cell>
          <cell r="K280">
            <v>8635.0139999999992</v>
          </cell>
          <cell r="L280">
            <v>8337.3979999999992</v>
          </cell>
          <cell r="M280">
            <v>8093.3609999999999</v>
          </cell>
          <cell r="N280">
            <v>7895.8959999999997</v>
          </cell>
          <cell r="O280">
            <v>7732.8140000000003</v>
          </cell>
          <cell r="P280">
            <v>7615.39</v>
          </cell>
          <cell r="Q280">
            <v>7769.3869999999997</v>
          </cell>
          <cell r="R280">
            <v>7654.7020000000002</v>
          </cell>
          <cell r="S280">
            <v>9082.1630000000005</v>
          </cell>
          <cell r="T280">
            <v>7502.6220000000003</v>
          </cell>
          <cell r="U280">
            <v>7455.79</v>
          </cell>
          <cell r="V280">
            <v>7415.9889999999996</v>
          </cell>
          <cell r="W280">
            <v>7392.0469999999996</v>
          </cell>
          <cell r="X280">
            <v>7367.9250000000002</v>
          </cell>
          <cell r="Y280">
            <v>7339.6549999999997</v>
          </cell>
          <cell r="Z280">
            <v>7313.8680000000004</v>
          </cell>
          <cell r="AA280">
            <v>7290.2629999999999</v>
          </cell>
          <cell r="AB280">
            <v>7266.9359999999997</v>
          </cell>
          <cell r="AC280">
            <v>7401.8990000000003</v>
          </cell>
        </row>
        <row r="281">
          <cell r="A281" t="str">
            <v>Debt insulation Privately rented - C1 (euro/household)</v>
          </cell>
          <cell r="C281">
            <v>8063.8180000000002</v>
          </cell>
          <cell r="D281">
            <v>7153.4170000000004</v>
          </cell>
          <cell r="E281">
            <v>4652.8450000000003</v>
          </cell>
          <cell r="F281">
            <v>4216.6670000000004</v>
          </cell>
          <cell r="G281">
            <v>3786.8220000000001</v>
          </cell>
          <cell r="H281">
            <v>3489.9450000000002</v>
          </cell>
          <cell r="I281">
            <v>3323.2660000000001</v>
          </cell>
          <cell r="J281">
            <v>4193.4449999999997</v>
          </cell>
          <cell r="K281">
            <v>4003.41</v>
          </cell>
          <cell r="L281">
            <v>3797.6970000000001</v>
          </cell>
          <cell r="M281">
            <v>3580.2930000000001</v>
          </cell>
          <cell r="N281">
            <v>3363.6219999999998</v>
          </cell>
          <cell r="O281">
            <v>3363.67</v>
          </cell>
          <cell r="P281">
            <v>3812.0509999999999</v>
          </cell>
          <cell r="Q281">
            <v>3833.9760000000001</v>
          </cell>
          <cell r="R281">
            <v>3840.8240000000001</v>
          </cell>
          <cell r="S281">
            <v>3943.4459999999999</v>
          </cell>
          <cell r="T281">
            <v>3845.9560000000001</v>
          </cell>
          <cell r="U281">
            <v>3843.9380000000001</v>
          </cell>
          <cell r="V281">
            <v>3841.569</v>
          </cell>
          <cell r="W281">
            <v>3862.8649999999998</v>
          </cell>
          <cell r="X281">
            <v>3875.8690000000001</v>
          </cell>
          <cell r="Y281">
            <v>3883.846</v>
          </cell>
          <cell r="Z281">
            <v>3894.5450000000001</v>
          </cell>
          <cell r="AA281">
            <v>3904.9540000000002</v>
          </cell>
          <cell r="AB281">
            <v>3910.7640000000001</v>
          </cell>
          <cell r="AC281">
            <v>3932.5120000000002</v>
          </cell>
        </row>
        <row r="282">
          <cell r="A282" t="str">
            <v>Debt insulation Privately rented - C2 (euro/household)</v>
          </cell>
          <cell r="C282">
            <v>8708.7839999999997</v>
          </cell>
          <cell r="D282">
            <v>7854.4549999999999</v>
          </cell>
          <cell r="E282">
            <v>8044.3180000000002</v>
          </cell>
          <cell r="F282">
            <v>7604.3639999999996</v>
          </cell>
          <cell r="G282">
            <v>7142.9840000000004</v>
          </cell>
          <cell r="H282">
            <v>6971.9350000000004</v>
          </cell>
          <cell r="I282">
            <v>6650.9049999999997</v>
          </cell>
          <cell r="J282">
            <v>5848.165</v>
          </cell>
          <cell r="K282">
            <v>5644.1610000000001</v>
          </cell>
          <cell r="L282">
            <v>5425.1130000000003</v>
          </cell>
          <cell r="M282">
            <v>5195.7169999999996</v>
          </cell>
          <cell r="N282">
            <v>4961.433</v>
          </cell>
          <cell r="O282">
            <v>4913.933</v>
          </cell>
          <cell r="P282">
            <v>4727.058</v>
          </cell>
          <cell r="Q282">
            <v>4775.107</v>
          </cell>
          <cell r="R282">
            <v>4776.2550000000001</v>
          </cell>
          <cell r="S282">
            <v>4977.7449999999999</v>
          </cell>
          <cell r="T282">
            <v>4779.018</v>
          </cell>
          <cell r="U282">
            <v>4779.567</v>
          </cell>
          <cell r="V282">
            <v>4780.7740000000003</v>
          </cell>
          <cell r="W282">
            <v>4787.299</v>
          </cell>
          <cell r="X282">
            <v>4812.3289999999997</v>
          </cell>
          <cell r="Y282">
            <v>4813.4009999999998</v>
          </cell>
          <cell r="Z282">
            <v>4816.6260000000002</v>
          </cell>
          <cell r="AA282">
            <v>4817.5789999999997</v>
          </cell>
          <cell r="AB282">
            <v>4818.76</v>
          </cell>
          <cell r="AC282">
            <v>4878.46</v>
          </cell>
        </row>
        <row r="283">
          <cell r="A283" t="str">
            <v>Debt insulation Privately rented - C3 (euro/household)</v>
          </cell>
          <cell r="C283">
            <v>9351.9860000000008</v>
          </cell>
          <cell r="D283">
            <v>8478.7379999999994</v>
          </cell>
          <cell r="E283">
            <v>9229.7559999999994</v>
          </cell>
          <cell r="F283">
            <v>8769.0130000000008</v>
          </cell>
          <cell r="G283">
            <v>8306.6759999999995</v>
          </cell>
          <cell r="H283">
            <v>7998.674</v>
          </cell>
          <cell r="I283">
            <v>7599.3630000000003</v>
          </cell>
          <cell r="J283">
            <v>6657.0140000000001</v>
          </cell>
          <cell r="K283">
            <v>6415.8940000000002</v>
          </cell>
          <cell r="L283">
            <v>6162.7060000000001</v>
          </cell>
          <cell r="M283">
            <v>5902.9250000000002</v>
          </cell>
          <cell r="N283">
            <v>5643.223</v>
          </cell>
          <cell r="O283">
            <v>5545.8149999999996</v>
          </cell>
          <cell r="P283">
            <v>5024.6859999999997</v>
          </cell>
          <cell r="Q283">
            <v>5123.1670000000004</v>
          </cell>
          <cell r="R283">
            <v>5134.7250000000004</v>
          </cell>
          <cell r="S283">
            <v>5527.5590000000002</v>
          </cell>
          <cell r="T283">
            <v>5156.99</v>
          </cell>
          <cell r="U283">
            <v>5168.3100000000004</v>
          </cell>
          <cell r="V283">
            <v>5180.72</v>
          </cell>
          <cell r="W283">
            <v>5195.1869999999999</v>
          </cell>
          <cell r="X283">
            <v>5207.357</v>
          </cell>
          <cell r="Y283">
            <v>5214.7060000000001</v>
          </cell>
          <cell r="Z283">
            <v>5221.5559999999996</v>
          </cell>
          <cell r="AA283">
            <v>5227.17</v>
          </cell>
          <cell r="AB283">
            <v>5231.6610000000001</v>
          </cell>
          <cell r="AC283">
            <v>5312.1189999999997</v>
          </cell>
        </row>
        <row r="284">
          <cell r="A284" t="str">
            <v>Debt insulation Privately rented - C4 (euro/household)</v>
          </cell>
          <cell r="C284">
            <v>9110.6710000000003</v>
          </cell>
          <cell r="D284">
            <v>8305.8799999999992</v>
          </cell>
          <cell r="E284">
            <v>9564.5609999999997</v>
          </cell>
          <cell r="F284">
            <v>9129.08</v>
          </cell>
          <cell r="G284">
            <v>8691.3269999999993</v>
          </cell>
          <cell r="H284">
            <v>8367.4830000000002</v>
          </cell>
          <cell r="I284">
            <v>7906.3779999999997</v>
          </cell>
          <cell r="J284">
            <v>6281.31</v>
          </cell>
          <cell r="K284">
            <v>6071.3639999999996</v>
          </cell>
          <cell r="L284">
            <v>5853.7489999999998</v>
          </cell>
          <cell r="M284">
            <v>5633.0749999999998</v>
          </cell>
          <cell r="N284">
            <v>5414.0429999999997</v>
          </cell>
          <cell r="O284">
            <v>5317.67</v>
          </cell>
          <cell r="P284">
            <v>4859.68</v>
          </cell>
          <cell r="Q284">
            <v>4958.0640000000003</v>
          </cell>
          <cell r="R284">
            <v>4968.7619999999997</v>
          </cell>
          <cell r="S284">
            <v>5383.28</v>
          </cell>
          <cell r="T284">
            <v>4983.6409999999996</v>
          </cell>
          <cell r="U284">
            <v>4993.3360000000002</v>
          </cell>
          <cell r="V284">
            <v>5004.0439999999999</v>
          </cell>
          <cell r="W284">
            <v>5018.4539999999997</v>
          </cell>
          <cell r="X284">
            <v>5031.6469999999999</v>
          </cell>
          <cell r="Y284">
            <v>5039.7049999999999</v>
          </cell>
          <cell r="Z284">
            <v>5047.3789999999999</v>
          </cell>
          <cell r="AA284">
            <v>5053.7380000000003</v>
          </cell>
          <cell r="AB284">
            <v>5059.1809999999996</v>
          </cell>
          <cell r="AC284">
            <v>5140.335</v>
          </cell>
        </row>
        <row r="285">
          <cell r="A285" t="str">
            <v>Debt insulation Privately rented - C5 (euro/household)</v>
          </cell>
          <cell r="C285">
            <v>7931.9769999999999</v>
          </cell>
          <cell r="D285">
            <v>7426.0550000000003</v>
          </cell>
          <cell r="E285">
            <v>8809.2649999999994</v>
          </cell>
          <cell r="F285">
            <v>8383.6669999999995</v>
          </cell>
          <cell r="G285">
            <v>7926.4160000000002</v>
          </cell>
          <cell r="H285">
            <v>7563.1880000000001</v>
          </cell>
          <cell r="I285">
            <v>7082.223</v>
          </cell>
          <cell r="J285">
            <v>5738.9539999999997</v>
          </cell>
          <cell r="K285">
            <v>5574.5439999999999</v>
          </cell>
          <cell r="L285">
            <v>5406.6629999999996</v>
          </cell>
          <cell r="M285">
            <v>5238.5280000000002</v>
          </cell>
          <cell r="N285">
            <v>5073.34</v>
          </cell>
          <cell r="O285">
            <v>4977.0450000000001</v>
          </cell>
          <cell r="P285">
            <v>4665.8639999999996</v>
          </cell>
          <cell r="Q285">
            <v>4797.0320000000002</v>
          </cell>
          <cell r="R285">
            <v>4805.4430000000002</v>
          </cell>
          <cell r="S285">
            <v>5347.6989999999996</v>
          </cell>
          <cell r="T285">
            <v>4803.3140000000003</v>
          </cell>
          <cell r="U285">
            <v>4804.4849999999997</v>
          </cell>
          <cell r="V285">
            <v>4805.1779999999999</v>
          </cell>
          <cell r="W285">
            <v>4813.72</v>
          </cell>
          <cell r="X285">
            <v>4821.125</v>
          </cell>
          <cell r="Y285">
            <v>4821.95</v>
          </cell>
          <cell r="Z285">
            <v>4822.3810000000003</v>
          </cell>
          <cell r="AA285">
            <v>4821.4830000000002</v>
          </cell>
          <cell r="AB285">
            <v>4818.72</v>
          </cell>
          <cell r="AC285">
            <v>4917.2719999999999</v>
          </cell>
        </row>
        <row r="286">
          <cell r="A286" t="str">
            <v>Debt insulation Social-housing - C5 (euro/household)</v>
          </cell>
          <cell r="C286">
            <v>7747.0820000000003</v>
          </cell>
          <cell r="D286">
            <v>5888.6279999999997</v>
          </cell>
          <cell r="E286">
            <v>5257.2960000000003</v>
          </cell>
          <cell r="F286">
            <v>5131.0280000000002</v>
          </cell>
          <cell r="G286">
            <v>4795.2240000000002</v>
          </cell>
          <cell r="H286">
            <v>4785.1329999999998</v>
          </cell>
          <cell r="I286">
            <v>4811.7790000000005</v>
          </cell>
          <cell r="J286">
            <v>4823.1329999999998</v>
          </cell>
          <cell r="K286">
            <v>4933.991</v>
          </cell>
          <cell r="L286">
            <v>4940.1469999999999</v>
          </cell>
          <cell r="M286">
            <v>4825.7</v>
          </cell>
          <cell r="N286">
            <v>4698.1360000000004</v>
          </cell>
          <cell r="O286">
            <v>4779.0540000000001</v>
          </cell>
          <cell r="P286">
            <v>4777.0349999999999</v>
          </cell>
          <cell r="Q286">
            <v>4731.1570000000002</v>
          </cell>
          <cell r="R286">
            <v>4557.8329999999996</v>
          </cell>
          <cell r="S286">
            <v>4965.74</v>
          </cell>
          <cell r="T286">
            <v>4390.6270000000004</v>
          </cell>
          <cell r="U286">
            <v>4331.2460000000001</v>
          </cell>
          <cell r="V286">
            <v>4018.8139999999999</v>
          </cell>
          <cell r="W286">
            <v>4022.451</v>
          </cell>
          <cell r="X286">
            <v>4022.7730000000001</v>
          </cell>
          <cell r="Y286">
            <v>4019.4679999999998</v>
          </cell>
          <cell r="Z286">
            <v>4016.9969999999998</v>
          </cell>
          <cell r="AA286">
            <v>4014.0610000000001</v>
          </cell>
          <cell r="AB286">
            <v>4010.9859999999999</v>
          </cell>
          <cell r="AC286">
            <v>4055.7840000000001</v>
          </cell>
        </row>
        <row r="287">
          <cell r="A287" t="str">
            <v>Debt total (Billion euro)</v>
          </cell>
          <cell r="C287">
            <v>5.71</v>
          </cell>
          <cell r="D287">
            <v>5.6219999999999999</v>
          </cell>
          <cell r="E287">
            <v>8.0530000000000008</v>
          </cell>
          <cell r="F287">
            <v>7.9329999999999998</v>
          </cell>
          <cell r="G287">
            <v>7.2140000000000004</v>
          </cell>
          <cell r="H287">
            <v>7.2190000000000003</v>
          </cell>
          <cell r="I287">
            <v>7.0129999999999999</v>
          </cell>
          <cell r="J287">
            <v>7.74</v>
          </cell>
          <cell r="K287">
            <v>6.8719999999999999</v>
          </cell>
          <cell r="L287">
            <v>6.375</v>
          </cell>
          <cell r="M287">
            <v>6.1269999999999998</v>
          </cell>
          <cell r="N287">
            <v>5.7489999999999997</v>
          </cell>
          <cell r="O287">
            <v>5.532</v>
          </cell>
          <cell r="P287">
            <v>7.11</v>
          </cell>
          <cell r="Q287">
            <v>6.923</v>
          </cell>
          <cell r="R287">
            <v>6.5650000000000004</v>
          </cell>
          <cell r="S287">
            <v>8.8680000000000003</v>
          </cell>
          <cell r="T287">
            <v>6.9249999999999998</v>
          </cell>
          <cell r="U287">
            <v>6.5519999999999996</v>
          </cell>
          <cell r="V287">
            <v>5.81</v>
          </cell>
          <cell r="W287">
            <v>5.78</v>
          </cell>
          <cell r="X287">
            <v>5.492</v>
          </cell>
          <cell r="Y287">
            <v>5.2789999999999999</v>
          </cell>
          <cell r="Z287">
            <v>5.0279999999999996</v>
          </cell>
          <cell r="AA287">
            <v>4.8120000000000003</v>
          </cell>
          <cell r="AB287">
            <v>4.6079999999999997</v>
          </cell>
          <cell r="AC287">
            <v>4.5289999999999999</v>
          </cell>
        </row>
        <row r="288">
          <cell r="A288" t="str">
            <v>Decarbonize measures (Thousand households)</v>
          </cell>
          <cell r="C288">
            <v>1206.4780000000001</v>
          </cell>
          <cell r="D288">
            <v>1284.7929999999999</v>
          </cell>
          <cell r="E288">
            <v>1503.23</v>
          </cell>
          <cell r="F288">
            <v>1575.1030000000001</v>
          </cell>
          <cell r="G288">
            <v>1499.086</v>
          </cell>
          <cell r="H288">
            <v>1446.222</v>
          </cell>
          <cell r="I288">
            <v>1374.056</v>
          </cell>
          <cell r="J288">
            <v>1639.4590000000001</v>
          </cell>
          <cell r="K288">
            <v>1476.1220000000001</v>
          </cell>
          <cell r="L288">
            <v>1448.4749999999999</v>
          </cell>
          <cell r="M288">
            <v>1472.704</v>
          </cell>
          <cell r="N288">
            <v>1463.171</v>
          </cell>
          <cell r="O288">
            <v>1306.886</v>
          </cell>
          <cell r="P288">
            <v>1699.2850000000001</v>
          </cell>
          <cell r="Q288">
            <v>1659.9059999999999</v>
          </cell>
          <cell r="R288">
            <v>1580.8050000000001</v>
          </cell>
          <cell r="S288">
            <v>1810.71</v>
          </cell>
          <cell r="T288">
            <v>1581.6020000000001</v>
          </cell>
          <cell r="U288">
            <v>1519.848</v>
          </cell>
          <cell r="V288">
            <v>1373.7529999999999</v>
          </cell>
          <cell r="W288">
            <v>1136.6990000000001</v>
          </cell>
          <cell r="X288">
            <v>1062.2049999999999</v>
          </cell>
          <cell r="Y288">
            <v>1037.694</v>
          </cell>
          <cell r="Z288">
            <v>970.79100000000005</v>
          </cell>
          <cell r="AA288">
            <v>931.45600000000002</v>
          </cell>
          <cell r="AB288">
            <v>894.56500000000005</v>
          </cell>
          <cell r="AC288">
            <v>864.61500000000001</v>
          </cell>
        </row>
        <row r="289">
          <cell r="A289" t="str">
            <v>Efficiency heater (euro/kWh standard)</v>
          </cell>
          <cell r="C289">
            <v>0.158</v>
          </cell>
          <cell r="D289">
            <v>0.16200000000000001</v>
          </cell>
          <cell r="E289">
            <v>0.157</v>
          </cell>
          <cell r="F289">
            <v>0.155</v>
          </cell>
          <cell r="G289">
            <v>0.16</v>
          </cell>
          <cell r="H289">
            <v>0.16400000000000001</v>
          </cell>
          <cell r="I289">
            <v>0.16900000000000001</v>
          </cell>
          <cell r="J289">
            <v>0.17499999999999999</v>
          </cell>
          <cell r="K289">
            <v>0.17699999999999999</v>
          </cell>
          <cell r="L289">
            <v>0.18</v>
          </cell>
          <cell r="M289">
            <v>0.182</v>
          </cell>
          <cell r="N289">
            <v>0.182</v>
          </cell>
          <cell r="O289">
            <v>0.22800000000000001</v>
          </cell>
          <cell r="P289">
            <v>0.23</v>
          </cell>
          <cell r="Q289">
            <v>0.23400000000000001</v>
          </cell>
          <cell r="R289">
            <v>0.253</v>
          </cell>
          <cell r="S289">
            <v>0.253</v>
          </cell>
          <cell r="T289">
            <v>0.28000000000000003</v>
          </cell>
          <cell r="U289">
            <v>0.28899999999999998</v>
          </cell>
          <cell r="V289">
            <v>0.309</v>
          </cell>
          <cell r="W289">
            <v>0.80700000000000005</v>
          </cell>
          <cell r="X289">
            <v>0.98599999999999999</v>
          </cell>
          <cell r="Y289">
            <v>0.83199999999999996</v>
          </cell>
          <cell r="Z289">
            <v>1.034</v>
          </cell>
          <cell r="AA289">
            <v>0.995</v>
          </cell>
          <cell r="AB289">
            <v>0.94899999999999995</v>
          </cell>
          <cell r="AC289">
            <v>0.92100000000000004</v>
          </cell>
        </row>
        <row r="290">
          <cell r="A290" t="str">
            <v>Efficiency heater (euro/kWh)</v>
          </cell>
          <cell r="C290">
            <v>0.253</v>
          </cell>
          <cell r="D290">
            <v>0.249</v>
          </cell>
          <cell r="E290">
            <v>0.253</v>
          </cell>
          <cell r="F290">
            <v>0.246</v>
          </cell>
          <cell r="G290">
            <v>0.26500000000000001</v>
          </cell>
          <cell r="H290">
            <v>0.28799999999999998</v>
          </cell>
          <cell r="I290">
            <v>0.32</v>
          </cell>
          <cell r="J290">
            <v>0.29099999999999998</v>
          </cell>
          <cell r="K290">
            <v>0.31900000000000001</v>
          </cell>
          <cell r="L290">
            <v>0.31</v>
          </cell>
          <cell r="M290">
            <v>0.3</v>
          </cell>
          <cell r="N290">
            <v>0.29099999999999998</v>
          </cell>
          <cell r="O290">
            <v>0.35799999999999998</v>
          </cell>
          <cell r="P290">
            <v>0.34</v>
          </cell>
          <cell r="Q290">
            <v>0.33700000000000002</v>
          </cell>
          <cell r="R290">
            <v>0.35899999999999999</v>
          </cell>
          <cell r="S290">
            <v>0.41199999999999998</v>
          </cell>
          <cell r="T290">
            <v>0.39100000000000001</v>
          </cell>
          <cell r="U290">
            <v>0.4</v>
          </cell>
          <cell r="V290">
            <v>0.42799999999999999</v>
          </cell>
          <cell r="W290">
            <v>1.0740000000000001</v>
          </cell>
          <cell r="X290">
            <v>1.3280000000000001</v>
          </cell>
          <cell r="Y290">
            <v>1.075</v>
          </cell>
          <cell r="Z290">
            <v>1.3460000000000001</v>
          </cell>
          <cell r="AA290">
            <v>1.268</v>
          </cell>
          <cell r="AB290">
            <v>1.1850000000000001</v>
          </cell>
          <cell r="AC290">
            <v>1.1240000000000001</v>
          </cell>
        </row>
        <row r="291">
          <cell r="A291" t="str">
            <v>Efficiency insulation (euro/kWh standard)</v>
          </cell>
          <cell r="C291">
            <v>0.113</v>
          </cell>
          <cell r="D291">
            <v>0.122</v>
          </cell>
          <cell r="E291">
            <v>0.113</v>
          </cell>
          <cell r="F291">
            <v>0.114</v>
          </cell>
          <cell r="G291">
            <v>0.124</v>
          </cell>
          <cell r="H291">
            <v>0.128</v>
          </cell>
          <cell r="I291">
            <v>0.14000000000000001</v>
          </cell>
          <cell r="J291">
            <v>0.14099999999999999</v>
          </cell>
          <cell r="K291">
            <v>0.151</v>
          </cell>
          <cell r="L291">
            <v>0.16500000000000001</v>
          </cell>
          <cell r="M291">
            <v>0.184</v>
          </cell>
          <cell r="N291">
            <v>0.20100000000000001</v>
          </cell>
          <cell r="O291">
            <v>0.19800000000000001</v>
          </cell>
          <cell r="P291">
            <v>0.21199999999999999</v>
          </cell>
          <cell r="Q291">
            <v>0.221</v>
          </cell>
          <cell r="R291">
            <v>0.23400000000000001</v>
          </cell>
          <cell r="S291">
            <v>0.21</v>
          </cell>
          <cell r="T291">
            <v>0.27600000000000002</v>
          </cell>
          <cell r="U291">
            <v>0.28799999999999998</v>
          </cell>
          <cell r="V291">
            <v>0.30099999999999999</v>
          </cell>
          <cell r="W291">
            <v>0.314</v>
          </cell>
          <cell r="X291">
            <v>0.32800000000000001</v>
          </cell>
          <cell r="Y291">
            <v>0.34399999999999997</v>
          </cell>
          <cell r="Z291">
            <v>0.36</v>
          </cell>
          <cell r="AA291">
            <v>0.377</v>
          </cell>
          <cell r="AB291">
            <v>0.38600000000000001</v>
          </cell>
          <cell r="AC291">
            <v>0.38900000000000001</v>
          </cell>
        </row>
        <row r="292">
          <cell r="A292" t="str">
            <v>Efficiency insulation (euro/kWh)</v>
          </cell>
          <cell r="C292">
            <v>0.20100000000000001</v>
          </cell>
          <cell r="D292">
            <v>0.21299999999999999</v>
          </cell>
          <cell r="E292">
            <v>0.20100000000000001</v>
          </cell>
          <cell r="F292">
            <v>0.20499999999999999</v>
          </cell>
          <cell r="G292">
            <v>0.22</v>
          </cell>
          <cell r="H292">
            <v>0.223</v>
          </cell>
          <cell r="I292">
            <v>0.24199999999999999</v>
          </cell>
          <cell r="J292">
            <v>0.23300000000000001</v>
          </cell>
          <cell r="K292">
            <v>0.247</v>
          </cell>
          <cell r="L292">
            <v>0.26500000000000001</v>
          </cell>
          <cell r="M292">
            <v>0.29099999999999998</v>
          </cell>
          <cell r="N292">
            <v>0.313</v>
          </cell>
          <cell r="O292">
            <v>0.30199999999999999</v>
          </cell>
          <cell r="P292">
            <v>0.313</v>
          </cell>
          <cell r="Q292">
            <v>0.32100000000000001</v>
          </cell>
          <cell r="R292">
            <v>0.33700000000000002</v>
          </cell>
          <cell r="S292">
            <v>0.32800000000000001</v>
          </cell>
          <cell r="T292">
            <v>0.38900000000000001</v>
          </cell>
          <cell r="U292">
            <v>0.40200000000000002</v>
          </cell>
          <cell r="V292">
            <v>0.41499999999999998</v>
          </cell>
          <cell r="W292">
            <v>0.42899999999999999</v>
          </cell>
          <cell r="X292">
            <v>0.44500000000000001</v>
          </cell>
          <cell r="Y292">
            <v>0.46400000000000002</v>
          </cell>
          <cell r="Z292">
            <v>0.48199999999999998</v>
          </cell>
          <cell r="AA292">
            <v>0.502</v>
          </cell>
          <cell r="AB292">
            <v>0.51100000000000001</v>
          </cell>
          <cell r="AC292">
            <v>0.51200000000000001</v>
          </cell>
        </row>
        <row r="293">
          <cell r="A293" t="str">
            <v>Efficiency insulation (euro/tCO2 standard)</v>
          </cell>
          <cell r="C293">
            <v>585.03599999999994</v>
          </cell>
          <cell r="D293">
            <v>633.58699999999999</v>
          </cell>
          <cell r="E293">
            <v>555.01400000000001</v>
          </cell>
          <cell r="F293">
            <v>537.101</v>
          </cell>
          <cell r="G293">
            <v>602.47299999999996</v>
          </cell>
          <cell r="H293">
            <v>628.30200000000002</v>
          </cell>
          <cell r="I293">
            <v>754.05200000000002</v>
          </cell>
          <cell r="J293">
            <v>794.75800000000004</v>
          </cell>
          <cell r="K293">
            <v>897.36400000000003</v>
          </cell>
          <cell r="L293">
            <v>1033.213</v>
          </cell>
          <cell r="M293">
            <v>1226.3409999999999</v>
          </cell>
          <cell r="N293">
            <v>1424.3320000000001</v>
          </cell>
          <cell r="O293">
            <v>1458.2840000000001</v>
          </cell>
          <cell r="P293">
            <v>1601.883</v>
          </cell>
          <cell r="Q293">
            <v>1711.5309999999999</v>
          </cell>
          <cell r="R293">
            <v>1875.903</v>
          </cell>
          <cell r="S293">
            <v>1386.288</v>
          </cell>
          <cell r="T293">
            <v>2480.0639999999999</v>
          </cell>
          <cell r="U293">
            <v>2654.5419999999999</v>
          </cell>
          <cell r="V293">
            <v>2870.1689999999999</v>
          </cell>
          <cell r="W293">
            <v>3057.9879999999998</v>
          </cell>
          <cell r="X293">
            <v>3267.893</v>
          </cell>
          <cell r="Y293">
            <v>3509.5749999999998</v>
          </cell>
          <cell r="Z293">
            <v>3760.0749999999998</v>
          </cell>
          <cell r="AA293">
            <v>4044.8330000000001</v>
          </cell>
          <cell r="AB293">
            <v>4260.9920000000002</v>
          </cell>
          <cell r="AC293">
            <v>4431.4470000000001</v>
          </cell>
        </row>
        <row r="294">
          <cell r="A294" t="str">
            <v>Efficiency subsidies insulation (euro/kWh standard)</v>
          </cell>
          <cell r="C294">
            <v>3.1E-2</v>
          </cell>
          <cell r="D294">
            <v>3.4000000000000002E-2</v>
          </cell>
          <cell r="E294">
            <v>4.9000000000000002E-2</v>
          </cell>
          <cell r="F294">
            <v>5.0999999999999997E-2</v>
          </cell>
          <cell r="G294">
            <v>5.7000000000000002E-2</v>
          </cell>
          <cell r="H294">
            <v>5.8000000000000003E-2</v>
          </cell>
          <cell r="I294">
            <v>6.5000000000000002E-2</v>
          </cell>
          <cell r="J294">
            <v>6.2E-2</v>
          </cell>
          <cell r="K294">
            <v>6.5000000000000002E-2</v>
          </cell>
          <cell r="L294">
            <v>6.9000000000000006E-2</v>
          </cell>
          <cell r="M294">
            <v>7.3999999999999996E-2</v>
          </cell>
          <cell r="N294">
            <v>0.08</v>
          </cell>
          <cell r="O294">
            <v>7.5999999999999998E-2</v>
          </cell>
          <cell r="P294">
            <v>7.2999999999999995E-2</v>
          </cell>
          <cell r="Q294">
            <v>7.5999999999999998E-2</v>
          </cell>
          <cell r="R294">
            <v>7.8E-2</v>
          </cell>
          <cell r="S294">
            <v>6.8000000000000005E-2</v>
          </cell>
          <cell r="T294">
            <v>8.8999999999999996E-2</v>
          </cell>
          <cell r="U294">
            <v>9.1999999999999998E-2</v>
          </cell>
          <cell r="V294">
            <v>9.7000000000000003E-2</v>
          </cell>
          <cell r="W294">
            <v>9.8000000000000004E-2</v>
          </cell>
          <cell r="X294">
            <v>0.10100000000000001</v>
          </cell>
          <cell r="Y294">
            <v>0.106</v>
          </cell>
          <cell r="Z294">
            <v>0.11</v>
          </cell>
          <cell r="AA294">
            <v>0.114</v>
          </cell>
          <cell r="AB294">
            <v>0.11700000000000001</v>
          </cell>
          <cell r="AC294">
            <v>0.11899999999999999</v>
          </cell>
        </row>
        <row r="295">
          <cell r="A295" t="str">
            <v>Embodied energy (TWh PE)</v>
          </cell>
          <cell r="C295">
            <v>46.052</v>
          </cell>
          <cell r="D295">
            <v>52.933999999999997</v>
          </cell>
          <cell r="E295">
            <v>61.173000000000002</v>
          </cell>
          <cell r="F295">
            <v>61.384999999999998</v>
          </cell>
          <cell r="G295">
            <v>60.04</v>
          </cell>
          <cell r="H295">
            <v>60.368000000000002</v>
          </cell>
          <cell r="I295">
            <v>47.012</v>
          </cell>
          <cell r="J295">
            <v>48.795000000000002</v>
          </cell>
          <cell r="K295">
            <v>46.399000000000001</v>
          </cell>
          <cell r="L295">
            <v>44.85</v>
          </cell>
          <cell r="M295">
            <v>43.957999999999998</v>
          </cell>
          <cell r="N295">
            <v>42.847999999999999</v>
          </cell>
          <cell r="O295">
            <v>42.405000000000001</v>
          </cell>
          <cell r="P295">
            <v>46.140999999999998</v>
          </cell>
          <cell r="Q295">
            <v>45.563000000000002</v>
          </cell>
          <cell r="R295">
            <v>44.728000000000002</v>
          </cell>
          <cell r="S295">
            <v>34.156999999999996</v>
          </cell>
          <cell r="T295">
            <v>29.530999999999999</v>
          </cell>
          <cell r="U295">
            <v>28.582999999999998</v>
          </cell>
          <cell r="V295">
            <v>26.864999999999998</v>
          </cell>
          <cell r="W295">
            <v>26.597999999999999</v>
          </cell>
          <cell r="X295">
            <v>25.861000000000001</v>
          </cell>
          <cell r="Y295">
            <v>25.216000000000001</v>
          </cell>
          <cell r="Z295">
            <v>24.591999999999999</v>
          </cell>
          <cell r="AA295">
            <v>24.03</v>
          </cell>
          <cell r="AB295">
            <v>23.524999999999999</v>
          </cell>
          <cell r="AC295">
            <v>22.652999999999999</v>
          </cell>
        </row>
        <row r="296">
          <cell r="A296" t="str">
            <v>Embodied energy construction (TWh PE)</v>
          </cell>
          <cell r="C296">
            <v>35.209000000000003</v>
          </cell>
          <cell r="D296">
            <v>42.030999999999999</v>
          </cell>
          <cell r="E296">
            <v>42.030999999999999</v>
          </cell>
          <cell r="F296">
            <v>42.030999999999999</v>
          </cell>
          <cell r="G296">
            <v>42.030999999999999</v>
          </cell>
          <cell r="H296">
            <v>42.030999999999999</v>
          </cell>
          <cell r="I296">
            <v>28.885999999999999</v>
          </cell>
          <cell r="J296">
            <v>28.885999999999999</v>
          </cell>
          <cell r="K296">
            <v>28.885999999999999</v>
          </cell>
          <cell r="L296">
            <v>28.885999999999999</v>
          </cell>
          <cell r="M296">
            <v>28.885999999999999</v>
          </cell>
          <cell r="N296">
            <v>28.885999999999999</v>
          </cell>
          <cell r="O296">
            <v>28.885999999999999</v>
          </cell>
          <cell r="P296">
            <v>28.885999999999999</v>
          </cell>
          <cell r="Q296">
            <v>28.885999999999999</v>
          </cell>
          <cell r="R296">
            <v>28.885999999999999</v>
          </cell>
          <cell r="S296">
            <v>13.099</v>
          </cell>
          <cell r="T296">
            <v>13.099</v>
          </cell>
          <cell r="U296">
            <v>13.099</v>
          </cell>
          <cell r="V296">
            <v>13.099</v>
          </cell>
          <cell r="W296">
            <v>13.099</v>
          </cell>
          <cell r="X296">
            <v>13.099</v>
          </cell>
          <cell r="Y296">
            <v>13.099</v>
          </cell>
          <cell r="Z296">
            <v>13.099</v>
          </cell>
          <cell r="AA296">
            <v>13.099</v>
          </cell>
          <cell r="AB296">
            <v>13.099</v>
          </cell>
          <cell r="AC296">
            <v>12.442</v>
          </cell>
        </row>
        <row r="297">
          <cell r="A297" t="str">
            <v>Embodied energy Floor (TWh PE)</v>
          </cell>
          <cell r="C297">
            <v>1.1599999999999999</v>
          </cell>
          <cell r="D297">
            <v>1.2030000000000001</v>
          </cell>
          <cell r="E297">
            <v>2.19</v>
          </cell>
          <cell r="F297">
            <v>2.2749999999999999</v>
          </cell>
          <cell r="G297">
            <v>2.1739999999999999</v>
          </cell>
          <cell r="H297">
            <v>2.2309999999999999</v>
          </cell>
          <cell r="I297">
            <v>2.242</v>
          </cell>
          <cell r="J297">
            <v>2.613</v>
          </cell>
          <cell r="K297">
            <v>2.2989999999999999</v>
          </cell>
          <cell r="L297">
            <v>2.0939999999999999</v>
          </cell>
          <cell r="M297">
            <v>1.9710000000000001</v>
          </cell>
          <cell r="N297">
            <v>1.8180000000000001</v>
          </cell>
          <cell r="O297">
            <v>1.774</v>
          </cell>
          <cell r="P297">
            <v>2.3039999999999998</v>
          </cell>
          <cell r="Q297">
            <v>2.234</v>
          </cell>
          <cell r="R297">
            <v>2.1059999999999999</v>
          </cell>
          <cell r="S297">
            <v>2.9359999999999999</v>
          </cell>
          <cell r="T297">
            <v>2.1629999999999998</v>
          </cell>
          <cell r="U297">
            <v>2.0289999999999999</v>
          </cell>
          <cell r="V297">
            <v>1.7909999999999999</v>
          </cell>
          <cell r="W297">
            <v>1.7490000000000001</v>
          </cell>
          <cell r="X297">
            <v>1.649</v>
          </cell>
          <cell r="Y297">
            <v>1.5620000000000001</v>
          </cell>
          <cell r="Z297">
            <v>1.4770000000000001</v>
          </cell>
          <cell r="AA297">
            <v>1.4</v>
          </cell>
          <cell r="AB297">
            <v>1.333</v>
          </cell>
          <cell r="AC297">
            <v>1.321</v>
          </cell>
        </row>
        <row r="298">
          <cell r="A298" t="str">
            <v>Embodied energy renovation (TWh PE)</v>
          </cell>
          <cell r="C298">
            <v>10.843</v>
          </cell>
          <cell r="D298">
            <v>10.901999999999999</v>
          </cell>
          <cell r="E298">
            <v>19.141999999999999</v>
          </cell>
          <cell r="F298">
            <v>19.353999999999999</v>
          </cell>
          <cell r="G298">
            <v>18.009</v>
          </cell>
          <cell r="H298">
            <v>18.337</v>
          </cell>
          <cell r="I298">
            <v>18.126000000000001</v>
          </cell>
          <cell r="J298">
            <v>19.908000000000001</v>
          </cell>
          <cell r="K298">
            <v>17.512</v>
          </cell>
          <cell r="L298">
            <v>15.964</v>
          </cell>
          <cell r="M298">
            <v>15.071999999999999</v>
          </cell>
          <cell r="N298">
            <v>13.961</v>
          </cell>
          <cell r="O298">
            <v>13.519</v>
          </cell>
          <cell r="P298">
            <v>17.254000000000001</v>
          </cell>
          <cell r="Q298">
            <v>16.677</v>
          </cell>
          <cell r="R298">
            <v>15.840999999999999</v>
          </cell>
          <cell r="S298">
            <v>21.058</v>
          </cell>
          <cell r="T298">
            <v>16.431999999999999</v>
          </cell>
          <cell r="U298">
            <v>15.484999999999999</v>
          </cell>
          <cell r="V298">
            <v>13.766</v>
          </cell>
          <cell r="W298">
            <v>13.499000000000001</v>
          </cell>
          <cell r="X298">
            <v>12.762</v>
          </cell>
          <cell r="Y298">
            <v>12.117000000000001</v>
          </cell>
          <cell r="Z298">
            <v>11.493</v>
          </cell>
          <cell r="AA298">
            <v>10.930999999999999</v>
          </cell>
          <cell r="AB298">
            <v>10.426</v>
          </cell>
          <cell r="AC298">
            <v>10.210000000000001</v>
          </cell>
        </row>
        <row r="299">
          <cell r="A299" t="str">
            <v>Embodied energy Roof (TWh PE)</v>
          </cell>
          <cell r="C299">
            <v>5.8259999999999996</v>
          </cell>
          <cell r="D299">
            <v>5.9829999999999997</v>
          </cell>
          <cell r="E299">
            <v>7.8070000000000004</v>
          </cell>
          <cell r="F299">
            <v>7.9320000000000004</v>
          </cell>
          <cell r="G299">
            <v>7.7409999999999997</v>
          </cell>
          <cell r="H299">
            <v>7.8029999999999999</v>
          </cell>
          <cell r="I299">
            <v>7.6970000000000001</v>
          </cell>
          <cell r="J299">
            <v>8.5679999999999996</v>
          </cell>
          <cell r="K299">
            <v>7.8330000000000002</v>
          </cell>
          <cell r="L299">
            <v>7.4450000000000003</v>
          </cell>
          <cell r="M299">
            <v>7.3719999999999999</v>
          </cell>
          <cell r="N299">
            <v>7.0830000000000002</v>
          </cell>
          <cell r="O299">
            <v>6.8879999999999999</v>
          </cell>
          <cell r="P299">
            <v>9.1199999999999992</v>
          </cell>
          <cell r="Q299">
            <v>8.7409999999999997</v>
          </cell>
          <cell r="R299">
            <v>8.4879999999999995</v>
          </cell>
          <cell r="S299">
            <v>10.352</v>
          </cell>
          <cell r="T299">
            <v>9.2379999999999995</v>
          </cell>
          <cell r="U299">
            <v>8.7959999999999994</v>
          </cell>
          <cell r="V299">
            <v>7.9279999999999999</v>
          </cell>
          <cell r="W299">
            <v>7.8529999999999998</v>
          </cell>
          <cell r="X299">
            <v>7.4809999999999999</v>
          </cell>
          <cell r="Y299">
            <v>7.15</v>
          </cell>
          <cell r="Z299">
            <v>6.8330000000000002</v>
          </cell>
          <cell r="AA299">
            <v>6.5439999999999996</v>
          </cell>
          <cell r="AB299">
            <v>6.266</v>
          </cell>
          <cell r="AC299">
            <v>6.0430000000000001</v>
          </cell>
        </row>
        <row r="300">
          <cell r="A300" t="str">
            <v>Embodied energy Wall (TWh PE)</v>
          </cell>
          <cell r="C300">
            <v>3.5920000000000001</v>
          </cell>
          <cell r="D300">
            <v>3.43</v>
          </cell>
          <cell r="E300">
            <v>8.673</v>
          </cell>
          <cell r="F300">
            <v>8.6519999999999992</v>
          </cell>
          <cell r="G300">
            <v>7.6219999999999999</v>
          </cell>
          <cell r="H300">
            <v>7.8209999999999997</v>
          </cell>
          <cell r="I300">
            <v>7.6909999999999998</v>
          </cell>
          <cell r="J300">
            <v>8.1379999999999999</v>
          </cell>
          <cell r="K300">
            <v>6.8529999999999998</v>
          </cell>
          <cell r="L300">
            <v>5.9340000000000002</v>
          </cell>
          <cell r="M300">
            <v>5.2560000000000002</v>
          </cell>
          <cell r="N300">
            <v>4.6159999999999997</v>
          </cell>
          <cell r="O300">
            <v>4.423</v>
          </cell>
          <cell r="P300">
            <v>5.25</v>
          </cell>
          <cell r="Q300">
            <v>5.14</v>
          </cell>
          <cell r="R300">
            <v>4.7140000000000004</v>
          </cell>
          <cell r="S300">
            <v>7.04</v>
          </cell>
          <cell r="T300">
            <v>4.4660000000000002</v>
          </cell>
          <cell r="U300">
            <v>4.1280000000000001</v>
          </cell>
          <cell r="V300">
            <v>3.5750000000000002</v>
          </cell>
          <cell r="W300">
            <v>3.4340000000000002</v>
          </cell>
          <cell r="X300">
            <v>3.1949999999999998</v>
          </cell>
          <cell r="Y300">
            <v>2.99</v>
          </cell>
          <cell r="Z300">
            <v>2.7890000000000001</v>
          </cell>
          <cell r="AA300">
            <v>2.6120000000000001</v>
          </cell>
          <cell r="AB300">
            <v>2.4710000000000001</v>
          </cell>
          <cell r="AC300">
            <v>2.4929999999999999</v>
          </cell>
        </row>
        <row r="301">
          <cell r="A301" t="str">
            <v>Embodied energy Windows (TWh PE)</v>
          </cell>
          <cell r="C301">
            <v>0.26500000000000001</v>
          </cell>
          <cell r="D301">
            <v>0.28599999999999998</v>
          </cell>
          <cell r="E301">
            <v>0.47299999999999998</v>
          </cell>
          <cell r="F301">
            <v>0.495</v>
          </cell>
          <cell r="G301">
            <v>0.47099999999999997</v>
          </cell>
          <cell r="H301">
            <v>0.48199999999999998</v>
          </cell>
          <cell r="I301">
            <v>0.496</v>
          </cell>
          <cell r="J301">
            <v>0.58899999999999997</v>
          </cell>
          <cell r="K301">
            <v>0.52800000000000002</v>
          </cell>
          <cell r="L301">
            <v>0.49099999999999999</v>
          </cell>
          <cell r="M301">
            <v>0.47299999999999998</v>
          </cell>
          <cell r="N301">
            <v>0.44400000000000001</v>
          </cell>
          <cell r="O301">
            <v>0.435</v>
          </cell>
          <cell r="P301">
            <v>0.57999999999999996</v>
          </cell>
          <cell r="Q301">
            <v>0.56100000000000005</v>
          </cell>
          <cell r="R301">
            <v>0.53400000000000003</v>
          </cell>
          <cell r="S301">
            <v>0.72899999999999998</v>
          </cell>
          <cell r="T301">
            <v>0.56499999999999995</v>
          </cell>
          <cell r="U301">
            <v>0.53200000000000003</v>
          </cell>
          <cell r="V301">
            <v>0.47199999999999998</v>
          </cell>
          <cell r="W301">
            <v>0.46200000000000002</v>
          </cell>
          <cell r="X301">
            <v>0.437</v>
          </cell>
          <cell r="Y301">
            <v>0.41599999999999998</v>
          </cell>
          <cell r="Z301">
            <v>0.39400000000000002</v>
          </cell>
          <cell r="AA301">
            <v>0.375</v>
          </cell>
          <cell r="AB301">
            <v>0.35799999999999998</v>
          </cell>
          <cell r="AC301">
            <v>0.35399999999999998</v>
          </cell>
        </row>
        <row r="302">
          <cell r="A302" t="str">
            <v>Emission (MtCO2)</v>
          </cell>
          <cell r="B302">
            <v>37.524999999999999</v>
          </cell>
          <cell r="C302">
            <v>36.073</v>
          </cell>
          <cell r="D302">
            <v>34.661999999999999</v>
          </cell>
          <cell r="E302">
            <v>32.905999999999999</v>
          </cell>
          <cell r="F302">
            <v>30.763999999999999</v>
          </cell>
          <cell r="G302">
            <v>29.2</v>
          </cell>
          <cell r="H302">
            <v>27.670999999999999</v>
          </cell>
          <cell r="I302">
            <v>26.26</v>
          </cell>
          <cell r="J302">
            <v>24.719000000000001</v>
          </cell>
          <cell r="K302">
            <v>23.257999999999999</v>
          </cell>
          <cell r="L302">
            <v>21.905000000000001</v>
          </cell>
          <cell r="M302">
            <v>20.582000000000001</v>
          </cell>
          <cell r="N302">
            <v>19.335999999999999</v>
          </cell>
          <cell r="O302">
            <v>18.535</v>
          </cell>
          <cell r="P302">
            <v>17.672000000000001</v>
          </cell>
          <cell r="Q302">
            <v>16.873000000000001</v>
          </cell>
          <cell r="R302">
            <v>16.216999999999999</v>
          </cell>
          <cell r="S302">
            <v>14.065</v>
          </cell>
          <cell r="T302">
            <v>14.746</v>
          </cell>
          <cell r="U302">
            <v>14.151999999999999</v>
          </cell>
          <cell r="V302">
            <v>13.661</v>
          </cell>
          <cell r="W302">
            <v>13.265000000000001</v>
          </cell>
          <cell r="X302">
            <v>12.882999999999999</v>
          </cell>
          <cell r="Y302">
            <v>12.512</v>
          </cell>
          <cell r="Z302">
            <v>12.195</v>
          </cell>
          <cell r="AA302">
            <v>11.84</v>
          </cell>
          <cell r="AB302">
            <v>11.513</v>
          </cell>
          <cell r="AC302">
            <v>11.135</v>
          </cell>
        </row>
        <row r="303">
          <cell r="A303" t="str">
            <v>Emission content Electricity (gCO2/kWh)</v>
          </cell>
          <cell r="B303">
            <v>79</v>
          </cell>
          <cell r="C303">
            <v>79</v>
          </cell>
          <cell r="D303">
            <v>79</v>
          </cell>
          <cell r="E303">
            <v>79</v>
          </cell>
          <cell r="F303">
            <v>79</v>
          </cell>
          <cell r="G303">
            <v>79</v>
          </cell>
          <cell r="H303">
            <v>79</v>
          </cell>
          <cell r="I303">
            <v>79</v>
          </cell>
          <cell r="J303">
            <v>79</v>
          </cell>
          <cell r="K303">
            <v>79</v>
          </cell>
          <cell r="L303">
            <v>79</v>
          </cell>
          <cell r="M303">
            <v>79</v>
          </cell>
          <cell r="N303">
            <v>79</v>
          </cell>
          <cell r="O303">
            <v>79</v>
          </cell>
          <cell r="P303">
            <v>79</v>
          </cell>
          <cell r="Q303">
            <v>79</v>
          </cell>
          <cell r="R303">
            <v>79</v>
          </cell>
          <cell r="S303">
            <v>79</v>
          </cell>
          <cell r="T303">
            <v>79</v>
          </cell>
          <cell r="U303">
            <v>79</v>
          </cell>
          <cell r="V303">
            <v>79</v>
          </cell>
          <cell r="W303">
            <v>79</v>
          </cell>
          <cell r="X303">
            <v>79</v>
          </cell>
          <cell r="Y303">
            <v>79</v>
          </cell>
          <cell r="Z303">
            <v>79</v>
          </cell>
          <cell r="AA303">
            <v>79</v>
          </cell>
          <cell r="AB303">
            <v>79</v>
          </cell>
          <cell r="AC303">
            <v>79</v>
          </cell>
        </row>
        <row r="304">
          <cell r="A304" t="str">
            <v>Emission content Heating (gCO2/kWh)</v>
          </cell>
          <cell r="B304">
            <v>101</v>
          </cell>
          <cell r="C304">
            <v>101</v>
          </cell>
          <cell r="D304">
            <v>101</v>
          </cell>
          <cell r="E304">
            <v>101</v>
          </cell>
          <cell r="F304">
            <v>101</v>
          </cell>
          <cell r="G304">
            <v>101</v>
          </cell>
          <cell r="H304">
            <v>101</v>
          </cell>
          <cell r="I304">
            <v>101</v>
          </cell>
          <cell r="J304">
            <v>98</v>
          </cell>
          <cell r="K304">
            <v>94</v>
          </cell>
          <cell r="L304">
            <v>91</v>
          </cell>
          <cell r="M304">
            <v>87</v>
          </cell>
          <cell r="N304">
            <v>84</v>
          </cell>
          <cell r="O304">
            <v>81</v>
          </cell>
          <cell r="P304">
            <v>77</v>
          </cell>
          <cell r="Q304">
            <v>74</v>
          </cell>
          <cell r="R304">
            <v>71</v>
          </cell>
          <cell r="S304">
            <v>67</v>
          </cell>
          <cell r="T304">
            <v>64</v>
          </cell>
          <cell r="U304">
            <v>60</v>
          </cell>
          <cell r="V304">
            <v>57</v>
          </cell>
          <cell r="W304">
            <v>54</v>
          </cell>
          <cell r="X304">
            <v>50</v>
          </cell>
          <cell r="Y304">
            <v>47</v>
          </cell>
          <cell r="Z304">
            <v>44</v>
          </cell>
          <cell r="AA304">
            <v>40</v>
          </cell>
          <cell r="AB304">
            <v>37</v>
          </cell>
          <cell r="AC304">
            <v>33</v>
          </cell>
        </row>
        <row r="305">
          <cell r="A305" t="str">
            <v>Emission content Natural gas (gCO2/kWh)</v>
          </cell>
          <cell r="B305">
            <v>220</v>
          </cell>
          <cell r="C305">
            <v>220</v>
          </cell>
          <cell r="D305">
            <v>220</v>
          </cell>
          <cell r="E305">
            <v>220</v>
          </cell>
          <cell r="F305">
            <v>220</v>
          </cell>
          <cell r="G305">
            <v>220</v>
          </cell>
          <cell r="H305">
            <v>220</v>
          </cell>
          <cell r="I305">
            <v>220</v>
          </cell>
          <cell r="J305">
            <v>220</v>
          </cell>
          <cell r="K305">
            <v>220</v>
          </cell>
          <cell r="L305">
            <v>220</v>
          </cell>
          <cell r="M305">
            <v>220</v>
          </cell>
          <cell r="N305">
            <v>220</v>
          </cell>
          <cell r="O305">
            <v>220</v>
          </cell>
          <cell r="P305">
            <v>220</v>
          </cell>
          <cell r="Q305">
            <v>220</v>
          </cell>
          <cell r="R305">
            <v>220</v>
          </cell>
          <cell r="S305">
            <v>220</v>
          </cell>
          <cell r="T305">
            <v>220</v>
          </cell>
          <cell r="U305">
            <v>220</v>
          </cell>
          <cell r="V305">
            <v>220</v>
          </cell>
          <cell r="W305">
            <v>220</v>
          </cell>
          <cell r="X305">
            <v>220</v>
          </cell>
          <cell r="Y305">
            <v>220</v>
          </cell>
          <cell r="Z305">
            <v>220</v>
          </cell>
          <cell r="AA305">
            <v>220</v>
          </cell>
          <cell r="AB305">
            <v>220</v>
          </cell>
          <cell r="AC305">
            <v>220</v>
          </cell>
        </row>
        <row r="306">
          <cell r="A306" t="str">
            <v>Emission content Oil fuel (gCO2/kWh)</v>
          </cell>
          <cell r="B306">
            <v>324</v>
          </cell>
          <cell r="C306">
            <v>324</v>
          </cell>
          <cell r="D306">
            <v>324</v>
          </cell>
          <cell r="E306">
            <v>324</v>
          </cell>
          <cell r="F306">
            <v>324</v>
          </cell>
          <cell r="G306">
            <v>324</v>
          </cell>
          <cell r="H306">
            <v>324</v>
          </cell>
          <cell r="I306">
            <v>324</v>
          </cell>
          <cell r="J306">
            <v>324</v>
          </cell>
          <cell r="K306">
            <v>324</v>
          </cell>
          <cell r="L306">
            <v>324</v>
          </cell>
          <cell r="M306">
            <v>324</v>
          </cell>
          <cell r="N306">
            <v>324</v>
          </cell>
          <cell r="O306">
            <v>324</v>
          </cell>
          <cell r="P306">
            <v>324</v>
          </cell>
          <cell r="Q306">
            <v>324</v>
          </cell>
          <cell r="R306">
            <v>324</v>
          </cell>
          <cell r="S306">
            <v>324</v>
          </cell>
          <cell r="T306">
            <v>324</v>
          </cell>
          <cell r="U306">
            <v>324</v>
          </cell>
          <cell r="V306">
            <v>324</v>
          </cell>
          <cell r="W306">
            <v>324</v>
          </cell>
          <cell r="X306">
            <v>324</v>
          </cell>
          <cell r="Y306">
            <v>324</v>
          </cell>
          <cell r="Z306">
            <v>324</v>
          </cell>
          <cell r="AA306">
            <v>324</v>
          </cell>
          <cell r="AB306">
            <v>324</v>
          </cell>
          <cell r="AC306">
            <v>324</v>
          </cell>
        </row>
        <row r="307">
          <cell r="A307" t="str">
            <v>Emission content Wood fuel (gCO2/kWh)</v>
          </cell>
          <cell r="B307">
            <v>30</v>
          </cell>
          <cell r="C307">
            <v>30</v>
          </cell>
          <cell r="D307">
            <v>30</v>
          </cell>
          <cell r="E307">
            <v>30</v>
          </cell>
          <cell r="F307">
            <v>30</v>
          </cell>
          <cell r="G307">
            <v>30</v>
          </cell>
          <cell r="H307">
            <v>30</v>
          </cell>
          <cell r="I307">
            <v>30</v>
          </cell>
          <cell r="J307">
            <v>30</v>
          </cell>
          <cell r="K307">
            <v>30</v>
          </cell>
          <cell r="L307">
            <v>30</v>
          </cell>
          <cell r="M307">
            <v>30</v>
          </cell>
          <cell r="N307">
            <v>30</v>
          </cell>
          <cell r="O307">
            <v>30</v>
          </cell>
          <cell r="P307">
            <v>30</v>
          </cell>
          <cell r="Q307">
            <v>30</v>
          </cell>
          <cell r="R307">
            <v>30</v>
          </cell>
          <cell r="S307">
            <v>30</v>
          </cell>
          <cell r="T307">
            <v>30</v>
          </cell>
          <cell r="U307">
            <v>30</v>
          </cell>
          <cell r="V307">
            <v>30</v>
          </cell>
          <cell r="W307">
            <v>30</v>
          </cell>
          <cell r="X307">
            <v>30</v>
          </cell>
          <cell r="Y307">
            <v>30</v>
          </cell>
          <cell r="Z307">
            <v>30</v>
          </cell>
          <cell r="AA307">
            <v>30</v>
          </cell>
          <cell r="AB307">
            <v>30</v>
          </cell>
          <cell r="AC307">
            <v>30</v>
          </cell>
        </row>
        <row r="308">
          <cell r="A308" t="str">
            <v>Emission Electricity (MtCO2)</v>
          </cell>
          <cell r="B308">
            <v>4.0209999999999999</v>
          </cell>
          <cell r="C308">
            <v>3.9380000000000002</v>
          </cell>
          <cell r="D308">
            <v>3.9079999999999999</v>
          </cell>
          <cell r="E308">
            <v>3.8820000000000001</v>
          </cell>
          <cell r="F308">
            <v>3.8879999999999999</v>
          </cell>
          <cell r="G308">
            <v>3.8879999999999999</v>
          </cell>
          <cell r="H308">
            <v>3.8759999999999999</v>
          </cell>
          <cell r="I308">
            <v>3.84</v>
          </cell>
          <cell r="J308">
            <v>3.8239999999999998</v>
          </cell>
          <cell r="K308">
            <v>3.802</v>
          </cell>
          <cell r="L308">
            <v>3.7909999999999999</v>
          </cell>
          <cell r="M308">
            <v>3.7909999999999999</v>
          </cell>
          <cell r="N308">
            <v>3.8010000000000002</v>
          </cell>
          <cell r="O308">
            <v>3.7789999999999999</v>
          </cell>
          <cell r="P308">
            <v>3.7610000000000001</v>
          </cell>
          <cell r="Q308">
            <v>3.7450000000000001</v>
          </cell>
          <cell r="R308">
            <v>3.726</v>
          </cell>
          <cell r="S308">
            <v>3.7050000000000001</v>
          </cell>
          <cell r="T308">
            <v>3.6739999999999999</v>
          </cell>
          <cell r="U308">
            <v>3.6469999999999998</v>
          </cell>
          <cell r="V308">
            <v>3.6179999999999999</v>
          </cell>
          <cell r="W308">
            <v>3.6230000000000002</v>
          </cell>
          <cell r="X308">
            <v>3.6230000000000002</v>
          </cell>
          <cell r="Y308">
            <v>3.6349999999999998</v>
          </cell>
          <cell r="Z308">
            <v>3.64</v>
          </cell>
          <cell r="AA308">
            <v>3.65</v>
          </cell>
          <cell r="AB308">
            <v>3.6640000000000001</v>
          </cell>
          <cell r="AC308">
            <v>3.68</v>
          </cell>
        </row>
        <row r="309">
          <cell r="A309" t="str">
            <v>Emission Existing (MtCO2)</v>
          </cell>
          <cell r="B309">
            <v>37.524999999999999</v>
          </cell>
          <cell r="C309">
            <v>36.027000000000001</v>
          </cell>
          <cell r="D309">
            <v>34.579000000000001</v>
          </cell>
          <cell r="E309">
            <v>32.784999999999997</v>
          </cell>
          <cell r="F309">
            <v>30.606000000000002</v>
          </cell>
          <cell r="G309">
            <v>29.004000000000001</v>
          </cell>
          <cell r="H309">
            <v>27.437000000000001</v>
          </cell>
          <cell r="I309">
            <v>25.998000000000001</v>
          </cell>
          <cell r="J309">
            <v>24.431999999999999</v>
          </cell>
          <cell r="K309">
            <v>22.948</v>
          </cell>
          <cell r="L309">
            <v>21.571999999999999</v>
          </cell>
          <cell r="M309">
            <v>20.228000000000002</v>
          </cell>
          <cell r="N309">
            <v>18.96</v>
          </cell>
          <cell r="O309">
            <v>18.137</v>
          </cell>
          <cell r="P309">
            <v>17.256</v>
          </cell>
          <cell r="Q309">
            <v>16.437000000000001</v>
          </cell>
          <cell r="R309">
            <v>15.762</v>
          </cell>
          <cell r="S309">
            <v>13.611000000000001</v>
          </cell>
          <cell r="T309">
            <v>14.282999999999999</v>
          </cell>
          <cell r="U309">
            <v>13.686999999999999</v>
          </cell>
          <cell r="V309">
            <v>13.193</v>
          </cell>
          <cell r="W309">
            <v>12.792999999999999</v>
          </cell>
          <cell r="X309">
            <v>12.41</v>
          </cell>
          <cell r="Y309">
            <v>12.035</v>
          </cell>
          <cell r="Z309">
            <v>11.715</v>
          </cell>
          <cell r="AA309">
            <v>11.36</v>
          </cell>
          <cell r="AB309">
            <v>11.03</v>
          </cell>
          <cell r="AC309">
            <v>10.653</v>
          </cell>
        </row>
        <row r="310">
          <cell r="A310" t="str">
            <v>Emission first year (MtCO2)</v>
          </cell>
          <cell r="B310">
            <v>37.524999999999999</v>
          </cell>
          <cell r="C310">
            <v>36.073</v>
          </cell>
          <cell r="D310">
            <v>34.661999999999999</v>
          </cell>
          <cell r="E310">
            <v>32.905999999999999</v>
          </cell>
          <cell r="F310">
            <v>30.763999999999999</v>
          </cell>
          <cell r="G310">
            <v>29.2</v>
          </cell>
          <cell r="H310">
            <v>27.670999999999999</v>
          </cell>
          <cell r="I310">
            <v>26.26</v>
          </cell>
          <cell r="J310">
            <v>24.798999999999999</v>
          </cell>
          <cell r="K310">
            <v>23.47</v>
          </cell>
          <cell r="L310">
            <v>22.238</v>
          </cell>
          <cell r="M310">
            <v>21.079000000000001</v>
          </cell>
          <cell r="N310">
            <v>19.971</v>
          </cell>
          <cell r="O310">
            <v>19.308</v>
          </cell>
          <cell r="P310">
            <v>18.614000000000001</v>
          </cell>
          <cell r="Q310">
            <v>17.937999999999999</v>
          </cell>
          <cell r="R310">
            <v>17.398</v>
          </cell>
          <cell r="S310">
            <v>15.382999999999999</v>
          </cell>
          <cell r="T310">
            <v>16.164000000000001</v>
          </cell>
          <cell r="U310">
            <v>15.707000000000001</v>
          </cell>
          <cell r="V310">
            <v>15.313000000000001</v>
          </cell>
          <cell r="W310">
            <v>15.010999999999999</v>
          </cell>
          <cell r="X310">
            <v>14.757999999999999</v>
          </cell>
          <cell r="Y310">
            <v>14.477</v>
          </cell>
          <cell r="Z310">
            <v>14.249000000000001</v>
          </cell>
          <cell r="AA310">
            <v>14.016999999999999</v>
          </cell>
          <cell r="AB310">
            <v>13.794</v>
          </cell>
          <cell r="AC310">
            <v>13.557</v>
          </cell>
        </row>
        <row r="311">
          <cell r="A311" t="str">
            <v>Emission Heating (MtCO2)</v>
          </cell>
          <cell r="B311">
            <v>1.157</v>
          </cell>
          <cell r="C311">
            <v>1.256</v>
          </cell>
          <cell r="D311">
            <v>1.2669999999999999</v>
          </cell>
          <cell r="E311">
            <v>1.4219999999999999</v>
          </cell>
          <cell r="F311">
            <v>1.5229999999999999</v>
          </cell>
          <cell r="G311">
            <v>1.73</v>
          </cell>
          <cell r="H311">
            <v>2.056</v>
          </cell>
          <cell r="I311">
            <v>2.4849999999999999</v>
          </cell>
          <cell r="J311">
            <v>2.637</v>
          </cell>
          <cell r="K311">
            <v>2.8519999999999999</v>
          </cell>
          <cell r="L311">
            <v>3.0249999999999999</v>
          </cell>
          <cell r="M311">
            <v>3.093</v>
          </cell>
          <cell r="N311">
            <v>3.1379999999999999</v>
          </cell>
          <cell r="O311">
            <v>3.1320000000000001</v>
          </cell>
          <cell r="P311">
            <v>3.02</v>
          </cell>
          <cell r="Q311">
            <v>2.9180000000000001</v>
          </cell>
          <cell r="R311">
            <v>2.794</v>
          </cell>
          <cell r="S311">
            <v>2.597</v>
          </cell>
          <cell r="T311">
            <v>2.4540000000000002</v>
          </cell>
          <cell r="U311">
            <v>2.2759999999999998</v>
          </cell>
          <cell r="V311">
            <v>2.14</v>
          </cell>
          <cell r="W311">
            <v>2.0059999999999998</v>
          </cell>
          <cell r="X311">
            <v>1.8380000000000001</v>
          </cell>
          <cell r="Y311">
            <v>1.71</v>
          </cell>
          <cell r="Z311">
            <v>1.585</v>
          </cell>
          <cell r="AA311">
            <v>1.427</v>
          </cell>
          <cell r="AB311">
            <v>1.319</v>
          </cell>
          <cell r="AC311">
            <v>1.175</v>
          </cell>
        </row>
        <row r="312">
          <cell r="A312" t="str">
            <v>Emission mean (gCO2/kWh)</v>
          </cell>
          <cell r="B312">
            <v>144.07400000000001</v>
          </cell>
          <cell r="C312">
            <v>142.10400000000001</v>
          </cell>
          <cell r="D312">
            <v>140.07400000000001</v>
          </cell>
          <cell r="E312">
            <v>137.131</v>
          </cell>
          <cell r="F312">
            <v>133.47300000000001</v>
          </cell>
          <cell r="G312">
            <v>130.21899999999999</v>
          </cell>
          <cell r="H312">
            <v>126.64100000000001</v>
          </cell>
          <cell r="I312">
            <v>123.02800000000001</v>
          </cell>
          <cell r="J312">
            <v>119.22</v>
          </cell>
          <cell r="K312">
            <v>114.949</v>
          </cell>
          <cell r="L312">
            <v>110.82299999999999</v>
          </cell>
          <cell r="M312">
            <v>106.539</v>
          </cell>
          <cell r="N312">
            <v>102.41</v>
          </cell>
          <cell r="O312">
            <v>99.951999999999998</v>
          </cell>
          <cell r="P312">
            <v>97.334999999999994</v>
          </cell>
          <cell r="Q312">
            <v>94.971000000000004</v>
          </cell>
          <cell r="R312">
            <v>93.012</v>
          </cell>
          <cell r="S312">
            <v>86.510999999999996</v>
          </cell>
          <cell r="T312">
            <v>88.688000000000002</v>
          </cell>
          <cell r="U312">
            <v>86.748000000000005</v>
          </cell>
          <cell r="V312">
            <v>85.186000000000007</v>
          </cell>
          <cell r="W312">
            <v>83.748000000000005</v>
          </cell>
          <cell r="X312">
            <v>82.239000000000004</v>
          </cell>
          <cell r="Y312">
            <v>80.777000000000001</v>
          </cell>
          <cell r="Z312">
            <v>79.512</v>
          </cell>
          <cell r="AA312">
            <v>77.956999999999994</v>
          </cell>
          <cell r="AB312">
            <v>76.471999999999994</v>
          </cell>
          <cell r="AC312">
            <v>74.679000000000002</v>
          </cell>
        </row>
        <row r="313">
          <cell r="A313" t="str">
            <v>Emission mean first year (gCO2/kWh)</v>
          </cell>
          <cell r="B313">
            <v>144.07400000000001</v>
          </cell>
          <cell r="C313">
            <v>142.10400000000001</v>
          </cell>
          <cell r="D313">
            <v>140.07400000000001</v>
          </cell>
          <cell r="E313">
            <v>137.131</v>
          </cell>
          <cell r="F313">
            <v>133.47300000000001</v>
          </cell>
          <cell r="G313">
            <v>130.21899999999999</v>
          </cell>
          <cell r="H313">
            <v>126.64100000000001</v>
          </cell>
          <cell r="I313">
            <v>123.02800000000001</v>
          </cell>
          <cell r="J313">
            <v>119.60899999999999</v>
          </cell>
          <cell r="K313">
            <v>115.999</v>
          </cell>
          <cell r="L313">
            <v>112.504</v>
          </cell>
          <cell r="M313">
            <v>109.11499999999999</v>
          </cell>
          <cell r="N313">
            <v>105.773</v>
          </cell>
          <cell r="O313">
            <v>104.122</v>
          </cell>
          <cell r="P313">
            <v>102.52</v>
          </cell>
          <cell r="Q313">
            <v>100.964</v>
          </cell>
          <cell r="R313">
            <v>99.781000000000006</v>
          </cell>
          <cell r="S313">
            <v>94.617000000000004</v>
          </cell>
          <cell r="T313">
            <v>97.221000000000004</v>
          </cell>
          <cell r="U313">
            <v>96.28</v>
          </cell>
          <cell r="V313">
            <v>95.486000000000004</v>
          </cell>
          <cell r="W313">
            <v>94.77</v>
          </cell>
          <cell r="X313">
            <v>94.206999999999994</v>
          </cell>
          <cell r="Y313">
            <v>93.465000000000003</v>
          </cell>
          <cell r="Z313">
            <v>92.903000000000006</v>
          </cell>
          <cell r="AA313">
            <v>92.289000000000001</v>
          </cell>
          <cell r="AB313">
            <v>91.628</v>
          </cell>
          <cell r="AC313">
            <v>90.917000000000002</v>
          </cell>
        </row>
        <row r="314">
          <cell r="A314" t="str">
            <v>Emission Natural gas (MtCO2)</v>
          </cell>
          <cell r="B314">
            <v>20.02</v>
          </cell>
          <cell r="C314">
            <v>19.600999999999999</v>
          </cell>
          <cell r="D314">
            <v>19.193999999999999</v>
          </cell>
          <cell r="E314">
            <v>18.454999999999998</v>
          </cell>
          <cell r="F314">
            <v>17.456</v>
          </cell>
          <cell r="G314">
            <v>16.673999999999999</v>
          </cell>
          <cell r="H314">
            <v>15.771000000000001</v>
          </cell>
          <cell r="I314">
            <v>14.813000000000001</v>
          </cell>
          <cell r="J314">
            <v>13.933</v>
          </cell>
          <cell r="K314">
            <v>13.018000000000001</v>
          </cell>
          <cell r="L314">
            <v>12.191000000000001</v>
          </cell>
          <cell r="M314">
            <v>11.448</v>
          </cell>
          <cell r="N314">
            <v>10.765000000000001</v>
          </cell>
          <cell r="O314">
            <v>10.022</v>
          </cell>
          <cell r="P314">
            <v>9.32</v>
          </cell>
          <cell r="Q314">
            <v>8.6669999999999998</v>
          </cell>
          <cell r="R314">
            <v>8.1780000000000008</v>
          </cell>
          <cell r="S314">
            <v>6.3170000000000002</v>
          </cell>
          <cell r="T314">
            <v>7.15</v>
          </cell>
          <cell r="U314">
            <v>6.7830000000000004</v>
          </cell>
          <cell r="V314">
            <v>6.4749999999999996</v>
          </cell>
          <cell r="W314">
            <v>6.2229999999999999</v>
          </cell>
          <cell r="X314">
            <v>6.0229999999999997</v>
          </cell>
          <cell r="Y314">
            <v>5.78</v>
          </cell>
          <cell r="Z314">
            <v>5.5940000000000003</v>
          </cell>
          <cell r="AA314">
            <v>5.399</v>
          </cell>
          <cell r="AB314">
            <v>5.18</v>
          </cell>
          <cell r="AC314">
            <v>4.9470000000000001</v>
          </cell>
        </row>
        <row r="315">
          <cell r="A315" t="str">
            <v>Emission New (MtCO2)</v>
          </cell>
          <cell r="C315">
            <v>4.5999999999999999E-2</v>
          </cell>
          <cell r="D315">
            <v>8.3000000000000004E-2</v>
          </cell>
          <cell r="E315">
            <v>0.121</v>
          </cell>
          <cell r="F315">
            <v>0.158</v>
          </cell>
          <cell r="G315">
            <v>0.19600000000000001</v>
          </cell>
          <cell r="H315">
            <v>0.23400000000000001</v>
          </cell>
          <cell r="I315">
            <v>0.26200000000000001</v>
          </cell>
          <cell r="J315">
            <v>0.28699999999999998</v>
          </cell>
          <cell r="K315">
            <v>0.309</v>
          </cell>
          <cell r="L315">
            <v>0.33300000000000002</v>
          </cell>
          <cell r="M315">
            <v>0.35399999999999998</v>
          </cell>
          <cell r="N315">
            <v>0.376</v>
          </cell>
          <cell r="O315">
            <v>0.39700000000000002</v>
          </cell>
          <cell r="P315">
            <v>0.41599999999999998</v>
          </cell>
          <cell r="Q315">
            <v>0.436</v>
          </cell>
          <cell r="R315">
            <v>0.45500000000000002</v>
          </cell>
          <cell r="S315">
            <v>0.45400000000000001</v>
          </cell>
          <cell r="T315">
            <v>0.46200000000000002</v>
          </cell>
          <cell r="U315">
            <v>0.46400000000000002</v>
          </cell>
          <cell r="V315">
            <v>0.46800000000000003</v>
          </cell>
          <cell r="W315">
            <v>0.47199999999999998</v>
          </cell>
          <cell r="X315">
            <v>0.47299999999999998</v>
          </cell>
          <cell r="Y315">
            <v>0.47699999999999998</v>
          </cell>
          <cell r="Z315">
            <v>0.48</v>
          </cell>
          <cell r="AA315">
            <v>0.48</v>
          </cell>
          <cell r="AB315">
            <v>0.48299999999999998</v>
          </cell>
          <cell r="AC315">
            <v>0.48299999999999998</v>
          </cell>
        </row>
        <row r="316">
          <cell r="A316" t="str">
            <v>Emission Oil fuel (MtCO2)</v>
          </cell>
          <cell r="B316">
            <v>10.044</v>
          </cell>
          <cell r="C316">
            <v>9.0399999999999991</v>
          </cell>
          <cell r="D316">
            <v>8.0969999999999995</v>
          </cell>
          <cell r="E316">
            <v>7.01</v>
          </cell>
          <cell r="F316">
            <v>5.8310000000000004</v>
          </cell>
          <cell r="G316">
            <v>4.8979999999999997</v>
          </cell>
          <cell r="H316">
            <v>4.0190000000000001</v>
          </cell>
          <cell r="I316">
            <v>3.234</v>
          </cell>
          <cell r="J316">
            <v>2.4950000000000001</v>
          </cell>
          <cell r="K316">
            <v>1.8140000000000001</v>
          </cell>
          <cell r="L316">
            <v>1.177</v>
          </cell>
          <cell r="M316">
            <v>0.57499999999999996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</row>
        <row r="317">
          <cell r="A317" t="str">
            <v>Emission saving (MtCO2/year)</v>
          </cell>
          <cell r="C317">
            <v>1.508</v>
          </cell>
          <cell r="D317">
            <v>1.456</v>
          </cell>
          <cell r="E317">
            <v>1.798</v>
          </cell>
          <cell r="F317">
            <v>2.1819999999999999</v>
          </cell>
          <cell r="G317">
            <v>1.6020000000000001</v>
          </cell>
          <cell r="H317">
            <v>1.5660000000000001</v>
          </cell>
          <cell r="I317">
            <v>1.4370000000000001</v>
          </cell>
          <cell r="J317">
            <v>1.5629999999999999</v>
          </cell>
          <cell r="K317">
            <v>1.4790000000000001</v>
          </cell>
          <cell r="L317">
            <v>1.37</v>
          </cell>
          <cell r="M317">
            <v>1.3380000000000001</v>
          </cell>
          <cell r="N317">
            <v>1.2609999999999999</v>
          </cell>
          <cell r="O317">
            <v>0.81699999999999995</v>
          </cell>
          <cell r="P317">
            <v>0.874</v>
          </cell>
          <cell r="Q317">
            <v>0.81100000000000005</v>
          </cell>
          <cell r="R317">
            <v>0.66600000000000004</v>
          </cell>
          <cell r="S317">
            <v>2.12</v>
          </cell>
          <cell r="T317">
            <v>-0.69799999999999995</v>
          </cell>
          <cell r="U317">
            <v>0.56699999999999995</v>
          </cell>
          <cell r="V317">
            <v>0.46500000000000002</v>
          </cell>
          <cell r="W317">
            <v>0.37</v>
          </cell>
          <cell r="X317">
            <v>0.35299999999999998</v>
          </cell>
          <cell r="Y317">
            <v>0.34599999999999997</v>
          </cell>
          <cell r="Z317">
            <v>0.29199999999999998</v>
          </cell>
          <cell r="AA317">
            <v>0.32800000000000001</v>
          </cell>
          <cell r="AB317">
            <v>0.30199999999999999</v>
          </cell>
          <cell r="AC317">
            <v>0.34200000000000003</v>
          </cell>
        </row>
        <row r="318">
          <cell r="A318" t="str">
            <v>Emission saving carbon content (MtCO2/year)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7.0999999999999994E-2</v>
          </cell>
          <cell r="K318">
            <v>0.104</v>
          </cell>
          <cell r="L318">
            <v>8.7999999999999995E-2</v>
          </cell>
          <cell r="M318">
            <v>0.128</v>
          </cell>
          <cell r="N318">
            <v>0.10299999999999999</v>
          </cell>
          <cell r="O318">
            <v>0.108</v>
          </cell>
          <cell r="P318">
            <v>0.14799999999999999</v>
          </cell>
          <cell r="Q318">
            <v>0.112</v>
          </cell>
          <cell r="R318">
            <v>0.113</v>
          </cell>
          <cell r="S318">
            <v>0.14899999999999999</v>
          </cell>
          <cell r="T318">
            <v>0.11</v>
          </cell>
          <cell r="U318">
            <v>0.14399999999999999</v>
          </cell>
          <cell r="V318">
            <v>0.107</v>
          </cell>
          <cell r="W318">
            <v>0.106</v>
          </cell>
          <cell r="X318">
            <v>0.13900000000000001</v>
          </cell>
          <cell r="Y318">
            <v>0.10299999999999999</v>
          </cell>
          <cell r="Z318">
            <v>0.10199999999999999</v>
          </cell>
          <cell r="AA318">
            <v>0.13400000000000001</v>
          </cell>
          <cell r="AB318">
            <v>0.1</v>
          </cell>
          <cell r="AC318">
            <v>0.13300000000000001</v>
          </cell>
        </row>
        <row r="319">
          <cell r="A319" t="str">
            <v>Emission saving heater (MtCO2/year)</v>
          </cell>
          <cell r="C319">
            <v>1.1040000000000001</v>
          </cell>
          <cell r="D319">
            <v>1.0860000000000001</v>
          </cell>
          <cell r="E319">
            <v>1.1160000000000001</v>
          </cell>
          <cell r="F319">
            <v>1.121</v>
          </cell>
          <cell r="G319">
            <v>1.073</v>
          </cell>
          <cell r="H319">
            <v>1.036</v>
          </cell>
          <cell r="I319">
            <v>0.996</v>
          </cell>
          <cell r="J319">
            <v>0.98299999999999998</v>
          </cell>
          <cell r="K319">
            <v>0.97599999999999998</v>
          </cell>
          <cell r="L319">
            <v>0.96899999999999997</v>
          </cell>
          <cell r="M319">
            <v>0.96399999999999997</v>
          </cell>
          <cell r="N319">
            <v>0.95799999999999996</v>
          </cell>
          <cell r="O319">
            <v>0.52900000000000003</v>
          </cell>
          <cell r="P319">
            <v>0.52100000000000002</v>
          </cell>
          <cell r="Q319">
            <v>0.50800000000000001</v>
          </cell>
          <cell r="R319">
            <v>0.39500000000000002</v>
          </cell>
          <cell r="S319">
            <v>0.35</v>
          </cell>
          <cell r="T319">
            <v>0.32800000000000001</v>
          </cell>
          <cell r="U319">
            <v>0.32100000000000001</v>
          </cell>
          <cell r="V319">
            <v>0.27300000000000002</v>
          </cell>
          <cell r="W319">
            <v>0.188</v>
          </cell>
          <cell r="X319">
            <v>0.14599999999999999</v>
          </cell>
          <cell r="Y319">
            <v>0.20100000000000001</v>
          </cell>
          <cell r="Z319">
            <v>0.155</v>
          </cell>
          <cell r="AA319">
            <v>0.16600000000000001</v>
          </cell>
          <cell r="AB319">
            <v>0.17899999999999999</v>
          </cell>
          <cell r="AC319">
            <v>0.187</v>
          </cell>
        </row>
        <row r="320">
          <cell r="A320" t="str">
            <v>Emission saving insulation (MtCO2/year)</v>
          </cell>
          <cell r="C320">
            <v>0.30299999999999999</v>
          </cell>
          <cell r="D320">
            <v>0.28000000000000003</v>
          </cell>
          <cell r="E320">
            <v>0.61799999999999999</v>
          </cell>
          <cell r="F320">
            <v>0.63</v>
          </cell>
          <cell r="G320">
            <v>0.51400000000000001</v>
          </cell>
          <cell r="H320">
            <v>0.51200000000000001</v>
          </cell>
          <cell r="I320">
            <v>0.43099999999999999</v>
          </cell>
          <cell r="J320">
            <v>0.44900000000000001</v>
          </cell>
          <cell r="K320">
            <v>0.35199999999999998</v>
          </cell>
          <cell r="L320">
            <v>0.28000000000000003</v>
          </cell>
          <cell r="M320">
            <v>0.224</v>
          </cell>
          <cell r="N320">
            <v>0.18</v>
          </cell>
          <cell r="O320">
            <v>0.17299999999999999</v>
          </cell>
          <cell r="P320">
            <v>0.20100000000000001</v>
          </cell>
          <cell r="Q320">
            <v>0.185</v>
          </cell>
          <cell r="R320">
            <v>0.16</v>
          </cell>
          <cell r="S320">
            <v>0.26200000000000001</v>
          </cell>
          <cell r="T320">
            <v>0.13100000000000001</v>
          </cell>
          <cell r="U320">
            <v>0.11600000000000001</v>
          </cell>
          <cell r="V320">
            <v>9.6000000000000002E-2</v>
          </cell>
          <cell r="W320">
            <v>8.7999999999999995E-2</v>
          </cell>
          <cell r="X320">
            <v>7.8E-2</v>
          </cell>
          <cell r="Y320">
            <v>7.0000000000000007E-2</v>
          </cell>
          <cell r="Z320">
            <v>6.2E-2</v>
          </cell>
          <cell r="AA320">
            <v>5.5E-2</v>
          </cell>
          <cell r="AB320">
            <v>0.05</v>
          </cell>
          <cell r="AC320">
            <v>4.8000000000000001E-2</v>
          </cell>
        </row>
        <row r="321">
          <cell r="A321" t="str">
            <v>Emission saving natural replacement (MtCO2/year)</v>
          </cell>
          <cell r="C321">
            <v>-5.5E-2</v>
          </cell>
          <cell r="D321">
            <v>-4.4999999999999998E-2</v>
          </cell>
          <cell r="E321">
            <v>-4.2999999999999997E-2</v>
          </cell>
          <cell r="F321">
            <v>-0.04</v>
          </cell>
          <cell r="G321">
            <v>-3.9E-2</v>
          </cell>
          <cell r="H321">
            <v>-3.6999999999999998E-2</v>
          </cell>
          <cell r="I321">
            <v>-2.5000000000000001E-2</v>
          </cell>
          <cell r="J321">
            <v>-2.1999999999999999E-2</v>
          </cell>
          <cell r="K321">
            <v>-1.7999999999999999E-2</v>
          </cell>
          <cell r="L321">
            <v>-1.7000000000000001E-2</v>
          </cell>
          <cell r="M321">
            <v>-1.4999999999999999E-2</v>
          </cell>
          <cell r="N321">
            <v>-1.4999999999999999E-2</v>
          </cell>
          <cell r="O321">
            <v>-1.6E-2</v>
          </cell>
          <cell r="P321">
            <v>-1.2E-2</v>
          </cell>
          <cell r="Q321">
            <v>-1.0999999999999999E-2</v>
          </cell>
          <cell r="R321">
            <v>-0.01</v>
          </cell>
          <cell r="S321">
            <v>3.2000000000000001E-2</v>
          </cell>
          <cell r="T321">
            <v>1.7999999999999999E-2</v>
          </cell>
          <cell r="U321">
            <v>2.7E-2</v>
          </cell>
          <cell r="V321">
            <v>2.5000000000000001E-2</v>
          </cell>
          <cell r="W321">
            <v>2.5999999999999999E-2</v>
          </cell>
          <cell r="X321">
            <v>2.8000000000000001E-2</v>
          </cell>
          <cell r="Y321">
            <v>2.5000000000000001E-2</v>
          </cell>
          <cell r="Z321">
            <v>2.5000000000000001E-2</v>
          </cell>
          <cell r="AA321">
            <v>2.7E-2</v>
          </cell>
          <cell r="AB321">
            <v>2.5000000000000001E-2</v>
          </cell>
          <cell r="AC321">
            <v>3.5000000000000003E-2</v>
          </cell>
        </row>
        <row r="322">
          <cell r="A322" t="str">
            <v>Emission saving prices (MtCO2/year)</v>
          </cell>
          <cell r="C322">
            <v>0.10100000000000001</v>
          </cell>
          <cell r="D322">
            <v>0.09</v>
          </cell>
          <cell r="E322">
            <v>6.4000000000000001E-2</v>
          </cell>
          <cell r="F322">
            <v>0.432</v>
          </cell>
          <cell r="G322">
            <v>1.4999999999999999E-2</v>
          </cell>
          <cell r="H322">
            <v>1.9E-2</v>
          </cell>
          <cell r="I322">
            <v>8.9999999999999993E-3</v>
          </cell>
          <cell r="J322">
            <v>5.8999999999999997E-2</v>
          </cell>
          <cell r="K322">
            <v>4.7E-2</v>
          </cell>
          <cell r="L322">
            <v>3.3000000000000002E-2</v>
          </cell>
          <cell r="M322">
            <v>2.1999999999999999E-2</v>
          </cell>
          <cell r="N322">
            <v>0.02</v>
          </cell>
          <cell r="O322">
            <v>7.0000000000000001E-3</v>
          </cell>
          <cell r="P322">
            <v>5.0000000000000001E-3</v>
          </cell>
          <cell r="Q322">
            <v>5.0000000000000001E-3</v>
          </cell>
          <cell r="R322">
            <v>-2E-3</v>
          </cell>
          <cell r="S322">
            <v>1.359</v>
          </cell>
          <cell r="T322">
            <v>-1.2669999999999999</v>
          </cell>
          <cell r="U322">
            <v>-1.4E-2</v>
          </cell>
          <cell r="V322">
            <v>-0.01</v>
          </cell>
          <cell r="W322">
            <v>-1.2E-2</v>
          </cell>
          <cell r="X322">
            <v>-0.01</v>
          </cell>
          <cell r="Y322">
            <v>-2.7E-2</v>
          </cell>
          <cell r="Z322">
            <v>-2.7E-2</v>
          </cell>
          <cell r="AA322">
            <v>-2.7E-2</v>
          </cell>
          <cell r="AB322">
            <v>-2.7E-2</v>
          </cell>
          <cell r="AC322">
            <v>-2.7E-2</v>
          </cell>
        </row>
        <row r="323">
          <cell r="A323" t="str">
            <v>Emission saving total (%/year)</v>
          </cell>
          <cell r="C323">
            <v>3.9E-2</v>
          </cell>
          <cell r="D323">
            <v>3.9E-2</v>
          </cell>
          <cell r="E323">
            <v>5.0999999999999997E-2</v>
          </cell>
          <cell r="F323">
            <v>6.5000000000000002E-2</v>
          </cell>
          <cell r="G323">
            <v>5.0999999999999997E-2</v>
          </cell>
          <cell r="H323">
            <v>5.1999999999999998E-2</v>
          </cell>
          <cell r="I323">
            <v>5.0999999999999997E-2</v>
          </cell>
          <cell r="J323">
            <v>5.8999999999999997E-2</v>
          </cell>
          <cell r="K323">
            <v>5.8999999999999997E-2</v>
          </cell>
          <cell r="L323">
            <v>5.8000000000000003E-2</v>
          </cell>
          <cell r="M323">
            <v>0.06</v>
          </cell>
          <cell r="N323">
            <v>6.0999999999999999E-2</v>
          </cell>
          <cell r="O323">
            <v>4.1000000000000002E-2</v>
          </cell>
          <cell r="P323">
            <v>4.7E-2</v>
          </cell>
          <cell r="Q323">
            <v>4.4999999999999998E-2</v>
          </cell>
          <cell r="R323">
            <v>3.9E-2</v>
          </cell>
          <cell r="S323">
            <v>0.13300000000000001</v>
          </cell>
          <cell r="T323">
            <v>-4.8000000000000001E-2</v>
          </cell>
          <cell r="U323">
            <v>0.04</v>
          </cell>
          <cell r="V323">
            <v>3.5000000000000003E-2</v>
          </cell>
          <cell r="W323">
            <v>2.9000000000000001E-2</v>
          </cell>
          <cell r="X323">
            <v>2.9000000000000001E-2</v>
          </cell>
          <cell r="Y323">
            <v>2.9000000000000001E-2</v>
          </cell>
          <cell r="Z323">
            <v>2.5000000000000001E-2</v>
          </cell>
          <cell r="AA323">
            <v>2.9000000000000001E-2</v>
          </cell>
          <cell r="AB323">
            <v>2.8000000000000001E-2</v>
          </cell>
          <cell r="AC323">
            <v>3.3000000000000002E-2</v>
          </cell>
        </row>
        <row r="324">
          <cell r="A324" t="str">
            <v>Emission saving total (TWh/year)</v>
          </cell>
          <cell r="C324">
            <v>1.4530000000000001</v>
          </cell>
          <cell r="D324">
            <v>1.411</v>
          </cell>
          <cell r="E324">
            <v>1.756</v>
          </cell>
          <cell r="F324">
            <v>2.1419999999999999</v>
          </cell>
          <cell r="G324">
            <v>1.5640000000000001</v>
          </cell>
          <cell r="H324">
            <v>1.5289999999999999</v>
          </cell>
          <cell r="I324">
            <v>1.411</v>
          </cell>
          <cell r="J324">
            <v>1.5409999999999999</v>
          </cell>
          <cell r="K324">
            <v>1.4610000000000001</v>
          </cell>
          <cell r="L324">
            <v>1.353</v>
          </cell>
          <cell r="M324">
            <v>1.323</v>
          </cell>
          <cell r="N324">
            <v>1.246</v>
          </cell>
          <cell r="O324">
            <v>0.80100000000000005</v>
          </cell>
          <cell r="P324">
            <v>0.86199999999999999</v>
          </cell>
          <cell r="Q324">
            <v>0.79900000000000004</v>
          </cell>
          <cell r="R324">
            <v>0.65600000000000003</v>
          </cell>
          <cell r="S324">
            <v>2.1520000000000001</v>
          </cell>
          <cell r="T324">
            <v>-0.68</v>
          </cell>
          <cell r="U324">
            <v>0.59399999999999997</v>
          </cell>
          <cell r="V324">
            <v>0.49099999999999999</v>
          </cell>
          <cell r="W324">
            <v>0.39600000000000002</v>
          </cell>
          <cell r="X324">
            <v>0.38200000000000001</v>
          </cell>
          <cell r="Y324">
            <v>0.372</v>
          </cell>
          <cell r="Z324">
            <v>0.317</v>
          </cell>
          <cell r="AA324">
            <v>0.35499999999999998</v>
          </cell>
          <cell r="AB324">
            <v>0.32800000000000001</v>
          </cell>
          <cell r="AC324">
            <v>0.377</v>
          </cell>
        </row>
        <row r="325">
          <cell r="A325" t="str">
            <v>Emission standard saving insulation (MtCO2/year)</v>
          </cell>
          <cell r="C325">
            <v>0.66</v>
          </cell>
          <cell r="D325">
            <v>0.59599999999999997</v>
          </cell>
          <cell r="E325">
            <v>1.341</v>
          </cell>
          <cell r="F325">
            <v>1.393</v>
          </cell>
          <cell r="G325">
            <v>1.125</v>
          </cell>
          <cell r="H325">
            <v>1.101</v>
          </cell>
          <cell r="I325">
            <v>0.91</v>
          </cell>
          <cell r="J325">
            <v>0.89600000000000002</v>
          </cell>
          <cell r="K325">
            <v>0.69</v>
          </cell>
          <cell r="L325">
            <v>0.53700000000000003</v>
          </cell>
          <cell r="M325">
            <v>0.41799999999999998</v>
          </cell>
          <cell r="N325">
            <v>0.32700000000000001</v>
          </cell>
          <cell r="O325">
            <v>0.307</v>
          </cell>
          <cell r="P325">
            <v>0.34399999999999997</v>
          </cell>
          <cell r="Q325">
            <v>0.312</v>
          </cell>
          <cell r="R325">
            <v>0.26600000000000001</v>
          </cell>
          <cell r="S325">
            <v>0.502</v>
          </cell>
          <cell r="T325">
            <v>0.21199999999999999</v>
          </cell>
          <cell r="U325">
            <v>0.185</v>
          </cell>
          <cell r="V325">
            <v>0.151</v>
          </cell>
          <cell r="W325">
            <v>0.13800000000000001</v>
          </cell>
          <cell r="X325">
            <v>0.122</v>
          </cell>
          <cell r="Y325">
            <v>0.108</v>
          </cell>
          <cell r="Z325">
            <v>9.5000000000000001E-2</v>
          </cell>
          <cell r="AA325">
            <v>8.4000000000000005E-2</v>
          </cell>
          <cell r="AB325">
            <v>7.5999999999999998E-2</v>
          </cell>
          <cell r="AC325">
            <v>7.2999999999999995E-2</v>
          </cell>
        </row>
        <row r="326">
          <cell r="A326" t="str">
            <v>Emission Wood fuel (MtCO2)</v>
          </cell>
          <cell r="B326">
            <v>2.2829999999999999</v>
          </cell>
          <cell r="C326">
            <v>2.2370000000000001</v>
          </cell>
          <cell r="D326">
            <v>2.1960000000000002</v>
          </cell>
          <cell r="E326">
            <v>2.1360000000000001</v>
          </cell>
          <cell r="F326">
            <v>2.0649999999999999</v>
          </cell>
          <cell r="G326">
            <v>2.0089999999999999</v>
          </cell>
          <cell r="H326">
            <v>1.95</v>
          </cell>
          <cell r="I326">
            <v>1.8879999999999999</v>
          </cell>
          <cell r="J326">
            <v>1.83</v>
          </cell>
          <cell r="K326">
            <v>1.7729999999999999</v>
          </cell>
          <cell r="L326">
            <v>1.722</v>
          </cell>
          <cell r="M326">
            <v>1.675</v>
          </cell>
          <cell r="N326">
            <v>1.6319999999999999</v>
          </cell>
          <cell r="O326">
            <v>1.601</v>
          </cell>
          <cell r="P326">
            <v>1.571</v>
          </cell>
          <cell r="Q326">
            <v>1.5429999999999999</v>
          </cell>
          <cell r="R326">
            <v>1.52</v>
          </cell>
          <cell r="S326">
            <v>1.446</v>
          </cell>
          <cell r="T326">
            <v>1.4670000000000001</v>
          </cell>
          <cell r="U326">
            <v>1.446</v>
          </cell>
          <cell r="V326">
            <v>1.4279999999999999</v>
          </cell>
          <cell r="W326">
            <v>1.413</v>
          </cell>
          <cell r="X326">
            <v>1.4</v>
          </cell>
          <cell r="Y326">
            <v>1.3859999999999999</v>
          </cell>
          <cell r="Z326">
            <v>1.375</v>
          </cell>
          <cell r="AA326">
            <v>1.3640000000000001</v>
          </cell>
          <cell r="AB326">
            <v>1.349</v>
          </cell>
          <cell r="AC326">
            <v>1.333</v>
          </cell>
        </row>
        <row r="327">
          <cell r="A327" t="str">
            <v>Energy expenditures (Billion euro)</v>
          </cell>
          <cell r="B327">
            <v>32.585000000000001</v>
          </cell>
          <cell r="C327">
            <v>32.715000000000003</v>
          </cell>
          <cell r="D327">
            <v>32.67</v>
          </cell>
          <cell r="E327">
            <v>31.923999999999999</v>
          </cell>
          <cell r="F327">
            <v>31.673999999999999</v>
          </cell>
          <cell r="G327">
            <v>30.896000000000001</v>
          </cell>
          <cell r="H327">
            <v>30.119</v>
          </cell>
          <cell r="I327">
            <v>29.326000000000001</v>
          </cell>
          <cell r="J327">
            <v>28.614000000000001</v>
          </cell>
          <cell r="K327">
            <v>27.943999999999999</v>
          </cell>
          <cell r="L327">
            <v>27.315000000000001</v>
          </cell>
          <cell r="M327">
            <v>26.721</v>
          </cell>
          <cell r="N327">
            <v>26.167000000000002</v>
          </cell>
          <cell r="O327">
            <v>25.696000000000002</v>
          </cell>
          <cell r="P327">
            <v>25.196000000000002</v>
          </cell>
          <cell r="Q327">
            <v>24.751999999999999</v>
          </cell>
          <cell r="R327">
            <v>24.326000000000001</v>
          </cell>
          <cell r="S327">
            <v>27.006</v>
          </cell>
          <cell r="T327">
            <v>23.291</v>
          </cell>
          <cell r="U327">
            <v>22.864000000000001</v>
          </cell>
          <cell r="V327">
            <v>22.484999999999999</v>
          </cell>
          <cell r="W327">
            <v>22.26</v>
          </cell>
          <cell r="X327">
            <v>22.056999999999999</v>
          </cell>
          <cell r="Y327">
            <v>21.837</v>
          </cell>
          <cell r="Z327">
            <v>21.634</v>
          </cell>
          <cell r="AA327">
            <v>21.445</v>
          </cell>
          <cell r="AB327">
            <v>21.280999999999999</v>
          </cell>
          <cell r="AC327">
            <v>21.114999999999998</v>
          </cell>
        </row>
        <row r="328">
          <cell r="A328" t="str">
            <v>Energy expenditures C1 (Billion euro)</v>
          </cell>
          <cell r="B328">
            <v>4.5519999999999996</v>
          </cell>
          <cell r="C328">
            <v>4.5830000000000002</v>
          </cell>
          <cell r="D328">
            <v>4.5869999999999997</v>
          </cell>
          <cell r="E328">
            <v>4.4779999999999998</v>
          </cell>
          <cell r="F328">
            <v>4.4329999999999998</v>
          </cell>
          <cell r="G328">
            <v>4.3109999999999999</v>
          </cell>
          <cell r="H328">
            <v>4.194</v>
          </cell>
          <cell r="I328">
            <v>4.07</v>
          </cell>
          <cell r="J328">
            <v>3.952</v>
          </cell>
          <cell r="K328">
            <v>3.8410000000000002</v>
          </cell>
          <cell r="L328">
            <v>3.7389999999999999</v>
          </cell>
          <cell r="M328">
            <v>3.6440000000000001</v>
          </cell>
          <cell r="N328">
            <v>3.5590000000000002</v>
          </cell>
          <cell r="O328">
            <v>3.4860000000000002</v>
          </cell>
          <cell r="P328">
            <v>3.4060000000000001</v>
          </cell>
          <cell r="Q328">
            <v>3.335</v>
          </cell>
          <cell r="R328">
            <v>3.2690000000000001</v>
          </cell>
          <cell r="S328">
            <v>3.661</v>
          </cell>
          <cell r="T328">
            <v>3.1219999999999999</v>
          </cell>
          <cell r="U328">
            <v>3.0569999999999999</v>
          </cell>
          <cell r="V328">
            <v>3.0009999999999999</v>
          </cell>
          <cell r="W328">
            <v>2.9649999999999999</v>
          </cell>
          <cell r="X328">
            <v>2.9329999999999998</v>
          </cell>
          <cell r="Y328">
            <v>2.899</v>
          </cell>
          <cell r="Z328">
            <v>2.867</v>
          </cell>
          <cell r="AA328">
            <v>2.8380000000000001</v>
          </cell>
          <cell r="AB328">
            <v>2.8130000000000002</v>
          </cell>
          <cell r="AC328">
            <v>2.7890000000000001</v>
          </cell>
        </row>
        <row r="329">
          <cell r="A329" t="str">
            <v>Energy expenditures C2 (Billion euro)</v>
          </cell>
          <cell r="B329">
            <v>5.7759999999999998</v>
          </cell>
          <cell r="C329">
            <v>5.8259999999999996</v>
          </cell>
          <cell r="D329">
            <v>5.8369999999999997</v>
          </cell>
          <cell r="E329">
            <v>5.7169999999999996</v>
          </cell>
          <cell r="F329">
            <v>5.6760000000000002</v>
          </cell>
          <cell r="G329">
            <v>5.5309999999999997</v>
          </cell>
          <cell r="H329">
            <v>5.3879999999999999</v>
          </cell>
          <cell r="I329">
            <v>5.24</v>
          </cell>
          <cell r="J329">
            <v>5.1020000000000003</v>
          </cell>
          <cell r="K329">
            <v>4.9729999999999999</v>
          </cell>
          <cell r="L329">
            <v>4.8520000000000003</v>
          </cell>
          <cell r="M329">
            <v>4.7380000000000004</v>
          </cell>
          <cell r="N329">
            <v>4.6340000000000003</v>
          </cell>
          <cell r="O329">
            <v>4.5460000000000003</v>
          </cell>
          <cell r="P329">
            <v>4.452</v>
          </cell>
          <cell r="Q329">
            <v>4.3680000000000003</v>
          </cell>
          <cell r="R329">
            <v>4.2880000000000003</v>
          </cell>
          <cell r="S329">
            <v>4.7469999999999999</v>
          </cell>
          <cell r="T329">
            <v>4.0999999999999996</v>
          </cell>
          <cell r="U329">
            <v>4.0190000000000001</v>
          </cell>
          <cell r="V329">
            <v>3.948</v>
          </cell>
          <cell r="W329">
            <v>3.9039999999999999</v>
          </cell>
          <cell r="X329">
            <v>3.8650000000000002</v>
          </cell>
          <cell r="Y329">
            <v>3.823</v>
          </cell>
          <cell r="Z329">
            <v>3.7839999999999998</v>
          </cell>
          <cell r="AA329">
            <v>3.7480000000000002</v>
          </cell>
          <cell r="AB329">
            <v>3.718</v>
          </cell>
          <cell r="AC329">
            <v>3.6869999999999998</v>
          </cell>
        </row>
        <row r="330">
          <cell r="A330" t="str">
            <v>Energy expenditures C3 (Billion euro)</v>
          </cell>
          <cell r="B330">
            <v>6.5410000000000004</v>
          </cell>
          <cell r="C330">
            <v>6.5579999999999998</v>
          </cell>
          <cell r="D330">
            <v>6.5369999999999999</v>
          </cell>
          <cell r="E330">
            <v>6.3689999999999998</v>
          </cell>
          <cell r="F330">
            <v>6.2990000000000004</v>
          </cell>
          <cell r="G330">
            <v>6.1369999999999996</v>
          </cell>
          <cell r="H330">
            <v>5.9779999999999998</v>
          </cell>
          <cell r="I330">
            <v>5.8179999999999996</v>
          </cell>
          <cell r="J330">
            <v>5.6769999999999996</v>
          </cell>
          <cell r="K330">
            <v>5.5460000000000003</v>
          </cell>
          <cell r="L330">
            <v>5.423</v>
          </cell>
          <cell r="M330">
            <v>5.3070000000000004</v>
          </cell>
          <cell r="N330">
            <v>5.1980000000000004</v>
          </cell>
          <cell r="O330">
            <v>5.1079999999999997</v>
          </cell>
          <cell r="P330">
            <v>5.0110000000000001</v>
          </cell>
          <cell r="Q330">
            <v>4.9260000000000002</v>
          </cell>
          <cell r="R330">
            <v>4.843</v>
          </cell>
          <cell r="S330">
            <v>5.3470000000000004</v>
          </cell>
          <cell r="T330">
            <v>4.6500000000000004</v>
          </cell>
          <cell r="U330">
            <v>4.569</v>
          </cell>
          <cell r="V330">
            <v>4.4969999999999999</v>
          </cell>
          <cell r="W330">
            <v>4.4569999999999999</v>
          </cell>
          <cell r="X330">
            <v>4.4210000000000003</v>
          </cell>
          <cell r="Y330">
            <v>4.3819999999999997</v>
          </cell>
          <cell r="Z330">
            <v>4.3470000000000004</v>
          </cell>
          <cell r="AA330">
            <v>4.3140000000000001</v>
          </cell>
          <cell r="AB330">
            <v>4.2839999999999998</v>
          </cell>
          <cell r="AC330">
            <v>4.2519999999999998</v>
          </cell>
        </row>
        <row r="331">
          <cell r="A331" t="str">
            <v>Energy expenditures C4 (Billion euro)</v>
          </cell>
          <cell r="B331">
            <v>7.1859999999999999</v>
          </cell>
          <cell r="C331">
            <v>7.2210000000000001</v>
          </cell>
          <cell r="D331">
            <v>7.2149999999999999</v>
          </cell>
          <cell r="E331">
            <v>7.0570000000000004</v>
          </cell>
          <cell r="F331">
            <v>7.0049999999999999</v>
          </cell>
          <cell r="G331">
            <v>6.8419999999999996</v>
          </cell>
          <cell r="H331">
            <v>6.6790000000000003</v>
          </cell>
          <cell r="I331">
            <v>6.5129999999999999</v>
          </cell>
          <cell r="J331">
            <v>6.3659999999999997</v>
          </cell>
          <cell r="K331">
            <v>6.226</v>
          </cell>
          <cell r="L331">
            <v>6.0940000000000003</v>
          </cell>
          <cell r="M331">
            <v>5.968</v>
          </cell>
          <cell r="N331">
            <v>5.85</v>
          </cell>
          <cell r="O331">
            <v>5.7489999999999997</v>
          </cell>
          <cell r="P331">
            <v>5.6429999999999998</v>
          </cell>
          <cell r="Q331">
            <v>5.548</v>
          </cell>
          <cell r="R331">
            <v>5.4580000000000002</v>
          </cell>
          <cell r="S331">
            <v>6.0469999999999997</v>
          </cell>
          <cell r="T331">
            <v>5.2359999999999998</v>
          </cell>
          <cell r="U331">
            <v>5.1440000000000001</v>
          </cell>
          <cell r="V331">
            <v>5.0599999999999996</v>
          </cell>
          <cell r="W331">
            <v>5.0129999999999999</v>
          </cell>
          <cell r="X331">
            <v>4.97</v>
          </cell>
          <cell r="Y331">
            <v>4.923</v>
          </cell>
          <cell r="Z331">
            <v>4.8789999999999996</v>
          </cell>
          <cell r="AA331">
            <v>4.8390000000000004</v>
          </cell>
          <cell r="AB331">
            <v>4.8040000000000003</v>
          </cell>
          <cell r="AC331">
            <v>4.7679999999999998</v>
          </cell>
        </row>
        <row r="332">
          <cell r="A332" t="str">
            <v>Energy expenditures C5 (Billion euro)</v>
          </cell>
          <cell r="B332">
            <v>8.5289999999999999</v>
          </cell>
          <cell r="C332">
            <v>8.5269999999999992</v>
          </cell>
          <cell r="D332">
            <v>8.4930000000000003</v>
          </cell>
          <cell r="E332">
            <v>8.3040000000000003</v>
          </cell>
          <cell r="F332">
            <v>8.2609999999999992</v>
          </cell>
          <cell r="G332">
            <v>8.0739999999999998</v>
          </cell>
          <cell r="H332">
            <v>7.8789999999999996</v>
          </cell>
          <cell r="I332">
            <v>7.6849999999999996</v>
          </cell>
          <cell r="J332">
            <v>7.5170000000000003</v>
          </cell>
          <cell r="K332">
            <v>7.3579999999999997</v>
          </cell>
          <cell r="L332">
            <v>7.2069999999999999</v>
          </cell>
          <cell r="M332">
            <v>7.0629999999999997</v>
          </cell>
          <cell r="N332">
            <v>6.9260000000000002</v>
          </cell>
          <cell r="O332">
            <v>6.8070000000000004</v>
          </cell>
          <cell r="P332">
            <v>6.6849999999999996</v>
          </cell>
          <cell r="Q332">
            <v>6.5739999999999998</v>
          </cell>
          <cell r="R332">
            <v>6.4690000000000003</v>
          </cell>
          <cell r="S332">
            <v>7.2039999999999997</v>
          </cell>
          <cell r="T332">
            <v>6.1829999999999998</v>
          </cell>
          <cell r="U332">
            <v>6.0750000000000002</v>
          </cell>
          <cell r="V332">
            <v>5.9790000000000001</v>
          </cell>
          <cell r="W332">
            <v>5.9210000000000003</v>
          </cell>
          <cell r="X332">
            <v>5.8680000000000003</v>
          </cell>
          <cell r="Y332">
            <v>5.81</v>
          </cell>
          <cell r="Z332">
            <v>5.7560000000000002</v>
          </cell>
          <cell r="AA332">
            <v>5.7060000000000004</v>
          </cell>
          <cell r="AB332">
            <v>5.6630000000000003</v>
          </cell>
          <cell r="AC332">
            <v>5.6189999999999998</v>
          </cell>
        </row>
        <row r="333">
          <cell r="A333" t="str">
            <v>Energy expenditures Multi-family - Owner-occupied - C1 (euro)</v>
          </cell>
          <cell r="C333">
            <v>347706518.10699999</v>
          </cell>
          <cell r="D333">
            <v>350601602.56599998</v>
          </cell>
          <cell r="E333">
            <v>347570977.80900002</v>
          </cell>
          <cell r="F333">
            <v>350872733.43199998</v>
          </cell>
          <cell r="G333">
            <v>344951635.10500002</v>
          </cell>
          <cell r="H333">
            <v>338371053.27200001</v>
          </cell>
          <cell r="I333">
            <v>330074236.48400003</v>
          </cell>
          <cell r="J333">
            <v>324031005.24900001</v>
          </cell>
          <cell r="K333">
            <v>316982484.78299999</v>
          </cell>
          <cell r="L333">
            <v>309855922.00999999</v>
          </cell>
          <cell r="M333">
            <v>302744746.95899999</v>
          </cell>
          <cell r="N333">
            <v>295796256.73299998</v>
          </cell>
          <cell r="O333">
            <v>287685006.13999999</v>
          </cell>
          <cell r="P333">
            <v>280056086.315</v>
          </cell>
          <cell r="Q333">
            <v>272930888.80699998</v>
          </cell>
          <cell r="R333">
            <v>265961421.391</v>
          </cell>
          <cell r="S333">
            <v>306599956.458</v>
          </cell>
          <cell r="T333">
            <v>247230008.45500001</v>
          </cell>
          <cell r="U333">
            <v>237843288.92399999</v>
          </cell>
          <cell r="V333">
            <v>228743630.92699999</v>
          </cell>
          <cell r="W333">
            <v>221316194.63499999</v>
          </cell>
          <cell r="X333">
            <v>214031925.53299999</v>
          </cell>
          <cell r="Y333">
            <v>206453595.39500001</v>
          </cell>
          <cell r="Z333">
            <v>199047668.94400001</v>
          </cell>
          <cell r="AA333">
            <v>191790238.30399999</v>
          </cell>
          <cell r="AB333">
            <v>190016501.155</v>
          </cell>
          <cell r="AC333">
            <v>188250326.838</v>
          </cell>
        </row>
        <row r="334">
          <cell r="A334" t="str">
            <v>Energy expenditures Multi-family - Owner-occupied - C2 (euro)</v>
          </cell>
          <cell r="C334">
            <v>474561913.53500003</v>
          </cell>
          <cell r="D334">
            <v>476800230.79799998</v>
          </cell>
          <cell r="E334">
            <v>471776995.51300001</v>
          </cell>
          <cell r="F334">
            <v>476135915.09399998</v>
          </cell>
          <cell r="G334">
            <v>467431729.61400002</v>
          </cell>
          <cell r="H334">
            <v>457859552.94800001</v>
          </cell>
          <cell r="I334">
            <v>446621999.08600003</v>
          </cell>
          <cell r="J334">
            <v>438423824.995</v>
          </cell>
          <cell r="K334">
            <v>428965144.73900002</v>
          </cell>
          <cell r="L334">
            <v>419393973.31400001</v>
          </cell>
          <cell r="M334">
            <v>409847077.62699997</v>
          </cell>
          <cell r="N334">
            <v>400553748.58899999</v>
          </cell>
          <cell r="O334">
            <v>389690555.57099998</v>
          </cell>
          <cell r="P334">
            <v>379546396.65799999</v>
          </cell>
          <cell r="Q334">
            <v>370059678.65200001</v>
          </cell>
          <cell r="R334">
            <v>360980928.82700002</v>
          </cell>
          <cell r="S334">
            <v>417563660.04299998</v>
          </cell>
          <cell r="T334">
            <v>336554179.32300001</v>
          </cell>
          <cell r="U334">
            <v>325168656.463</v>
          </cell>
          <cell r="V334">
            <v>314335592.13200003</v>
          </cell>
          <cell r="W334">
            <v>305776450.986</v>
          </cell>
          <cell r="X334">
            <v>297561289.87400001</v>
          </cell>
          <cell r="Y334">
            <v>288986965.57499999</v>
          </cell>
          <cell r="Z334">
            <v>280757880.23900002</v>
          </cell>
          <cell r="AA334">
            <v>272822990.35299999</v>
          </cell>
          <cell r="AB334">
            <v>270269825.11000001</v>
          </cell>
          <cell r="AC334">
            <v>267758615.384</v>
          </cell>
        </row>
        <row r="335">
          <cell r="A335" t="str">
            <v>Energy expenditures Multi-family - Owner-occupied - C3 (euro)</v>
          </cell>
          <cell r="C335">
            <v>711352843.35699999</v>
          </cell>
          <cell r="D335">
            <v>711701389.69099998</v>
          </cell>
          <cell r="E335">
            <v>701584431.89699996</v>
          </cell>
          <cell r="F335">
            <v>705331290.40499997</v>
          </cell>
          <cell r="G335">
            <v>690151814.03100002</v>
          </cell>
          <cell r="H335">
            <v>673484206.574</v>
          </cell>
          <cell r="I335">
            <v>654864453.28299999</v>
          </cell>
          <cell r="J335">
            <v>640826016.80700004</v>
          </cell>
          <cell r="K335">
            <v>625432426.222</v>
          </cell>
          <cell r="L335">
            <v>610142940.86899996</v>
          </cell>
          <cell r="M335">
            <v>595136452.98899996</v>
          </cell>
          <cell r="N335">
            <v>580733858.61699998</v>
          </cell>
          <cell r="O335">
            <v>564513110.63</v>
          </cell>
          <cell r="P335">
            <v>549519030.73099995</v>
          </cell>
          <cell r="Q335">
            <v>535409221.37800002</v>
          </cell>
          <cell r="R335">
            <v>522183178.76599997</v>
          </cell>
          <cell r="S335">
            <v>592275523.23399997</v>
          </cell>
          <cell r="T335">
            <v>483800062.48400003</v>
          </cell>
          <cell r="U335">
            <v>469101903.597</v>
          </cell>
          <cell r="V335">
            <v>455341268.04299998</v>
          </cell>
          <cell r="W335">
            <v>445038585.11299998</v>
          </cell>
          <cell r="X335">
            <v>435320421.19499999</v>
          </cell>
          <cell r="Y335">
            <v>425199831.389</v>
          </cell>
          <cell r="Z335">
            <v>415604610.713</v>
          </cell>
          <cell r="AA335">
            <v>406466469.49699998</v>
          </cell>
          <cell r="AB335">
            <v>402647316.30900002</v>
          </cell>
          <cell r="AC335">
            <v>398920871.991</v>
          </cell>
        </row>
        <row r="336">
          <cell r="A336" t="str">
            <v>Energy expenditures Multi-family - Owner-occupied - C4 (euro)</v>
          </cell>
          <cell r="C336">
            <v>1008109559.102</v>
          </cell>
          <cell r="D336">
            <v>1009332207.626</v>
          </cell>
          <cell r="E336">
            <v>996455642.55200005</v>
          </cell>
          <cell r="F336">
            <v>1004255018.895</v>
          </cell>
          <cell r="G336">
            <v>984134142.32200003</v>
          </cell>
          <cell r="H336">
            <v>961753327.97099996</v>
          </cell>
          <cell r="I336">
            <v>936044095.86699998</v>
          </cell>
          <cell r="J336">
            <v>917066933.81099999</v>
          </cell>
          <cell r="K336">
            <v>895865168.59899998</v>
          </cell>
          <cell r="L336">
            <v>874725237.06299996</v>
          </cell>
          <cell r="M336">
            <v>853923616.54200006</v>
          </cell>
          <cell r="N336">
            <v>833940078.64400005</v>
          </cell>
          <cell r="O336">
            <v>811059590.93799996</v>
          </cell>
          <cell r="P336">
            <v>789921057.61099994</v>
          </cell>
          <cell r="Q336">
            <v>769993944.94599998</v>
          </cell>
          <cell r="R336">
            <v>751316203.43900001</v>
          </cell>
          <cell r="S336">
            <v>861431242.38100004</v>
          </cell>
          <cell r="T336">
            <v>696792011.63999999</v>
          </cell>
          <cell r="U336">
            <v>675580383.33399999</v>
          </cell>
          <cell r="V336">
            <v>655653846.36500001</v>
          </cell>
          <cell r="W336">
            <v>640380599.77900004</v>
          </cell>
          <cell r="X336">
            <v>625929861.91600001</v>
          </cell>
          <cell r="Y336">
            <v>610754531.28199995</v>
          </cell>
          <cell r="Z336">
            <v>596324818.30700004</v>
          </cell>
          <cell r="AA336">
            <v>582520666.06200004</v>
          </cell>
          <cell r="AB336">
            <v>577074647.54400003</v>
          </cell>
          <cell r="AC336">
            <v>571760226.04700005</v>
          </cell>
        </row>
        <row r="337">
          <cell r="A337" t="str">
            <v>Energy expenditures Multi-family - Owner-occupied - C5 (euro)</v>
          </cell>
          <cell r="C337">
            <v>1764398546.25</v>
          </cell>
          <cell r="D337">
            <v>1758696850.267</v>
          </cell>
          <cell r="E337">
            <v>1731239991.3340001</v>
          </cell>
          <cell r="F337">
            <v>1741286093.1719999</v>
          </cell>
          <cell r="G337">
            <v>1701981598.641</v>
          </cell>
          <cell r="H337">
            <v>1657454116.391</v>
          </cell>
          <cell r="I337">
            <v>1607770567.7880001</v>
          </cell>
          <cell r="J337">
            <v>1570685877.0190001</v>
          </cell>
          <cell r="K337">
            <v>1530403739.553</v>
          </cell>
          <cell r="L337">
            <v>1490824275.619</v>
          </cell>
          <cell r="M337">
            <v>1452371703.5179999</v>
          </cell>
          <cell r="N337">
            <v>1415810549.1029999</v>
          </cell>
          <cell r="O337">
            <v>1374362023.023</v>
          </cell>
          <cell r="P337">
            <v>1336436904.5009999</v>
          </cell>
          <cell r="Q337">
            <v>1300230761.7620001</v>
          </cell>
          <cell r="R337">
            <v>1266799170.7320001</v>
          </cell>
          <cell r="S337">
            <v>1419724603.54</v>
          </cell>
          <cell r="T337">
            <v>1156047628.066</v>
          </cell>
          <cell r="U337">
            <v>1122108157.059</v>
          </cell>
          <cell r="V337">
            <v>1090228341.017</v>
          </cell>
          <cell r="W337">
            <v>1065523412.348</v>
          </cell>
          <cell r="X337">
            <v>1042148037.0190001</v>
          </cell>
          <cell r="Y337">
            <v>1017599600.225</v>
          </cell>
          <cell r="Z337">
            <v>994190391.94599998</v>
          </cell>
          <cell r="AA337">
            <v>971774775.097</v>
          </cell>
          <cell r="AB337">
            <v>962487431.89600003</v>
          </cell>
          <cell r="AC337">
            <v>953321103.82500005</v>
          </cell>
        </row>
        <row r="338">
          <cell r="A338" t="str">
            <v>Energy expenditures Multi-family - Privately rented - C1 (euro)</v>
          </cell>
          <cell r="C338">
            <v>989860668.80599999</v>
          </cell>
          <cell r="D338">
            <v>990866765.48300004</v>
          </cell>
          <cell r="E338">
            <v>966148318.90900004</v>
          </cell>
          <cell r="F338">
            <v>959886240.42499995</v>
          </cell>
          <cell r="G338">
            <v>936577664.85000002</v>
          </cell>
          <cell r="H338">
            <v>913607834.15999997</v>
          </cell>
          <cell r="I338">
            <v>889488092.10699999</v>
          </cell>
          <cell r="J338">
            <v>854462846.91999996</v>
          </cell>
          <cell r="K338">
            <v>822267822.245</v>
          </cell>
          <cell r="L338">
            <v>794575412.98099995</v>
          </cell>
          <cell r="M338">
            <v>770754883.87800002</v>
          </cell>
          <cell r="N338">
            <v>750345790.02900004</v>
          </cell>
          <cell r="O338">
            <v>732608951.66799998</v>
          </cell>
          <cell r="P338">
            <v>705538072.59800005</v>
          </cell>
          <cell r="Q338">
            <v>682568248.73899996</v>
          </cell>
          <cell r="R338">
            <v>662128718.13399994</v>
          </cell>
          <cell r="S338">
            <v>736109557.704</v>
          </cell>
          <cell r="T338">
            <v>623730581.255</v>
          </cell>
          <cell r="U338">
            <v>607884756.71800005</v>
          </cell>
          <cell r="V338">
            <v>593805299.19599998</v>
          </cell>
          <cell r="W338">
            <v>586305033.81099999</v>
          </cell>
          <cell r="X338">
            <v>579752312.49600005</v>
          </cell>
          <cell r="Y338">
            <v>573410932.34000003</v>
          </cell>
          <cell r="Z338">
            <v>567687712.755</v>
          </cell>
          <cell r="AA338">
            <v>562733283.99800003</v>
          </cell>
          <cell r="AB338">
            <v>558071836.24100006</v>
          </cell>
          <cell r="AC338">
            <v>553961433.495</v>
          </cell>
        </row>
        <row r="339">
          <cell r="A339" t="str">
            <v>Energy expenditures Multi-family - Privately rented - C2 (euro)</v>
          </cell>
          <cell r="C339">
            <v>885902490.51300001</v>
          </cell>
          <cell r="D339">
            <v>890544062.73199999</v>
          </cell>
          <cell r="E339">
            <v>872819849.08399999</v>
          </cell>
          <cell r="F339">
            <v>871280637.48500001</v>
          </cell>
          <cell r="G339">
            <v>852942557.23500001</v>
          </cell>
          <cell r="H339">
            <v>834199267.20000005</v>
          </cell>
          <cell r="I339">
            <v>813770785.30700004</v>
          </cell>
          <cell r="J339">
            <v>785263426.28999996</v>
          </cell>
          <cell r="K339">
            <v>758447370.028</v>
          </cell>
          <cell r="L339">
            <v>735135769.18099999</v>
          </cell>
          <cell r="M339">
            <v>714893517.93499994</v>
          </cell>
          <cell r="N339">
            <v>697416965.722</v>
          </cell>
          <cell r="O339">
            <v>682022360.72000003</v>
          </cell>
          <cell r="P339">
            <v>657851826.26600003</v>
          </cell>
          <cell r="Q339">
            <v>637297380.51900005</v>
          </cell>
          <cell r="R339">
            <v>618967151.84500003</v>
          </cell>
          <cell r="S339">
            <v>694737821.46399999</v>
          </cell>
          <cell r="T339">
            <v>584381597.95200002</v>
          </cell>
          <cell r="U339">
            <v>570004600.32599998</v>
          </cell>
          <cell r="V339">
            <v>557210108.89199996</v>
          </cell>
          <cell r="W339">
            <v>550513497.22399998</v>
          </cell>
          <cell r="X339">
            <v>544657275.02199996</v>
          </cell>
          <cell r="Y339">
            <v>538873651.574</v>
          </cell>
          <cell r="Z339">
            <v>533633418.824</v>
          </cell>
          <cell r="AA339">
            <v>529077480.14399999</v>
          </cell>
          <cell r="AB339">
            <v>524703911.36799997</v>
          </cell>
          <cell r="AC339">
            <v>520840385.77700001</v>
          </cell>
        </row>
        <row r="340">
          <cell r="A340" t="str">
            <v>Energy expenditures Multi-family - Privately rented - C3 (euro)</v>
          </cell>
          <cell r="C340">
            <v>834493582.96000004</v>
          </cell>
          <cell r="D340">
            <v>839906454.03400004</v>
          </cell>
          <cell r="E340">
            <v>824475969.17400002</v>
          </cell>
          <cell r="F340">
            <v>825090924.70700002</v>
          </cell>
          <cell r="G340">
            <v>808638263.76499999</v>
          </cell>
          <cell r="H340">
            <v>791610710.21899998</v>
          </cell>
          <cell r="I340">
            <v>772772139.12699997</v>
          </cell>
          <cell r="J340">
            <v>746116303.77499998</v>
          </cell>
          <cell r="K340">
            <v>721017011.52900004</v>
          </cell>
          <cell r="L340">
            <v>699276106.57599998</v>
          </cell>
          <cell r="M340">
            <v>680482760.52499998</v>
          </cell>
          <cell r="N340">
            <v>664366004.10699999</v>
          </cell>
          <cell r="O340">
            <v>650221422.97599995</v>
          </cell>
          <cell r="P340">
            <v>628123855.06299996</v>
          </cell>
          <cell r="Q340">
            <v>609409778.91700006</v>
          </cell>
          <cell r="R340">
            <v>592838075.11199999</v>
          </cell>
          <cell r="S340">
            <v>673962445.56500006</v>
          </cell>
          <cell r="T340">
            <v>561494277.28199995</v>
          </cell>
          <cell r="U340">
            <v>548456132.93700004</v>
          </cell>
          <cell r="V340">
            <v>536891838.71300006</v>
          </cell>
          <cell r="W340">
            <v>530767331.67299998</v>
          </cell>
          <cell r="X340">
            <v>525445061.08899999</v>
          </cell>
          <cell r="Y340">
            <v>520051911.63</v>
          </cell>
          <cell r="Z340">
            <v>515175188.95200002</v>
          </cell>
          <cell r="AA340">
            <v>510919852.796</v>
          </cell>
          <cell r="AB340">
            <v>506861287.53399998</v>
          </cell>
          <cell r="AC340">
            <v>503277523.63200003</v>
          </cell>
        </row>
        <row r="341">
          <cell r="A341" t="str">
            <v>Energy expenditures Multi-family - Privately rented - C4 (euro)</v>
          </cell>
          <cell r="C341">
            <v>782157639.88300002</v>
          </cell>
          <cell r="D341">
            <v>785751082.55599999</v>
          </cell>
          <cell r="E341">
            <v>770409791.11300004</v>
          </cell>
          <cell r="F341">
            <v>771437996.95599997</v>
          </cell>
          <cell r="G341">
            <v>755548448.34500003</v>
          </cell>
          <cell r="H341">
            <v>739260021.19799995</v>
          </cell>
          <cell r="I341">
            <v>721380614.40600002</v>
          </cell>
          <cell r="J341">
            <v>694724291.81799996</v>
          </cell>
          <cell r="K341">
            <v>669935076.477</v>
          </cell>
          <cell r="L341">
            <v>648649246.773</v>
          </cell>
          <cell r="M341">
            <v>630415844.69799995</v>
          </cell>
          <cell r="N341">
            <v>614944407.42700005</v>
          </cell>
          <cell r="O341">
            <v>601367500.25199997</v>
          </cell>
          <cell r="P341">
            <v>580625167.65900004</v>
          </cell>
          <cell r="Q341">
            <v>562995650.68799996</v>
          </cell>
          <cell r="R341">
            <v>547465786.61699998</v>
          </cell>
          <cell r="S341">
            <v>628652385.30499995</v>
          </cell>
          <cell r="T341">
            <v>517884952.69800001</v>
          </cell>
          <cell r="U341">
            <v>505717455.12300003</v>
          </cell>
          <cell r="V341">
            <v>494967921.94700003</v>
          </cell>
          <cell r="W341">
            <v>488974498.92699999</v>
          </cell>
          <cell r="X341">
            <v>483783293.25199997</v>
          </cell>
          <cell r="Y341">
            <v>478468394.88099998</v>
          </cell>
          <cell r="Z341">
            <v>473682179.22600001</v>
          </cell>
          <cell r="AA341">
            <v>469486592.15200001</v>
          </cell>
          <cell r="AB341">
            <v>465523202.20300001</v>
          </cell>
          <cell r="AC341">
            <v>461988931.74400002</v>
          </cell>
        </row>
        <row r="342">
          <cell r="A342" t="str">
            <v>Energy expenditures Multi-family - Privately rented - C5 (euro)</v>
          </cell>
          <cell r="C342">
            <v>761754943.13199997</v>
          </cell>
          <cell r="D342">
            <v>763504120.25600004</v>
          </cell>
          <cell r="E342">
            <v>746418923.87100005</v>
          </cell>
          <cell r="F342">
            <v>746378175.08599997</v>
          </cell>
          <cell r="G342">
            <v>729553528.58500004</v>
          </cell>
          <cell r="H342">
            <v>712632739.01600003</v>
          </cell>
          <cell r="I342">
            <v>694439551.44700003</v>
          </cell>
          <cell r="J342">
            <v>664749120.17700005</v>
          </cell>
          <cell r="K342">
            <v>637772137.20899999</v>
          </cell>
          <cell r="L342">
            <v>614888382.35300004</v>
          </cell>
          <cell r="M342">
            <v>595519186.76300001</v>
          </cell>
          <cell r="N342">
            <v>579275909.23199999</v>
          </cell>
          <cell r="O342">
            <v>565224237.78999996</v>
          </cell>
          <cell r="P342">
            <v>544457809.15999997</v>
          </cell>
          <cell r="Q342">
            <v>526711968.60799998</v>
          </cell>
          <cell r="R342">
            <v>511175633.36799997</v>
          </cell>
          <cell r="S342">
            <v>587868866.71399999</v>
          </cell>
          <cell r="T342">
            <v>481470743.79500002</v>
          </cell>
          <cell r="U342">
            <v>469479221.34399998</v>
          </cell>
          <cell r="V342">
            <v>458931388.02499998</v>
          </cell>
          <cell r="W342">
            <v>452666459.51999998</v>
          </cell>
          <cell r="X342">
            <v>447250359.02200001</v>
          </cell>
          <cell r="Y342">
            <v>441770570.30900002</v>
          </cell>
          <cell r="Z342">
            <v>436865302.15100002</v>
          </cell>
          <cell r="AA342">
            <v>432563101.90100002</v>
          </cell>
          <cell r="AB342">
            <v>428585548.13700002</v>
          </cell>
          <cell r="AC342">
            <v>425006471.21499997</v>
          </cell>
        </row>
        <row r="343">
          <cell r="A343" t="str">
            <v>Energy expenditures Multi-family - Social-housing - C1 (euro)</v>
          </cell>
          <cell r="C343">
            <v>871367496.29799998</v>
          </cell>
          <cell r="D343">
            <v>874344213.68799996</v>
          </cell>
          <cell r="E343">
            <v>866345033.21300006</v>
          </cell>
          <cell r="F343">
            <v>878269079.05700004</v>
          </cell>
          <cell r="G343">
            <v>860468459.01600003</v>
          </cell>
          <cell r="H343">
            <v>839862826.977</v>
          </cell>
          <cell r="I343">
            <v>815513002.03999996</v>
          </cell>
          <cell r="J343">
            <v>797622630.19500005</v>
          </cell>
          <cell r="K343">
            <v>776357492.23599994</v>
          </cell>
          <cell r="L343">
            <v>755113910.20899999</v>
          </cell>
          <cell r="M343">
            <v>734805710.07599998</v>
          </cell>
          <cell r="N343">
            <v>716271728.449</v>
          </cell>
          <cell r="O343">
            <v>699152475.18499994</v>
          </cell>
          <cell r="P343">
            <v>685996737.60000002</v>
          </cell>
          <cell r="Q343">
            <v>674161218.11099994</v>
          </cell>
          <cell r="R343">
            <v>662843453.12699997</v>
          </cell>
          <cell r="S343">
            <v>811069277.84300005</v>
          </cell>
          <cell r="T343">
            <v>638398533.29299998</v>
          </cell>
          <cell r="U343">
            <v>627051340.495</v>
          </cell>
          <cell r="V343">
            <v>618628813.96700001</v>
          </cell>
          <cell r="W343">
            <v>611622583.21800005</v>
          </cell>
          <cell r="X343">
            <v>605405975.35000002</v>
          </cell>
          <cell r="Y343">
            <v>598007313.25800002</v>
          </cell>
          <cell r="Z343">
            <v>591172132.88999999</v>
          </cell>
          <cell r="AA343">
            <v>584784531.16499996</v>
          </cell>
          <cell r="AB343">
            <v>578528544.75399995</v>
          </cell>
          <cell r="AC343">
            <v>572703133.72899997</v>
          </cell>
        </row>
        <row r="344">
          <cell r="A344" t="str">
            <v>Energy expenditures Multi-family - Social-housing - C2 (euro)</v>
          </cell>
          <cell r="C344">
            <v>673697845.85000002</v>
          </cell>
          <cell r="D344">
            <v>675555689.30200005</v>
          </cell>
          <cell r="E344">
            <v>668834445.70000005</v>
          </cell>
          <cell r="F344">
            <v>677259496.24600005</v>
          </cell>
          <cell r="G344">
            <v>663560628.91199994</v>
          </cell>
          <cell r="H344">
            <v>647891473.08599997</v>
          </cell>
          <cell r="I344">
            <v>629355890.82799995</v>
          </cell>
          <cell r="J344">
            <v>615774631.33500004</v>
          </cell>
          <cell r="K344">
            <v>599665643.11300004</v>
          </cell>
          <cell r="L344">
            <v>583762865.98099995</v>
          </cell>
          <cell r="M344">
            <v>569255192.22899997</v>
          </cell>
          <cell r="N344">
            <v>556161812.38999999</v>
          </cell>
          <cell r="O344">
            <v>544139276.05299997</v>
          </cell>
          <cell r="P344">
            <v>534880693.315</v>
          </cell>
          <cell r="Q344">
            <v>526475756.92000002</v>
          </cell>
          <cell r="R344">
            <v>518253068.08399999</v>
          </cell>
          <cell r="S344">
            <v>633803830.61600006</v>
          </cell>
          <cell r="T344">
            <v>500149437.55900002</v>
          </cell>
          <cell r="U344">
            <v>491523907.71100003</v>
          </cell>
          <cell r="V344">
            <v>484869224.77999997</v>
          </cell>
          <cell r="W344">
            <v>479450533.28799999</v>
          </cell>
          <cell r="X344">
            <v>474645665.338</v>
          </cell>
          <cell r="Y344">
            <v>468939326.64300001</v>
          </cell>
          <cell r="Z344">
            <v>463667007.24199998</v>
          </cell>
          <cell r="AA344">
            <v>458750702.93099999</v>
          </cell>
          <cell r="AB344">
            <v>453960105.48900002</v>
          </cell>
          <cell r="AC344">
            <v>449521630.64099997</v>
          </cell>
        </row>
        <row r="345">
          <cell r="A345" t="str">
            <v>Energy expenditures Multi-family - Social-housing - C3 (euro)</v>
          </cell>
          <cell r="C345">
            <v>440662380.69999999</v>
          </cell>
          <cell r="D345">
            <v>442021103.73000002</v>
          </cell>
          <cell r="E345">
            <v>437248157.565</v>
          </cell>
          <cell r="F345">
            <v>442365567.19</v>
          </cell>
          <cell r="G345">
            <v>433312473.472</v>
          </cell>
          <cell r="H345">
            <v>423122236.37599999</v>
          </cell>
          <cell r="I345">
            <v>411029709.551</v>
          </cell>
          <cell r="J345">
            <v>402222326.14200002</v>
          </cell>
          <cell r="K345">
            <v>391733692.69</v>
          </cell>
          <cell r="L345">
            <v>381257905.84600002</v>
          </cell>
          <cell r="M345">
            <v>371182515.25199997</v>
          </cell>
          <cell r="N345">
            <v>361937959.75</v>
          </cell>
          <cell r="O345">
            <v>353544387.47100002</v>
          </cell>
          <cell r="P345">
            <v>347072485.69700003</v>
          </cell>
          <cell r="Q345">
            <v>341243800.93099999</v>
          </cell>
          <cell r="R345">
            <v>335608152.00700003</v>
          </cell>
          <cell r="S345">
            <v>410934975.22399998</v>
          </cell>
          <cell r="T345">
            <v>323436480.14899999</v>
          </cell>
          <cell r="U345">
            <v>317706933.15600002</v>
          </cell>
          <cell r="V345">
            <v>313339272.37699997</v>
          </cell>
          <cell r="W345">
            <v>309849507.47799999</v>
          </cell>
          <cell r="X345">
            <v>306767822.21600002</v>
          </cell>
          <cell r="Y345">
            <v>303109055.23699999</v>
          </cell>
          <cell r="Z345">
            <v>299736561.80400002</v>
          </cell>
          <cell r="AA345">
            <v>296602782.85900003</v>
          </cell>
          <cell r="AB345">
            <v>293559637.13300002</v>
          </cell>
          <cell r="AC345">
            <v>290755161.93699998</v>
          </cell>
        </row>
        <row r="346">
          <cell r="A346" t="str">
            <v>Energy expenditures Multi-family - Social-housing - C4 (euro)</v>
          </cell>
          <cell r="C346">
            <v>232736199.479</v>
          </cell>
          <cell r="D346">
            <v>233141475.197</v>
          </cell>
          <cell r="E346">
            <v>230391898.958</v>
          </cell>
          <cell r="F346">
            <v>232747191.03999999</v>
          </cell>
          <cell r="G346">
            <v>228021814.14899999</v>
          </cell>
          <cell r="H346">
            <v>222834213.97</v>
          </cell>
          <cell r="I346">
            <v>216665123.817</v>
          </cell>
          <cell r="J346">
            <v>212204312.458</v>
          </cell>
          <cell r="K346">
            <v>206880033.96599999</v>
          </cell>
          <cell r="L346">
            <v>201567429.67699999</v>
          </cell>
          <cell r="M346">
            <v>196442042.021</v>
          </cell>
          <cell r="N346">
            <v>191749053.62799999</v>
          </cell>
          <cell r="O346">
            <v>187405975.095</v>
          </cell>
          <cell r="P346">
            <v>184054190.44499999</v>
          </cell>
          <cell r="Q346">
            <v>181041105.71900001</v>
          </cell>
          <cell r="R346">
            <v>178134861.396</v>
          </cell>
          <cell r="S346">
            <v>217293861.28999999</v>
          </cell>
          <cell r="T346">
            <v>171794396.10100001</v>
          </cell>
          <cell r="U346">
            <v>168812641.30899999</v>
          </cell>
          <cell r="V346">
            <v>166526191.847</v>
          </cell>
          <cell r="W346">
            <v>164717038.42199999</v>
          </cell>
          <cell r="X346">
            <v>163105350.69299999</v>
          </cell>
          <cell r="Y346">
            <v>161184211.78200001</v>
          </cell>
          <cell r="Z346">
            <v>159401949.09200001</v>
          </cell>
          <cell r="AA346">
            <v>157737307.007</v>
          </cell>
          <cell r="AB346">
            <v>156114397.01199999</v>
          </cell>
          <cell r="AC346">
            <v>154609102.49900001</v>
          </cell>
        </row>
        <row r="347">
          <cell r="A347" t="str">
            <v>Energy expenditures Multi-family - Social-housing - C5 (euro)</v>
          </cell>
          <cell r="C347">
            <v>104275374.557</v>
          </cell>
          <cell r="D347">
            <v>103814939.962</v>
          </cell>
          <cell r="E347">
            <v>101788153.535</v>
          </cell>
          <cell r="F347">
            <v>101779928.484</v>
          </cell>
          <cell r="G347">
            <v>98993220.339000002</v>
          </cell>
          <cell r="H347">
            <v>96095771.541999996</v>
          </cell>
          <cell r="I347">
            <v>92800585.724999994</v>
          </cell>
          <cell r="J347">
            <v>90159347.657000005</v>
          </cell>
          <cell r="K347">
            <v>87148264.247999996</v>
          </cell>
          <cell r="L347">
            <v>84167907.402999997</v>
          </cell>
          <cell r="M347">
            <v>81441166.738000005</v>
          </cell>
          <cell r="N347">
            <v>78985650.401999995</v>
          </cell>
          <cell r="O347">
            <v>76693653.548999995</v>
          </cell>
          <cell r="P347">
            <v>74895390.694000006</v>
          </cell>
          <cell r="Q347">
            <v>73302019.945999995</v>
          </cell>
          <cell r="R347">
            <v>71808644.753000006</v>
          </cell>
          <cell r="S347">
            <v>85366938.444999993</v>
          </cell>
          <cell r="T347">
            <v>68769008.371000007</v>
          </cell>
          <cell r="U347">
            <v>67398746.244000003</v>
          </cell>
          <cell r="V347">
            <v>66413828.909000002</v>
          </cell>
          <cell r="W347">
            <v>65694298.659000002</v>
          </cell>
          <cell r="X347">
            <v>65049842.164999999</v>
          </cell>
          <cell r="Y347">
            <v>64310067.471000001</v>
          </cell>
          <cell r="Z347">
            <v>63621183.048</v>
          </cell>
          <cell r="AA347">
            <v>62983000.713</v>
          </cell>
          <cell r="AB347">
            <v>62364328.827</v>
          </cell>
          <cell r="AC347">
            <v>61795122.637000002</v>
          </cell>
        </row>
        <row r="348">
          <cell r="A348" t="str">
            <v>Energy expenditures Single-family - Owner-occupied - C1 (euro)</v>
          </cell>
          <cell r="C348">
            <v>1730538722.9349999</v>
          </cell>
          <cell r="D348">
            <v>1733834792.3010001</v>
          </cell>
          <cell r="E348">
            <v>1684149920.862</v>
          </cell>
          <cell r="F348">
            <v>1653760165.6619999</v>
          </cell>
          <cell r="G348">
            <v>1589036786.8</v>
          </cell>
          <cell r="H348">
            <v>1526051934.2520001</v>
          </cell>
          <cell r="I348">
            <v>1460248279.6270001</v>
          </cell>
          <cell r="J348">
            <v>1407017397.954</v>
          </cell>
          <cell r="K348">
            <v>1358819659.964</v>
          </cell>
          <cell r="L348">
            <v>1313937367.4990001</v>
          </cell>
          <cell r="M348">
            <v>1271556552.0940001</v>
          </cell>
          <cell r="N348">
            <v>1231617102.569</v>
          </cell>
          <cell r="O348">
            <v>1203012605.536</v>
          </cell>
          <cell r="P348">
            <v>1176238334.0009999</v>
          </cell>
          <cell r="Q348">
            <v>1152221211.0380001</v>
          </cell>
          <cell r="R348">
            <v>1129212558.128</v>
          </cell>
          <cell r="S348">
            <v>1275836130.421</v>
          </cell>
          <cell r="T348">
            <v>1076018796.9360001</v>
          </cell>
          <cell r="U348">
            <v>1052365928.934</v>
          </cell>
          <cell r="V348">
            <v>1031013687.36</v>
          </cell>
          <cell r="W348">
            <v>1018788506.327</v>
          </cell>
          <cell r="X348">
            <v>1007884585.6160001</v>
          </cell>
          <cell r="Y348">
            <v>995778392.70799994</v>
          </cell>
          <cell r="Z348">
            <v>984673807.46200001</v>
          </cell>
          <cell r="AA348">
            <v>974218271.45000005</v>
          </cell>
          <cell r="AB348">
            <v>963119098.41999996</v>
          </cell>
          <cell r="AC348">
            <v>951796728.13900006</v>
          </cell>
        </row>
        <row r="349">
          <cell r="A349" t="str">
            <v>Energy expenditures Single-family - Owner-occupied - C2 (euro)</v>
          </cell>
          <cell r="C349">
            <v>3036958969.961</v>
          </cell>
          <cell r="D349">
            <v>3036888518.0419998</v>
          </cell>
          <cell r="E349">
            <v>2966352131.007</v>
          </cell>
          <cell r="F349">
            <v>2938056391.6999998</v>
          </cell>
          <cell r="G349">
            <v>2840062217.4720001</v>
          </cell>
          <cell r="H349">
            <v>2742700837.6360002</v>
          </cell>
          <cell r="I349">
            <v>2642609138.7519999</v>
          </cell>
          <cell r="J349">
            <v>2560125753.5890002</v>
          </cell>
          <cell r="K349">
            <v>2483475068.9650002</v>
          </cell>
          <cell r="L349">
            <v>2410457092.836</v>
          </cell>
          <cell r="M349">
            <v>2340300579.6599998</v>
          </cell>
          <cell r="N349">
            <v>2273350088.2119999</v>
          </cell>
          <cell r="O349">
            <v>2225019883.645</v>
          </cell>
          <cell r="P349">
            <v>2179072987.3839998</v>
          </cell>
          <cell r="Q349">
            <v>2137595212.316</v>
          </cell>
          <cell r="R349">
            <v>2097571834.152</v>
          </cell>
          <cell r="S349">
            <v>2325298035.1669998</v>
          </cell>
          <cell r="T349">
            <v>1998947785.911</v>
          </cell>
          <cell r="U349">
            <v>1957025355.109</v>
          </cell>
          <cell r="V349">
            <v>1919461265.2420001</v>
          </cell>
          <cell r="W349">
            <v>1897861758.152</v>
          </cell>
          <cell r="X349">
            <v>1878542043.8770001</v>
          </cell>
          <cell r="Y349">
            <v>1857255252.066</v>
          </cell>
          <cell r="Z349">
            <v>1837874055.5810001</v>
          </cell>
          <cell r="AA349">
            <v>1819640781.9590001</v>
          </cell>
          <cell r="AB349">
            <v>1801700430.6960001</v>
          </cell>
          <cell r="AC349">
            <v>1782672674.0450001</v>
          </cell>
        </row>
        <row r="350">
          <cell r="A350" t="str">
            <v>Energy expenditures Single-family - Owner-occupied - C3 (euro)</v>
          </cell>
          <cell r="C350">
            <v>3990028908.2249999</v>
          </cell>
          <cell r="D350">
            <v>3957642048.4679999</v>
          </cell>
          <cell r="E350">
            <v>3830398082.7210002</v>
          </cell>
          <cell r="F350">
            <v>3770788256.7150002</v>
          </cell>
          <cell r="G350">
            <v>3648330047.8010001</v>
          </cell>
          <cell r="H350">
            <v>3527526012.2189999</v>
          </cell>
          <cell r="I350">
            <v>3409449832.5229998</v>
          </cell>
          <cell r="J350">
            <v>3316503128.9980001</v>
          </cell>
          <cell r="K350">
            <v>3231448016.4510002</v>
          </cell>
          <cell r="L350">
            <v>3150247552.454</v>
          </cell>
          <cell r="M350">
            <v>3071262459.0149999</v>
          </cell>
          <cell r="N350">
            <v>2994765856.96</v>
          </cell>
          <cell r="O350">
            <v>2939601855.0819998</v>
          </cell>
          <cell r="P350">
            <v>2886785755.6939998</v>
          </cell>
          <cell r="Q350">
            <v>2839100538.5149999</v>
          </cell>
          <cell r="R350">
            <v>2793022492.9949999</v>
          </cell>
          <cell r="S350">
            <v>3116337792.4530001</v>
          </cell>
          <cell r="T350">
            <v>2685331811.8249998</v>
          </cell>
          <cell r="U350">
            <v>2638109536.0780001</v>
          </cell>
          <cell r="V350">
            <v>2596370152.0679998</v>
          </cell>
          <cell r="W350">
            <v>2575932603.3410001</v>
          </cell>
          <cell r="X350">
            <v>2558324055.8590002</v>
          </cell>
          <cell r="Y350">
            <v>2537539473.4559999</v>
          </cell>
          <cell r="Z350">
            <v>2519190064.2800002</v>
          </cell>
          <cell r="AA350">
            <v>2502095875.7329998</v>
          </cell>
          <cell r="AB350">
            <v>2481635755.1570001</v>
          </cell>
          <cell r="AC350">
            <v>2460279172.757</v>
          </cell>
        </row>
        <row r="351">
          <cell r="A351" t="str">
            <v>Energy expenditures Single-family - Owner-occupied - C4 (euro)</v>
          </cell>
          <cell r="C351">
            <v>4839045211.5699997</v>
          </cell>
          <cell r="D351">
            <v>4819764569.9980001</v>
          </cell>
          <cell r="E351">
            <v>4690823213.7060003</v>
          </cell>
          <cell r="F351">
            <v>4643329716.7309999</v>
          </cell>
          <cell r="G351">
            <v>4510099577.8780003</v>
          </cell>
          <cell r="H351">
            <v>4377372560.7279997</v>
          </cell>
          <cell r="I351">
            <v>4245467582.8330002</v>
          </cell>
          <cell r="J351">
            <v>4138870323.348</v>
          </cell>
          <cell r="K351">
            <v>4038593852.6240001</v>
          </cell>
          <cell r="L351">
            <v>3941434521.02</v>
          </cell>
          <cell r="M351">
            <v>3846459989.9689999</v>
          </cell>
          <cell r="N351">
            <v>3754677578.3039999</v>
          </cell>
          <cell r="O351">
            <v>3685880895.2610002</v>
          </cell>
          <cell r="P351">
            <v>3619760986.3759999</v>
          </cell>
          <cell r="Q351">
            <v>3559865295.7280002</v>
          </cell>
          <cell r="R351">
            <v>3502009938.8909998</v>
          </cell>
          <cell r="S351">
            <v>3946668358.8730001</v>
          </cell>
          <cell r="T351">
            <v>3364773276.9899998</v>
          </cell>
          <cell r="U351">
            <v>3305153437.4050002</v>
          </cell>
          <cell r="V351">
            <v>3252319163.572</v>
          </cell>
          <cell r="W351">
            <v>3225451332.2480001</v>
          </cell>
          <cell r="X351">
            <v>3202111498.4759998</v>
          </cell>
          <cell r="Y351">
            <v>3174139927.5149999</v>
          </cell>
          <cell r="Z351">
            <v>3149243339.974</v>
          </cell>
          <cell r="AA351">
            <v>3125807192.3779998</v>
          </cell>
          <cell r="AB351">
            <v>3099410285.8639998</v>
          </cell>
          <cell r="AC351">
            <v>3071731431.8169999</v>
          </cell>
        </row>
        <row r="352">
          <cell r="A352" t="str">
            <v>Energy expenditures Single-family - Owner-occupied - C5 (euro)</v>
          </cell>
          <cell r="C352">
            <v>5740834948.6289997</v>
          </cell>
          <cell r="D352">
            <v>5696924618.7480001</v>
          </cell>
          <cell r="E352">
            <v>5544348027.2040005</v>
          </cell>
          <cell r="F352">
            <v>5508030971.5290003</v>
          </cell>
          <cell r="G352">
            <v>5358977098.6520004</v>
          </cell>
          <cell r="H352">
            <v>5204702007.5220003</v>
          </cell>
          <cell r="I352">
            <v>5056396608.5109997</v>
          </cell>
          <cell r="J352">
            <v>4940828917.3559999</v>
          </cell>
          <cell r="K352">
            <v>4832254535.3800001</v>
          </cell>
          <cell r="L352">
            <v>4726024832.1540003</v>
          </cell>
          <cell r="M352">
            <v>4620744455.1680002</v>
          </cell>
          <cell r="N352">
            <v>4517885963.1459999</v>
          </cell>
          <cell r="O352">
            <v>4442070627.9449997</v>
          </cell>
          <cell r="P352">
            <v>4368450289.2279997</v>
          </cell>
          <cell r="Q352">
            <v>4301285104.0249996</v>
          </cell>
          <cell r="R352">
            <v>4237178393.1160002</v>
          </cell>
          <cell r="S352">
            <v>4870325872.4899998</v>
          </cell>
          <cell r="T352">
            <v>4076265430.1209998</v>
          </cell>
          <cell r="U352">
            <v>4008822072.6669998</v>
          </cell>
          <cell r="V352">
            <v>3949861744.585</v>
          </cell>
          <cell r="W352">
            <v>3919062705.652</v>
          </cell>
          <cell r="X352">
            <v>3892987791.678</v>
          </cell>
          <cell r="Y352">
            <v>3859550503.165</v>
          </cell>
          <cell r="Z352">
            <v>3830397230.0650001</v>
          </cell>
          <cell r="AA352">
            <v>3802783653.2189999</v>
          </cell>
          <cell r="AB352">
            <v>3769565792.8730001</v>
          </cell>
          <cell r="AC352">
            <v>3734634435.3330002</v>
          </cell>
        </row>
        <row r="353">
          <cell r="A353" t="str">
            <v>Energy expenditures Single-family - Privately rented - C1 (euro)</v>
          </cell>
          <cell r="C353">
            <v>564409821.94599998</v>
          </cell>
          <cell r="D353">
            <v>554571985.02600002</v>
          </cell>
          <cell r="E353">
            <v>523312137.74699998</v>
          </cell>
          <cell r="F353">
            <v>506269335.58399999</v>
          </cell>
          <cell r="G353">
            <v>484749414.37800002</v>
          </cell>
          <cell r="H353">
            <v>466497409.01700002</v>
          </cell>
          <cell r="I353">
            <v>450988658.78100002</v>
          </cell>
          <cell r="J353">
            <v>435071503.12900001</v>
          </cell>
          <cell r="K353">
            <v>421684391.60699999</v>
          </cell>
          <cell r="L353">
            <v>409988020.264</v>
          </cell>
          <cell r="M353">
            <v>399491015.42699999</v>
          </cell>
          <cell r="N353">
            <v>389982495.91299999</v>
          </cell>
          <cell r="O353">
            <v>382725251.09500003</v>
          </cell>
          <cell r="P353">
            <v>372175125.366</v>
          </cell>
          <cell r="Q353">
            <v>362964517.93400002</v>
          </cell>
          <cell r="R353">
            <v>354248779.78100002</v>
          </cell>
          <cell r="S353">
            <v>395655941.65399998</v>
          </cell>
          <cell r="T353">
            <v>336798233.204</v>
          </cell>
          <cell r="U353">
            <v>329364877.38499999</v>
          </cell>
          <cell r="V353">
            <v>322661594.76800001</v>
          </cell>
          <cell r="W353">
            <v>319510842.85900003</v>
          </cell>
          <cell r="X353">
            <v>316757664.18599999</v>
          </cell>
          <cell r="Y353">
            <v>313803931.699</v>
          </cell>
          <cell r="Z353">
            <v>311133951.15700001</v>
          </cell>
          <cell r="AA353">
            <v>308724539.92500001</v>
          </cell>
          <cell r="AB353">
            <v>305953904.84500003</v>
          </cell>
          <cell r="AC353">
            <v>303247453.65700001</v>
          </cell>
        </row>
        <row r="354">
          <cell r="A354" t="str">
            <v>Energy expenditures Single-family - Privately rented - C2 (euro)</v>
          </cell>
          <cell r="C354">
            <v>681758739.57200003</v>
          </cell>
          <cell r="D354">
            <v>676284481.31500006</v>
          </cell>
          <cell r="E354">
            <v>644055214.43299997</v>
          </cell>
          <cell r="F354">
            <v>627027587.76400006</v>
          </cell>
          <cell r="G354">
            <v>603250677.61300004</v>
          </cell>
          <cell r="H354">
            <v>582792968.71500003</v>
          </cell>
          <cell r="I354">
            <v>564908378.73699999</v>
          </cell>
          <cell r="J354">
            <v>546076221.28299999</v>
          </cell>
          <cell r="K354">
            <v>530065482.13</v>
          </cell>
          <cell r="L354">
            <v>515937235.245</v>
          </cell>
          <cell r="M354">
            <v>503148552.70999998</v>
          </cell>
          <cell r="N354">
            <v>491483753.48299998</v>
          </cell>
          <cell r="O354">
            <v>482474859.97399998</v>
          </cell>
          <cell r="P354">
            <v>469952481.64300001</v>
          </cell>
          <cell r="Q354">
            <v>458993300.59600002</v>
          </cell>
          <cell r="R354">
            <v>448492959.42699999</v>
          </cell>
          <cell r="S354">
            <v>501917301.70300001</v>
          </cell>
          <cell r="T354">
            <v>427198159.46499997</v>
          </cell>
          <cell r="U354">
            <v>418026422.44999999</v>
          </cell>
          <cell r="V354">
            <v>409709807.15600002</v>
          </cell>
          <cell r="W354">
            <v>406051364.40899998</v>
          </cell>
          <cell r="X354">
            <v>402839383.76099998</v>
          </cell>
          <cell r="Y354">
            <v>399339186.61799997</v>
          </cell>
          <cell r="Z354">
            <v>396153338.662</v>
          </cell>
          <cell r="AA354">
            <v>393276197.98500001</v>
          </cell>
          <cell r="AB354">
            <v>389910707.27499998</v>
          </cell>
          <cell r="AC354">
            <v>386618271.773</v>
          </cell>
        </row>
        <row r="355">
          <cell r="A355" t="str">
            <v>Energy expenditures Single-family - Privately rented - C3 (euro)</v>
          </cell>
          <cell r="C355">
            <v>621528999.25899994</v>
          </cell>
          <cell r="D355">
            <v>614881269.69500005</v>
          </cell>
          <cell r="E355">
            <v>586272833.24300003</v>
          </cell>
          <cell r="F355">
            <v>571805656.83500004</v>
          </cell>
          <cell r="G355">
            <v>551265134.90499997</v>
          </cell>
          <cell r="H355">
            <v>533612016.38099998</v>
          </cell>
          <cell r="I355">
            <v>518171935.20200002</v>
          </cell>
          <cell r="J355">
            <v>502045387.15600002</v>
          </cell>
          <cell r="K355">
            <v>488204847.67199999</v>
          </cell>
          <cell r="L355">
            <v>475847150.134</v>
          </cell>
          <cell r="M355">
            <v>464523184.26800001</v>
          </cell>
          <cell r="N355">
            <v>454080059.43900001</v>
          </cell>
          <cell r="O355">
            <v>445819176.07999998</v>
          </cell>
          <cell r="P355">
            <v>434226936.69499999</v>
          </cell>
          <cell r="Q355">
            <v>424019609.22299999</v>
          </cell>
          <cell r="R355">
            <v>414198741.89999998</v>
          </cell>
          <cell r="S355">
            <v>464951865.86199999</v>
          </cell>
          <cell r="T355">
            <v>394213708.88700002</v>
          </cell>
          <cell r="U355">
            <v>385560356.95499998</v>
          </cell>
          <cell r="V355">
            <v>377696117.292</v>
          </cell>
          <cell r="W355">
            <v>374277431.13999999</v>
          </cell>
          <cell r="X355">
            <v>371269698.18199998</v>
          </cell>
          <cell r="Y355">
            <v>367984142.72500002</v>
          </cell>
          <cell r="Z355">
            <v>364986536.17500001</v>
          </cell>
          <cell r="AA355">
            <v>362278556.17500001</v>
          </cell>
          <cell r="AB355">
            <v>359103293.80500001</v>
          </cell>
          <cell r="AC355">
            <v>355996839.07099998</v>
          </cell>
        </row>
        <row r="356">
          <cell r="A356" t="str">
            <v>Energy expenditures Single-family - Privately rented - C4 (euro)</v>
          </cell>
          <cell r="C356">
            <v>498217400.26599997</v>
          </cell>
          <cell r="D356">
            <v>494214567.70599997</v>
          </cell>
          <cell r="E356">
            <v>474478724.13999999</v>
          </cell>
          <cell r="F356">
            <v>465491131.24699998</v>
          </cell>
          <cell r="G356">
            <v>450473933.47899997</v>
          </cell>
          <cell r="H356">
            <v>437434793.83399999</v>
          </cell>
          <cell r="I356">
            <v>425814605.13200003</v>
          </cell>
          <cell r="J356">
            <v>413590045.12199998</v>
          </cell>
          <cell r="K356">
            <v>403000868.01999998</v>
          </cell>
          <cell r="L356">
            <v>393445010.97000003</v>
          </cell>
          <cell r="M356">
            <v>384597949.57700002</v>
          </cell>
          <cell r="N356">
            <v>376383419.41000003</v>
          </cell>
          <cell r="O356">
            <v>369673495.17400002</v>
          </cell>
          <cell r="P356">
            <v>360423424.48699999</v>
          </cell>
          <cell r="Q356">
            <v>352237448.64999998</v>
          </cell>
          <cell r="R356">
            <v>344320223.50300002</v>
          </cell>
          <cell r="S356">
            <v>392183143.41000003</v>
          </cell>
          <cell r="T356">
            <v>328011375.69099998</v>
          </cell>
          <cell r="U356">
            <v>320904866.70999998</v>
          </cell>
          <cell r="V356">
            <v>314448636.39300001</v>
          </cell>
          <cell r="W356">
            <v>311677498.065</v>
          </cell>
          <cell r="X356">
            <v>309246483.12300003</v>
          </cell>
          <cell r="Y356">
            <v>306498004.19999999</v>
          </cell>
          <cell r="Z356">
            <v>303989447.97299999</v>
          </cell>
          <cell r="AA356">
            <v>301708161.34399998</v>
          </cell>
          <cell r="AB356">
            <v>299024010.60900003</v>
          </cell>
          <cell r="AC356">
            <v>296390008.05299997</v>
          </cell>
        </row>
        <row r="357">
          <cell r="A357" t="str">
            <v>Energy expenditures Single-family - Privately rented - C5 (euro)</v>
          </cell>
          <cell r="C357">
            <v>383192280.13499999</v>
          </cell>
          <cell r="D357">
            <v>380692385.15100002</v>
          </cell>
          <cell r="E357">
            <v>365492208.35100001</v>
          </cell>
          <cell r="F357">
            <v>358991627.19499999</v>
          </cell>
          <cell r="G357">
            <v>347540814.84500003</v>
          </cell>
          <cell r="H357">
            <v>337649126.68099999</v>
          </cell>
          <cell r="I357">
            <v>328894463.44499999</v>
          </cell>
          <cell r="J357">
            <v>319776301.68900001</v>
          </cell>
          <cell r="K357">
            <v>311911698.58499998</v>
          </cell>
          <cell r="L357">
            <v>304832489.25400001</v>
          </cell>
          <cell r="M357">
            <v>298289899.292</v>
          </cell>
          <cell r="N357">
            <v>292236829.23400003</v>
          </cell>
          <cell r="O357">
            <v>287276710.32700002</v>
          </cell>
          <cell r="P357">
            <v>280339854.88499999</v>
          </cell>
          <cell r="Q357">
            <v>274195054.92000002</v>
          </cell>
          <cell r="R357">
            <v>268275529.80899999</v>
          </cell>
          <cell r="S357">
            <v>309051231.61299998</v>
          </cell>
          <cell r="T357">
            <v>255983257.92300001</v>
          </cell>
          <cell r="U357">
            <v>250660373.32800001</v>
          </cell>
          <cell r="V357">
            <v>245843584.34200001</v>
          </cell>
          <cell r="W357">
            <v>243709663.35499999</v>
          </cell>
          <cell r="X357">
            <v>241852955.31099999</v>
          </cell>
          <cell r="Y357">
            <v>239692968.09999999</v>
          </cell>
          <cell r="Z357">
            <v>237732261.15599999</v>
          </cell>
          <cell r="AA357">
            <v>235940980.41999999</v>
          </cell>
          <cell r="AB357">
            <v>233850162.52900001</v>
          </cell>
          <cell r="AC357">
            <v>231791594.632</v>
          </cell>
        </row>
        <row r="358">
          <cell r="A358" t="str">
            <v>Energy expenditures Single-family - Social-housing - C1 (euro)</v>
          </cell>
          <cell r="C358">
            <v>208587570.93700001</v>
          </cell>
          <cell r="D358">
            <v>207377593.35699999</v>
          </cell>
          <cell r="E358">
            <v>202248174.53200001</v>
          </cell>
          <cell r="F358">
            <v>201214876.98100001</v>
          </cell>
          <cell r="G358">
            <v>196530997.63999999</v>
          </cell>
          <cell r="H358">
            <v>192750223.57499999</v>
          </cell>
          <cell r="I358">
            <v>188558431.59099999</v>
          </cell>
          <cell r="J358">
            <v>184912574.59599999</v>
          </cell>
          <cell r="K358">
            <v>180827136.00799999</v>
          </cell>
          <cell r="L358">
            <v>176186924.13800001</v>
          </cell>
          <cell r="M358">
            <v>171553778.016</v>
          </cell>
          <cell r="N358">
            <v>167807015.528</v>
          </cell>
          <cell r="O358">
            <v>163949547.671</v>
          </cell>
          <cell r="P358">
            <v>160291161.55599999</v>
          </cell>
          <cell r="Q358">
            <v>156863015.873</v>
          </cell>
          <cell r="R358">
            <v>153497925.66299999</v>
          </cell>
          <cell r="S358">
            <v>193560202.01699999</v>
          </cell>
          <cell r="T358">
            <v>145691467.71200001</v>
          </cell>
          <cell r="U358">
            <v>142387945.118</v>
          </cell>
          <cell r="V358">
            <v>139996847.66800001</v>
          </cell>
          <cell r="W358">
            <v>138826252.24700001</v>
          </cell>
          <cell r="X358">
            <v>137788937.07699999</v>
          </cell>
          <cell r="Y358">
            <v>136298602.14399999</v>
          </cell>
          <cell r="Z358">
            <v>134897874.37099999</v>
          </cell>
          <cell r="AA358">
            <v>133533858.41500001</v>
          </cell>
          <cell r="AB358">
            <v>132102431.51800001</v>
          </cell>
          <cell r="AC358">
            <v>130657612.993</v>
          </cell>
        </row>
        <row r="359">
          <cell r="A359" t="str">
            <v>Energy expenditures Single-family - Social-housing - C2 (euro)</v>
          </cell>
          <cell r="C359">
            <v>237412410.31999999</v>
          </cell>
          <cell r="D359">
            <v>236891545.116</v>
          </cell>
          <cell r="E359">
            <v>231962587.05899999</v>
          </cell>
          <cell r="F359">
            <v>231596432.993</v>
          </cell>
          <cell r="G359">
            <v>226693146.477</v>
          </cell>
          <cell r="H359">
            <v>222620620.95899999</v>
          </cell>
          <cell r="I359">
            <v>218078820.648</v>
          </cell>
          <cell r="J359">
            <v>214165905.565</v>
          </cell>
          <cell r="K359">
            <v>209785576.89199999</v>
          </cell>
          <cell r="L359">
            <v>204809824.75299999</v>
          </cell>
          <cell r="M359">
            <v>199688514.433</v>
          </cell>
          <cell r="N359">
            <v>195304770.89399999</v>
          </cell>
          <cell r="O359">
            <v>190800457.91999999</v>
          </cell>
          <cell r="P359">
            <v>186512158.19299999</v>
          </cell>
          <cell r="Q359">
            <v>182492987.49200001</v>
          </cell>
          <cell r="R359">
            <v>178535799.79800001</v>
          </cell>
          <cell r="S359">
            <v>223949184.17699999</v>
          </cell>
          <cell r="T359">
            <v>169398643.803</v>
          </cell>
          <cell r="U359">
            <v>165521796.38699999</v>
          </cell>
          <cell r="V359">
            <v>162696857.551</v>
          </cell>
          <cell r="W359">
            <v>161370470.058</v>
          </cell>
          <cell r="X359">
            <v>160192093.22799999</v>
          </cell>
          <cell r="Y359">
            <v>158506402.96399999</v>
          </cell>
          <cell r="Z359">
            <v>156918283.405</v>
          </cell>
          <cell r="AA359">
            <v>155375859.933</v>
          </cell>
          <cell r="AB359">
            <v>153722789.912</v>
          </cell>
          <cell r="AC359">
            <v>152056421.01300001</v>
          </cell>
        </row>
        <row r="360">
          <cell r="A360" t="str">
            <v>Energy expenditures Single-family - Social-housing - C3 (euro)</v>
          </cell>
          <cell r="C360">
            <v>143680975.43599999</v>
          </cell>
          <cell r="D360">
            <v>142648762.55700001</v>
          </cell>
          <cell r="E360">
            <v>138667778.979</v>
          </cell>
          <cell r="F360">
            <v>137484481.296</v>
          </cell>
          <cell r="G360">
            <v>134076008.479</v>
          </cell>
          <cell r="H360">
            <v>131404190.384</v>
          </cell>
          <cell r="I360">
            <v>128445812.403</v>
          </cell>
          <cell r="J360">
            <v>125851165.561</v>
          </cell>
          <cell r="K360">
            <v>122933836.531</v>
          </cell>
          <cell r="L360">
            <v>119613345.07099999</v>
          </cell>
          <cell r="M360">
            <v>116408316.632</v>
          </cell>
          <cell r="N360">
            <v>113979120.02599999</v>
          </cell>
          <cell r="O360">
            <v>111480424.973</v>
          </cell>
          <cell r="P360">
            <v>109096646.921</v>
          </cell>
          <cell r="Q360">
            <v>106859902.604</v>
          </cell>
          <cell r="R360">
            <v>104648244.51000001</v>
          </cell>
          <cell r="S360">
            <v>132494617.487</v>
          </cell>
          <cell r="T360">
            <v>99493278.011000007</v>
          </cell>
          <cell r="U360">
            <v>97274527.494000003</v>
          </cell>
          <cell r="V360">
            <v>95640292.465000004</v>
          </cell>
          <cell r="W360">
            <v>94837527.450000003</v>
          </cell>
          <cell r="X360">
            <v>94124786.952999994</v>
          </cell>
          <cell r="Y360">
            <v>93097436.422000006</v>
          </cell>
          <cell r="Z360">
            <v>92130606.835999995</v>
          </cell>
          <cell r="AA360">
            <v>91188714.091000006</v>
          </cell>
          <cell r="AB360">
            <v>90215692.880999997</v>
          </cell>
          <cell r="AC360">
            <v>89233768.834999993</v>
          </cell>
        </row>
        <row r="361">
          <cell r="A361" t="str">
            <v>Energy expenditures Single-family - Social-housing - C4 (euro)</v>
          </cell>
          <cell r="C361">
            <v>60608133.049000002</v>
          </cell>
          <cell r="D361">
            <v>60136368.674999997</v>
          </cell>
          <cell r="E361">
            <v>58527652.097000003</v>
          </cell>
          <cell r="F361">
            <v>58107920.824000001</v>
          </cell>
          <cell r="G361">
            <v>56755084.784000002</v>
          </cell>
          <cell r="H361">
            <v>55749769.561999999</v>
          </cell>
          <cell r="I361">
            <v>54626306.592</v>
          </cell>
          <cell r="J361">
            <v>53668464.859999999</v>
          </cell>
          <cell r="K361">
            <v>52593428.740999997</v>
          </cell>
          <cell r="L361">
            <v>51371605.089000002</v>
          </cell>
          <cell r="M361">
            <v>50118571.112999998</v>
          </cell>
          <cell r="N361">
            <v>49047681.292999998</v>
          </cell>
          <cell r="O361">
            <v>47945965.420999996</v>
          </cell>
          <cell r="P361">
            <v>46899917.725000001</v>
          </cell>
          <cell r="Q361">
            <v>45920195.941</v>
          </cell>
          <cell r="R361">
            <v>44957848.950999998</v>
          </cell>
          <cell r="S361">
            <v>56829375.358000003</v>
          </cell>
          <cell r="T361">
            <v>42725647.092</v>
          </cell>
          <cell r="U361">
            <v>41776937.218999997</v>
          </cell>
          <cell r="V361">
            <v>41092329.197999999</v>
          </cell>
          <cell r="W361">
            <v>40760906.906999998</v>
          </cell>
          <cell r="X361">
            <v>40468400.706</v>
          </cell>
          <cell r="Y361">
            <v>40041758.700000003</v>
          </cell>
          <cell r="Z361">
            <v>39641297.506999999</v>
          </cell>
          <cell r="AA361">
            <v>39251616.141000003</v>
          </cell>
          <cell r="AB361">
            <v>38832259.413999997</v>
          </cell>
          <cell r="AC361">
            <v>38408426.347000003</v>
          </cell>
        </row>
        <row r="362">
          <cell r="A362" t="str">
            <v>Energy expenditures Single-family - Social-housing - C5 (euro)</v>
          </cell>
          <cell r="C362">
            <v>16248018.123</v>
          </cell>
          <cell r="D362">
            <v>16136989.583000001</v>
          </cell>
          <cell r="E362">
            <v>15811183.271</v>
          </cell>
          <cell r="F362">
            <v>15841253.703</v>
          </cell>
          <cell r="G362">
            <v>15509286.017000001</v>
          </cell>
          <cell r="H362">
            <v>15198183.165999999</v>
          </cell>
          <cell r="I362">
            <v>14856668.557</v>
          </cell>
          <cell r="J362">
            <v>14557984.347999999</v>
          </cell>
          <cell r="K362">
            <v>14228376.134</v>
          </cell>
          <cell r="L362">
            <v>13863901.205</v>
          </cell>
          <cell r="M362">
            <v>13508305.336999999</v>
          </cell>
          <cell r="N362">
            <v>13209400.477</v>
          </cell>
          <cell r="O362">
            <v>12899323.414000001</v>
          </cell>
          <cell r="P362">
            <v>12604549.463</v>
          </cell>
          <cell r="Q362">
            <v>12327977.367000001</v>
          </cell>
          <cell r="R362">
            <v>12055927.528000001</v>
          </cell>
          <cell r="S362">
            <v>14990598.868000001</v>
          </cell>
          <cell r="T362">
            <v>11421151.488</v>
          </cell>
          <cell r="U362">
            <v>11156647.647</v>
          </cell>
          <cell r="V362">
            <v>10964769.142999999</v>
          </cell>
          <cell r="W362">
            <v>10874864.988</v>
          </cell>
          <cell r="X362">
            <v>10794615.177999999</v>
          </cell>
          <cell r="Y362">
            <v>10681501.513</v>
          </cell>
          <cell r="Z362">
            <v>10574599.82</v>
          </cell>
          <cell r="AA362">
            <v>10470613.789000001</v>
          </cell>
          <cell r="AB362">
            <v>10360140.564999999</v>
          </cell>
          <cell r="AC362">
            <v>10248778.222999999</v>
          </cell>
        </row>
        <row r="363">
          <cell r="A363" t="str">
            <v>Energy expenditures standard Multi-family - Owner-occupied - C1 (euro)</v>
          </cell>
          <cell r="C363">
            <v>582701862.28799999</v>
          </cell>
          <cell r="D363">
            <v>587624873.33800006</v>
          </cell>
          <cell r="E363">
            <v>579289045.73099995</v>
          </cell>
          <cell r="F363">
            <v>584999240.53199995</v>
          </cell>
          <cell r="G363">
            <v>570350119.35500002</v>
          </cell>
          <cell r="H363">
            <v>554395038.79999995</v>
          </cell>
          <cell r="I363">
            <v>535130082.21499997</v>
          </cell>
          <cell r="J363">
            <v>520926819.79699999</v>
          </cell>
          <cell r="K363">
            <v>504702869.85299999</v>
          </cell>
          <cell r="L363">
            <v>488458827.04000002</v>
          </cell>
          <cell r="M363">
            <v>472410121.81900001</v>
          </cell>
          <cell r="N363">
            <v>456895312.421</v>
          </cell>
          <cell r="O363">
            <v>439224574.89600003</v>
          </cell>
          <cell r="P363">
            <v>422730740.009</v>
          </cell>
          <cell r="Q363">
            <v>407402398.12199998</v>
          </cell>
          <cell r="R363">
            <v>392570393.125</v>
          </cell>
          <cell r="S363">
            <v>491276005.56800002</v>
          </cell>
          <cell r="T363">
            <v>355634676.56199998</v>
          </cell>
          <cell r="U363">
            <v>337486033.97399998</v>
          </cell>
          <cell r="V363">
            <v>320146100.24599999</v>
          </cell>
          <cell r="W363">
            <v>306190933.02999997</v>
          </cell>
          <cell r="X363">
            <v>292669563.57800001</v>
          </cell>
          <cell r="Y363">
            <v>278715606.227</v>
          </cell>
          <cell r="Z363">
            <v>265249786.28299999</v>
          </cell>
          <cell r="AA363">
            <v>252221312.76899999</v>
          </cell>
          <cell r="AB363">
            <v>248279734.86500001</v>
          </cell>
          <cell r="AC363">
            <v>244385076.31</v>
          </cell>
        </row>
        <row r="364">
          <cell r="A364" t="str">
            <v>Energy expenditures standard Multi-family - Owner-occupied - C2 (euro)</v>
          </cell>
          <cell r="C364">
            <v>687566464.55200005</v>
          </cell>
          <cell r="D364">
            <v>689952986.09000003</v>
          </cell>
          <cell r="E364">
            <v>678366524.12699997</v>
          </cell>
          <cell r="F364">
            <v>684852071.40499997</v>
          </cell>
          <cell r="G364">
            <v>666314049.15999997</v>
          </cell>
          <cell r="H364">
            <v>646320721.58800006</v>
          </cell>
          <cell r="I364">
            <v>623724884.89600003</v>
          </cell>
          <cell r="J364">
            <v>607018295.33200002</v>
          </cell>
          <cell r="K364">
            <v>588136502.09599996</v>
          </cell>
          <cell r="L364">
            <v>569197753.90999997</v>
          </cell>
          <cell r="M364">
            <v>550467471.523</v>
          </cell>
          <cell r="N364">
            <v>532392531.22100002</v>
          </cell>
          <cell r="O364">
            <v>511721556.45300001</v>
          </cell>
          <cell r="P364">
            <v>492519919.58700001</v>
          </cell>
          <cell r="Q364">
            <v>474617364.89300001</v>
          </cell>
          <cell r="R364">
            <v>457630520.87900001</v>
          </cell>
          <cell r="S364">
            <v>573988699.88600004</v>
          </cell>
          <cell r="T364">
            <v>415159660.41500002</v>
          </cell>
          <cell r="U364">
            <v>395712984.32200003</v>
          </cell>
          <cell r="V364">
            <v>377436419.78200001</v>
          </cell>
          <cell r="W364">
            <v>363078323.11299998</v>
          </cell>
          <cell r="X364">
            <v>349435879.417</v>
          </cell>
          <cell r="Y364">
            <v>335327068.18000001</v>
          </cell>
          <cell r="Z364">
            <v>321931275.66399997</v>
          </cell>
          <cell r="AA364">
            <v>309155390.486</v>
          </cell>
          <cell r="AB364">
            <v>304214688.55000001</v>
          </cell>
          <cell r="AC364">
            <v>299372925.79500002</v>
          </cell>
        </row>
        <row r="365">
          <cell r="A365" t="str">
            <v>Energy expenditures standard Multi-family - Owner-occupied - C3 (euro)</v>
          </cell>
          <cell r="C365">
            <v>945661615.37199998</v>
          </cell>
          <cell r="D365">
            <v>943695153.64900005</v>
          </cell>
          <cell r="E365">
            <v>923246937.33299994</v>
          </cell>
          <cell r="F365">
            <v>927249038.63199997</v>
          </cell>
          <cell r="G365">
            <v>898139295.14400005</v>
          </cell>
          <cell r="H365">
            <v>866769468.63900006</v>
          </cell>
          <cell r="I365">
            <v>832840124.68900001</v>
          </cell>
          <cell r="J365">
            <v>807007730.14300001</v>
          </cell>
          <cell r="K365">
            <v>779156496.421</v>
          </cell>
          <cell r="L365">
            <v>751697387.04700005</v>
          </cell>
          <cell r="M365">
            <v>724935130.17299998</v>
          </cell>
          <cell r="N365">
            <v>699426930.11399996</v>
          </cell>
          <cell r="O365">
            <v>671285869.73899996</v>
          </cell>
          <cell r="P365">
            <v>645362628.16499996</v>
          </cell>
          <cell r="Q365">
            <v>621031079.59800005</v>
          </cell>
          <cell r="R365">
            <v>598379573.98500001</v>
          </cell>
          <cell r="S365">
            <v>726146285.16400003</v>
          </cell>
          <cell r="T365">
            <v>537053775.11899996</v>
          </cell>
          <cell r="U365">
            <v>513940768.97799999</v>
          </cell>
          <cell r="V365">
            <v>492516596.19999999</v>
          </cell>
          <cell r="W365">
            <v>476435823.37400001</v>
          </cell>
          <cell r="X365">
            <v>461376810.55000001</v>
          </cell>
          <cell r="Y365">
            <v>445868553.59399998</v>
          </cell>
          <cell r="Z365">
            <v>431283439.91000003</v>
          </cell>
          <cell r="AA365">
            <v>417509616.102</v>
          </cell>
          <cell r="AB365">
            <v>410788736.66900003</v>
          </cell>
          <cell r="AC365">
            <v>404233591.00800002</v>
          </cell>
        </row>
        <row r="366">
          <cell r="A366" t="str">
            <v>Energy expenditures standard Multi-family - Owner-occupied - C4 (euro)</v>
          </cell>
          <cell r="C366">
            <v>1230911412.7720001</v>
          </cell>
          <cell r="D366">
            <v>1229427173.77</v>
          </cell>
          <cell r="E366">
            <v>1205005902.0599999</v>
          </cell>
          <cell r="F366">
            <v>1214062113.0710001</v>
          </cell>
          <cell r="G366">
            <v>1178228569.5610001</v>
          </cell>
          <cell r="H366">
            <v>1139202100.3770001</v>
          </cell>
          <cell r="I366">
            <v>1095927461.5610001</v>
          </cell>
          <cell r="J366">
            <v>1063555998.575</v>
          </cell>
          <cell r="K366">
            <v>1028086847.233</v>
          </cell>
          <cell r="L366">
            <v>992989335.35599995</v>
          </cell>
          <cell r="M366">
            <v>958699172.61800003</v>
          </cell>
          <cell r="N366">
            <v>925987871.81599998</v>
          </cell>
          <cell r="O366">
            <v>889315986.58599997</v>
          </cell>
          <cell r="P366">
            <v>855549728.68499994</v>
          </cell>
          <cell r="Q366">
            <v>823808171.92799997</v>
          </cell>
          <cell r="R366">
            <v>794260393.11800003</v>
          </cell>
          <cell r="S366">
            <v>979410250.26800001</v>
          </cell>
          <cell r="T366">
            <v>713930315.76300001</v>
          </cell>
          <cell r="U366">
            <v>683210876.10899997</v>
          </cell>
          <cell r="V366">
            <v>654659474.59300005</v>
          </cell>
          <cell r="W366">
            <v>632767090.99199998</v>
          </cell>
          <cell r="X366">
            <v>612218904.31900001</v>
          </cell>
          <cell r="Y366">
            <v>590878103.61899996</v>
          </cell>
          <cell r="Z366">
            <v>570763654.55299997</v>
          </cell>
          <cell r="AA366">
            <v>551696351.17299998</v>
          </cell>
          <cell r="AB366">
            <v>542834928.10699999</v>
          </cell>
          <cell r="AC366">
            <v>534191832.838</v>
          </cell>
        </row>
        <row r="367">
          <cell r="A367" t="str">
            <v>Energy expenditures standard Multi-family - Owner-occupied - C5 (euro)</v>
          </cell>
          <cell r="C367">
            <v>1867007164.372</v>
          </cell>
          <cell r="D367">
            <v>1854230849.586</v>
          </cell>
          <cell r="E367">
            <v>1810751354.6530001</v>
          </cell>
          <cell r="F367">
            <v>1820007544.559</v>
          </cell>
          <cell r="G367">
            <v>1760567043.0020001</v>
          </cell>
          <cell r="H367">
            <v>1694675517.2309999</v>
          </cell>
          <cell r="I367">
            <v>1623371079.04</v>
          </cell>
          <cell r="J367">
            <v>1569670287.664</v>
          </cell>
          <cell r="K367">
            <v>1512311680.346</v>
          </cell>
          <cell r="L367">
            <v>1456344133.1359999</v>
          </cell>
          <cell r="M367">
            <v>1402331539.842</v>
          </cell>
          <cell r="N367">
            <v>1351323703.891</v>
          </cell>
          <cell r="O367">
            <v>1294740783.3269999</v>
          </cell>
          <cell r="P367">
            <v>1243126073.779</v>
          </cell>
          <cell r="Q367">
            <v>1194061664.98</v>
          </cell>
          <cell r="R367">
            <v>1149053411.8759999</v>
          </cell>
          <cell r="S367">
            <v>1365570918.8970001</v>
          </cell>
          <cell r="T367">
            <v>1009700889.404</v>
          </cell>
          <cell r="U367">
            <v>967847100.69200003</v>
          </cell>
          <cell r="V367">
            <v>928938415.63699996</v>
          </cell>
          <cell r="W367">
            <v>898796311.78600001</v>
          </cell>
          <cell r="X367">
            <v>870486382.21899998</v>
          </cell>
          <cell r="Y367">
            <v>841105981.74300003</v>
          </cell>
          <cell r="Z367">
            <v>813316532.78100002</v>
          </cell>
          <cell r="AA367">
            <v>786927277.62600005</v>
          </cell>
          <cell r="AB367">
            <v>774120403.36699998</v>
          </cell>
          <cell r="AC367">
            <v>761512325.546</v>
          </cell>
        </row>
        <row r="368">
          <cell r="A368" t="str">
            <v>Energy expenditures standard Multi-family - Privately rented - C1 (euro)</v>
          </cell>
          <cell r="C368">
            <v>1507915869.5829999</v>
          </cell>
          <cell r="D368">
            <v>1504719182.9949999</v>
          </cell>
          <cell r="E368">
            <v>1449757101.447</v>
          </cell>
          <cell r="F368">
            <v>1432120730.723</v>
          </cell>
          <cell r="G368">
            <v>1381221768.312</v>
          </cell>
          <cell r="H368">
            <v>1331748301.1949999</v>
          </cell>
          <cell r="I368">
            <v>1281477901.5320001</v>
          </cell>
          <cell r="J368">
            <v>1211270895.0739999</v>
          </cell>
          <cell r="K368">
            <v>1147060562.5350001</v>
          </cell>
          <cell r="L368">
            <v>1091835852.154</v>
          </cell>
          <cell r="M368">
            <v>1044283811.575</v>
          </cell>
          <cell r="N368">
            <v>1003449263.1059999</v>
          </cell>
          <cell r="O368">
            <v>967713999.43799996</v>
          </cell>
          <cell r="P368">
            <v>916057770.278</v>
          </cell>
          <cell r="Q368">
            <v>872127308.44799995</v>
          </cell>
          <cell r="R368">
            <v>833080075.5</v>
          </cell>
          <cell r="S368">
            <v>977863945.74000001</v>
          </cell>
          <cell r="T368">
            <v>762198122.65199995</v>
          </cell>
          <cell r="U368">
            <v>733033196.10399997</v>
          </cell>
          <cell r="V368">
            <v>707147773.35099995</v>
          </cell>
          <cell r="W368">
            <v>692128510.87</v>
          </cell>
          <cell r="X368">
            <v>678807266.28999996</v>
          </cell>
          <cell r="Y368">
            <v>665955131.37</v>
          </cell>
          <cell r="Z368">
            <v>654233569.48099995</v>
          </cell>
          <cell r="AA368">
            <v>643858190.03400004</v>
          </cell>
          <cell r="AB368">
            <v>634202551.59099996</v>
          </cell>
          <cell r="AC368">
            <v>625427603.42299998</v>
          </cell>
        </row>
        <row r="369">
          <cell r="A369" t="str">
            <v>Energy expenditures standard Multi-family - Privately rented - C2 (euro)</v>
          </cell>
          <cell r="C369">
            <v>1170164419.5239999</v>
          </cell>
          <cell r="D369">
            <v>1174154484.2639999</v>
          </cell>
          <cell r="E369">
            <v>1138829512.9790001</v>
          </cell>
          <cell r="F369">
            <v>1131801359.9790001</v>
          </cell>
          <cell r="G369">
            <v>1096315643.119</v>
          </cell>
          <cell r="H369">
            <v>1060680565.298</v>
          </cell>
          <cell r="I369">
            <v>1023291591.459</v>
          </cell>
          <cell r="J369">
            <v>972806158.97000003</v>
          </cell>
          <cell r="K369">
            <v>925609859.26800001</v>
          </cell>
          <cell r="L369">
            <v>884554593.29900002</v>
          </cell>
          <cell r="M369">
            <v>848833724.84899998</v>
          </cell>
          <cell r="N369">
            <v>817882379.66799998</v>
          </cell>
          <cell r="O369">
            <v>790427925.34899998</v>
          </cell>
          <cell r="P369">
            <v>749670685.42900002</v>
          </cell>
          <cell r="Q369">
            <v>714904762.51999998</v>
          </cell>
          <cell r="R369">
            <v>683909462.21800005</v>
          </cell>
          <cell r="S369">
            <v>812807947.20000005</v>
          </cell>
          <cell r="T369">
            <v>627417021.41799998</v>
          </cell>
          <cell r="U369">
            <v>603992378.99199998</v>
          </cell>
          <cell r="V369">
            <v>583154592.96399999</v>
          </cell>
          <cell r="W369">
            <v>571214198.19000006</v>
          </cell>
          <cell r="X369">
            <v>560599277.60000002</v>
          </cell>
          <cell r="Y369">
            <v>550197064.76900005</v>
          </cell>
          <cell r="Z369">
            <v>540671973.52999997</v>
          </cell>
          <cell r="AA369">
            <v>532207715.98799998</v>
          </cell>
          <cell r="AB369">
            <v>524214469.31599998</v>
          </cell>
          <cell r="AC369">
            <v>516940695.21200001</v>
          </cell>
        </row>
        <row r="370">
          <cell r="A370" t="str">
            <v>Energy expenditures standard Multi-family - Privately rented - C3 (euro)</v>
          </cell>
          <cell r="C370">
            <v>1003477676.02</v>
          </cell>
          <cell r="D370">
            <v>1008619164.613</v>
          </cell>
          <cell r="E370">
            <v>980122874.71800005</v>
          </cell>
          <cell r="F370">
            <v>977048929.92200005</v>
          </cell>
          <cell r="G370">
            <v>947686309.55900002</v>
          </cell>
          <cell r="H370">
            <v>917892136.16100001</v>
          </cell>
          <cell r="I370">
            <v>886263360.62199998</v>
          </cell>
          <cell r="J370">
            <v>842818059.20299995</v>
          </cell>
          <cell r="K370">
            <v>802213105.87800002</v>
          </cell>
          <cell r="L370">
            <v>767010648.66799998</v>
          </cell>
          <cell r="M370">
            <v>736503809.81900001</v>
          </cell>
          <cell r="N370">
            <v>710219998.66199994</v>
          </cell>
          <cell r="O370">
            <v>686978830.17200005</v>
          </cell>
          <cell r="P370">
            <v>652709676.04200006</v>
          </cell>
          <cell r="Q370">
            <v>623561756.625</v>
          </cell>
          <cell r="R370">
            <v>597720601.23800004</v>
          </cell>
          <cell r="S370">
            <v>723003654.245</v>
          </cell>
          <cell r="T370">
            <v>550572746.91999996</v>
          </cell>
          <cell r="U370">
            <v>530997821.17500001</v>
          </cell>
          <cell r="V370">
            <v>513623796.37400001</v>
          </cell>
          <cell r="W370">
            <v>503518763.58999997</v>
          </cell>
          <cell r="X370">
            <v>494568705.91299999</v>
          </cell>
          <cell r="Y370">
            <v>485623636.074</v>
          </cell>
          <cell r="Z370">
            <v>477439945.204</v>
          </cell>
          <cell r="AA370">
            <v>470142322.14899999</v>
          </cell>
          <cell r="AB370">
            <v>463275359.90100002</v>
          </cell>
          <cell r="AC370">
            <v>457018977.09600002</v>
          </cell>
        </row>
        <row r="371">
          <cell r="A371" t="str">
            <v>Energy expenditures standard Multi-family - Privately rented - C4 (euro)</v>
          </cell>
          <cell r="C371">
            <v>872218115.45500004</v>
          </cell>
          <cell r="D371">
            <v>874444864.75999999</v>
          </cell>
          <cell r="E371">
            <v>848444394.00600004</v>
          </cell>
          <cell r="F371">
            <v>846485471.74899995</v>
          </cell>
          <cell r="G371">
            <v>820330551.93799996</v>
          </cell>
          <cell r="H371">
            <v>794019630.08700001</v>
          </cell>
          <cell r="I371">
            <v>766279758.54799998</v>
          </cell>
          <cell r="J371">
            <v>726339213.25899994</v>
          </cell>
          <cell r="K371">
            <v>689440601.36000001</v>
          </cell>
          <cell r="L371">
            <v>657724964.61300004</v>
          </cell>
          <cell r="M371">
            <v>630484154.84399998</v>
          </cell>
          <cell r="N371">
            <v>607253836.61199999</v>
          </cell>
          <cell r="O371">
            <v>586737467.16700006</v>
          </cell>
          <cell r="P371">
            <v>557123641.44799995</v>
          </cell>
          <cell r="Q371">
            <v>531861847.42000002</v>
          </cell>
          <cell r="R371">
            <v>509575907.296</v>
          </cell>
          <cell r="S371">
            <v>625087246.51699996</v>
          </cell>
          <cell r="T371">
            <v>468642051.79699999</v>
          </cell>
          <cell r="U371">
            <v>451836148.91000003</v>
          </cell>
          <cell r="V371">
            <v>436976101.97299999</v>
          </cell>
          <cell r="W371">
            <v>427981444.09899998</v>
          </cell>
          <cell r="X371">
            <v>420047123.79000002</v>
          </cell>
          <cell r="Y371">
            <v>412051297.71899998</v>
          </cell>
          <cell r="Z371">
            <v>404768724.52399999</v>
          </cell>
          <cell r="AA371">
            <v>398263291.68199998</v>
          </cell>
          <cell r="AB371">
            <v>392184558.17400002</v>
          </cell>
          <cell r="AC371">
            <v>386617130.96799999</v>
          </cell>
        </row>
        <row r="372">
          <cell r="A372" t="str">
            <v>Energy expenditures standard Multi-family - Privately rented - C5 (euro)</v>
          </cell>
          <cell r="C372">
            <v>740902656.33500004</v>
          </cell>
          <cell r="D372">
            <v>740778846.90199995</v>
          </cell>
          <cell r="E372">
            <v>716252862.20099998</v>
          </cell>
          <cell r="F372">
            <v>713565094.43099999</v>
          </cell>
          <cell r="G372">
            <v>689883909.949</v>
          </cell>
          <cell r="H372">
            <v>666441065.84800005</v>
          </cell>
          <cell r="I372">
            <v>642121368.13900006</v>
          </cell>
          <cell r="J372">
            <v>604145555.30499995</v>
          </cell>
          <cell r="K372">
            <v>569805639.74199998</v>
          </cell>
          <cell r="L372">
            <v>540661159.72899997</v>
          </cell>
          <cell r="M372">
            <v>515944170.986</v>
          </cell>
          <cell r="N372">
            <v>495133625.92299998</v>
          </cell>
          <cell r="O372">
            <v>477012638.19700003</v>
          </cell>
          <cell r="P372">
            <v>451650985.95499998</v>
          </cell>
          <cell r="Q372">
            <v>429940363.139</v>
          </cell>
          <cell r="R372">
            <v>410916776.50800002</v>
          </cell>
          <cell r="S372">
            <v>505507217.89300001</v>
          </cell>
          <cell r="T372">
            <v>375828613.89700001</v>
          </cell>
          <cell r="U372">
            <v>361695583.898</v>
          </cell>
          <cell r="V372">
            <v>349261711.40399998</v>
          </cell>
          <cell r="W372">
            <v>341371832.03600001</v>
          </cell>
          <cell r="X372">
            <v>334444007.76300001</v>
          </cell>
          <cell r="Y372">
            <v>327523853.03200001</v>
          </cell>
          <cell r="Z372">
            <v>321265213.64899999</v>
          </cell>
          <cell r="AA372">
            <v>315686262.40600002</v>
          </cell>
          <cell r="AB372">
            <v>310559596.56900001</v>
          </cell>
          <cell r="AC372">
            <v>305844096.53100002</v>
          </cell>
        </row>
        <row r="373">
          <cell r="A373" t="str">
            <v>Energy expenditures standard Multi-family - Social-housing - C1 (euro)</v>
          </cell>
          <cell r="C373">
            <v>1239407457.1459999</v>
          </cell>
          <cell r="D373">
            <v>1239250921.674</v>
          </cell>
          <cell r="E373">
            <v>1218636876.1199999</v>
          </cell>
          <cell r="F373">
            <v>1235450224.2839999</v>
          </cell>
          <cell r="G373">
            <v>1196988827.9089999</v>
          </cell>
          <cell r="H373">
            <v>1153937342.8150001</v>
          </cell>
          <cell r="I373">
            <v>1105257984.8369999</v>
          </cell>
          <cell r="J373">
            <v>1068496894.966</v>
          </cell>
          <cell r="K373">
            <v>1025954736.341</v>
          </cell>
          <cell r="L373">
            <v>983833595.51100004</v>
          </cell>
          <cell r="M373">
            <v>944157610.64199996</v>
          </cell>
          <cell r="N373">
            <v>908111973.097</v>
          </cell>
          <cell r="O373">
            <v>874671125.50300002</v>
          </cell>
          <cell r="P373">
            <v>848346254.72399998</v>
          </cell>
          <cell r="Q373">
            <v>824624702.50899994</v>
          </cell>
          <cell r="R373">
            <v>802149904.58399999</v>
          </cell>
          <cell r="S373">
            <v>1076182224.766</v>
          </cell>
          <cell r="T373">
            <v>756621463.94599998</v>
          </cell>
          <cell r="U373">
            <v>735688001.31200004</v>
          </cell>
          <cell r="V373">
            <v>719838343.33500004</v>
          </cell>
          <cell r="W373">
            <v>706333059.16799998</v>
          </cell>
          <cell r="X373">
            <v>694133575.53199995</v>
          </cell>
          <cell r="Y373">
            <v>680118948.89499998</v>
          </cell>
          <cell r="Z373">
            <v>667068343.44000006</v>
          </cell>
          <cell r="AA373">
            <v>654815576.847</v>
          </cell>
          <cell r="AB373">
            <v>642931629.96300006</v>
          </cell>
          <cell r="AC373">
            <v>631725371.90699995</v>
          </cell>
        </row>
        <row r="374">
          <cell r="A374" t="str">
            <v>Energy expenditures standard Multi-family - Social-housing - C2 (euro)</v>
          </cell>
          <cell r="C374">
            <v>841297053.45099998</v>
          </cell>
          <cell r="D374">
            <v>840349808.08800006</v>
          </cell>
          <cell r="E374">
            <v>825170916.83000004</v>
          </cell>
          <cell r="F374">
            <v>834766105.96500003</v>
          </cell>
          <cell r="G374">
            <v>808542377.02100003</v>
          </cell>
          <cell r="H374">
            <v>779580897.32599998</v>
          </cell>
          <cell r="I374">
            <v>746873509.88900006</v>
          </cell>
          <cell r="J374">
            <v>722141406.22000003</v>
          </cell>
          <cell r="K374">
            <v>693638339.39999998</v>
          </cell>
          <cell r="L374">
            <v>665747631.93700004</v>
          </cell>
          <cell r="M374">
            <v>640652959.73500001</v>
          </cell>
          <cell r="N374">
            <v>618083052.64199996</v>
          </cell>
          <cell r="O374">
            <v>597234675.40100002</v>
          </cell>
          <cell r="P374">
            <v>580733988.83399999</v>
          </cell>
          <cell r="Q374">
            <v>565729277.71899998</v>
          </cell>
          <cell r="R374">
            <v>551222546.66700006</v>
          </cell>
          <cell r="S374">
            <v>738877239.94599998</v>
          </cell>
          <cell r="T374">
            <v>521417067.70999998</v>
          </cell>
          <cell r="U374">
            <v>507370717.20499998</v>
          </cell>
          <cell r="V374">
            <v>496352929.102</v>
          </cell>
          <cell r="W374">
            <v>487127084.11699998</v>
          </cell>
          <cell r="X374">
            <v>478793606.92000002</v>
          </cell>
          <cell r="Y374">
            <v>469244010.54299998</v>
          </cell>
          <cell r="Z374">
            <v>460347457.51200002</v>
          </cell>
          <cell r="AA374">
            <v>452007923.005</v>
          </cell>
          <cell r="AB374">
            <v>443948158.03399998</v>
          </cell>
          <cell r="AC374">
            <v>436373588.24199998</v>
          </cell>
        </row>
        <row r="375">
          <cell r="A375" t="str">
            <v>Energy expenditures standard Multi-family - Social-housing - C3 (euro)</v>
          </cell>
          <cell r="C375">
            <v>507084601.19499999</v>
          </cell>
          <cell r="D375">
            <v>506837253.26899999</v>
          </cell>
          <cell r="E375">
            <v>497102225.542</v>
          </cell>
          <cell r="F375">
            <v>502126126.57800001</v>
          </cell>
          <cell r="G375">
            <v>486275872.47100002</v>
          </cell>
          <cell r="H375">
            <v>469039865.93000001</v>
          </cell>
          <cell r="I375">
            <v>449512412.40100002</v>
          </cell>
          <cell r="J375">
            <v>434828017.59100002</v>
          </cell>
          <cell r="K375">
            <v>417844295.24699998</v>
          </cell>
          <cell r="L375">
            <v>401031117.89700001</v>
          </cell>
          <cell r="M375">
            <v>385077189.76300001</v>
          </cell>
          <cell r="N375">
            <v>370495978.75700003</v>
          </cell>
          <cell r="O375">
            <v>357145522.10600001</v>
          </cell>
          <cell r="P375">
            <v>346593644.13099998</v>
          </cell>
          <cell r="Q375">
            <v>337072950.21200001</v>
          </cell>
          <cell r="R375">
            <v>327964793.09399998</v>
          </cell>
          <cell r="S375">
            <v>440100631.99400002</v>
          </cell>
          <cell r="T375">
            <v>309542984.73900002</v>
          </cell>
          <cell r="U375">
            <v>300966708.05699998</v>
          </cell>
          <cell r="V375">
            <v>294321324.861</v>
          </cell>
          <cell r="W375">
            <v>288841952.39600003</v>
          </cell>
          <cell r="X375">
            <v>283907248.52100003</v>
          </cell>
          <cell r="Y375">
            <v>278260814.80299997</v>
          </cell>
          <cell r="Z375">
            <v>273009580.78200001</v>
          </cell>
          <cell r="AA375">
            <v>268100481.167</v>
          </cell>
          <cell r="AB375">
            <v>263369579.92199999</v>
          </cell>
          <cell r="AC375">
            <v>258940220.25799999</v>
          </cell>
        </row>
        <row r="376">
          <cell r="A376" t="str">
            <v>Energy expenditures standard Multi-family - Social-housing - C4 (euro)</v>
          </cell>
          <cell r="C376">
            <v>246880906.60600001</v>
          </cell>
          <cell r="D376">
            <v>246241935.05599999</v>
          </cell>
          <cell r="E376">
            <v>241114798.984</v>
          </cell>
          <cell r="F376">
            <v>243060075.38800001</v>
          </cell>
          <cell r="G376">
            <v>235390121.80500001</v>
          </cell>
          <cell r="H376">
            <v>227249641.38600001</v>
          </cell>
          <cell r="I376">
            <v>218018130.199</v>
          </cell>
          <cell r="J376">
            <v>211118407.49900001</v>
          </cell>
          <cell r="K376">
            <v>203123410.252</v>
          </cell>
          <cell r="L376">
            <v>195215135.15099999</v>
          </cell>
          <cell r="M376">
            <v>187690187.70699999</v>
          </cell>
          <cell r="N376">
            <v>180824316.55899999</v>
          </cell>
          <cell r="O376">
            <v>174438690.64399999</v>
          </cell>
          <cell r="P376">
            <v>169384688.98500001</v>
          </cell>
          <cell r="Q376">
            <v>164831550.03400001</v>
          </cell>
          <cell r="R376">
            <v>160486392.98899999</v>
          </cell>
          <cell r="S376">
            <v>214454619.396</v>
          </cell>
          <cell r="T376">
            <v>151633316.48800001</v>
          </cell>
          <cell r="U376">
            <v>147515884.76199999</v>
          </cell>
          <cell r="V376">
            <v>144311555.787</v>
          </cell>
          <cell r="W376">
            <v>141689571.336</v>
          </cell>
          <cell r="X376">
            <v>139311168.29800001</v>
          </cell>
          <cell r="Y376">
            <v>136577570.98699999</v>
          </cell>
          <cell r="Z376">
            <v>134021797.969</v>
          </cell>
          <cell r="AA376">
            <v>131622104.778</v>
          </cell>
          <cell r="AB376">
            <v>129301701.318</v>
          </cell>
          <cell r="AC376">
            <v>127118115.323</v>
          </cell>
        </row>
        <row r="377">
          <cell r="A377" t="str">
            <v>Energy expenditures standard Multi-family - Social-housing - C5 (euro)</v>
          </cell>
          <cell r="C377">
            <v>98524802.088</v>
          </cell>
          <cell r="D377">
            <v>97493130.170000002</v>
          </cell>
          <cell r="E377">
            <v>94517091.194000006</v>
          </cell>
          <cell r="F377">
            <v>94060335.072999999</v>
          </cell>
          <cell r="G377">
            <v>90261342.361000001</v>
          </cell>
          <cell r="H377">
            <v>86410228.312999994</v>
          </cell>
          <cell r="I377">
            <v>82179490.883000001</v>
          </cell>
          <cell r="J377">
            <v>78746297.256999999</v>
          </cell>
          <cell r="K377">
            <v>74905868.101999998</v>
          </cell>
          <cell r="L377">
            <v>71138769.412</v>
          </cell>
          <cell r="M377">
            <v>67741214.275999993</v>
          </cell>
          <cell r="N377">
            <v>64701838.32</v>
          </cell>
          <cell r="O377">
            <v>61861684.623999998</v>
          </cell>
          <cell r="P377">
            <v>59599365.031999998</v>
          </cell>
          <cell r="Q377">
            <v>57594311.920000002</v>
          </cell>
          <cell r="R377">
            <v>55730892.239</v>
          </cell>
          <cell r="S377">
            <v>71683628.319999993</v>
          </cell>
          <cell r="T377">
            <v>52133724.103</v>
          </cell>
          <cell r="U377">
            <v>50529785.023999996</v>
          </cell>
          <cell r="V377">
            <v>49357576.159000002</v>
          </cell>
          <cell r="W377">
            <v>48460500.522</v>
          </cell>
          <cell r="X377">
            <v>47642986.825000003</v>
          </cell>
          <cell r="Y377">
            <v>46733375.675999999</v>
          </cell>
          <cell r="Z377">
            <v>45879824.588</v>
          </cell>
          <cell r="AA377">
            <v>45082994.604000002</v>
          </cell>
          <cell r="AB377">
            <v>44316438.976999998</v>
          </cell>
          <cell r="AC377">
            <v>43598667.523000002</v>
          </cell>
        </row>
        <row r="378">
          <cell r="A378" t="str">
            <v>Energy expenditures standard Single-family - Owner-occupied - C1 (euro)</v>
          </cell>
          <cell r="C378">
            <v>3266034314.5500002</v>
          </cell>
          <cell r="D378">
            <v>3265387712.0580001</v>
          </cell>
          <cell r="E378">
            <v>3131626804.5279999</v>
          </cell>
          <cell r="F378">
            <v>3048496242.8940001</v>
          </cell>
          <cell r="G378">
            <v>2879023893.974</v>
          </cell>
          <cell r="H378">
            <v>2715852647.0479999</v>
          </cell>
          <cell r="I378">
            <v>2550312859.9569998</v>
          </cell>
          <cell r="J378">
            <v>2417545608.0440001</v>
          </cell>
          <cell r="K378">
            <v>2298581752.5</v>
          </cell>
          <cell r="L378">
            <v>2189004700.6550002</v>
          </cell>
          <cell r="M378">
            <v>2086626149.599</v>
          </cell>
          <cell r="N378">
            <v>1991059873.872</v>
          </cell>
          <cell r="O378">
            <v>1921426992.648</v>
          </cell>
          <cell r="P378">
            <v>1856617395.5139999</v>
          </cell>
          <cell r="Q378">
            <v>1798176335.816</v>
          </cell>
          <cell r="R378">
            <v>1742625885.29</v>
          </cell>
          <cell r="S378">
            <v>2115480130.904</v>
          </cell>
          <cell r="T378">
            <v>1621635141.8150001</v>
          </cell>
          <cell r="U378">
            <v>1568196508.187</v>
          </cell>
          <cell r="V378">
            <v>1519977850.007</v>
          </cell>
          <cell r="W378">
            <v>1490745717.1630001</v>
          </cell>
          <cell r="X378">
            <v>1464418706.5810001</v>
          </cell>
          <cell r="Y378">
            <v>1435553506.9749999</v>
          </cell>
          <cell r="Z378">
            <v>1408910927.809</v>
          </cell>
          <cell r="AA378">
            <v>1383755723.707</v>
          </cell>
          <cell r="AB378">
            <v>1358523635.0580001</v>
          </cell>
          <cell r="AC378">
            <v>1333408323.809</v>
          </cell>
        </row>
        <row r="379">
          <cell r="A379" t="str">
            <v>Energy expenditures standard Single-family - Owner-occupied - C2 (euro)</v>
          </cell>
          <cell r="C379">
            <v>5006152090.9569998</v>
          </cell>
          <cell r="D379">
            <v>4991559056.757</v>
          </cell>
          <cell r="E379">
            <v>4820239946.9700003</v>
          </cell>
          <cell r="F379">
            <v>4745054504.3170004</v>
          </cell>
          <cell r="G379">
            <v>4515337260.9989996</v>
          </cell>
          <cell r="H379">
            <v>4289414981.2589998</v>
          </cell>
          <cell r="I379">
            <v>4064255346.8590002</v>
          </cell>
          <cell r="J379">
            <v>3879928447.2579999</v>
          </cell>
          <cell r="K379">
            <v>3710338735.7049999</v>
          </cell>
          <cell r="L379">
            <v>3550486956.0879998</v>
          </cell>
          <cell r="M379">
            <v>3398465739.9260001</v>
          </cell>
          <cell r="N379">
            <v>3254697716.7199998</v>
          </cell>
          <cell r="O379">
            <v>3148772220.0650001</v>
          </cell>
          <cell r="P379">
            <v>3048604530.9749999</v>
          </cell>
          <cell r="Q379">
            <v>2957530015.1939998</v>
          </cell>
          <cell r="R379">
            <v>2870368333.6900001</v>
          </cell>
          <cell r="S379">
            <v>3376938394.244</v>
          </cell>
          <cell r="T379">
            <v>2669537274.355</v>
          </cell>
          <cell r="U379">
            <v>2584806255.1989999</v>
          </cell>
          <cell r="V379">
            <v>2508826268.1030002</v>
          </cell>
          <cell r="W379">
            <v>2462540610.105</v>
          </cell>
          <cell r="X379">
            <v>2420722433.1329999</v>
          </cell>
          <cell r="Y379">
            <v>2375360064.723</v>
          </cell>
          <cell r="Z379">
            <v>2333742215.7639999</v>
          </cell>
          <cell r="AA379">
            <v>2294481570.5879998</v>
          </cell>
          <cell r="AB379">
            <v>2257492761.2210002</v>
          </cell>
          <cell r="AC379">
            <v>2219564561.1999998</v>
          </cell>
        </row>
        <row r="380">
          <cell r="A380" t="str">
            <v>Energy expenditures standard Single-family - Owner-occupied - C3 (euro)</v>
          </cell>
          <cell r="C380">
            <v>5925564053.1420002</v>
          </cell>
          <cell r="D380">
            <v>5839137271.7720003</v>
          </cell>
          <cell r="E380">
            <v>5563254760.1520004</v>
          </cell>
          <cell r="F380">
            <v>5426469056.1040001</v>
          </cell>
          <cell r="G380">
            <v>5167779884.3599997</v>
          </cell>
          <cell r="H380">
            <v>4915360358.7200003</v>
          </cell>
          <cell r="I380">
            <v>4675510328.1280003</v>
          </cell>
          <cell r="J380">
            <v>4487085545.3059998</v>
          </cell>
          <cell r="K380">
            <v>4316186394.4980001</v>
          </cell>
          <cell r="L380">
            <v>4154646892.3670001</v>
          </cell>
          <cell r="M380">
            <v>3998953368.428</v>
          </cell>
          <cell r="N380">
            <v>3849249466.8670001</v>
          </cell>
          <cell r="O380">
            <v>3738003275.3049998</v>
          </cell>
          <cell r="P380">
            <v>3631954108.4879999</v>
          </cell>
          <cell r="Q380">
            <v>3535104006.7179999</v>
          </cell>
          <cell r="R380">
            <v>3442209218.9310002</v>
          </cell>
          <cell r="S380">
            <v>4089801910.4320002</v>
          </cell>
          <cell r="T380">
            <v>3238842661.3239999</v>
          </cell>
          <cell r="U380">
            <v>3149569210.3179998</v>
          </cell>
          <cell r="V380">
            <v>3070197385.059</v>
          </cell>
          <cell r="W380">
            <v>3026646700.2059999</v>
          </cell>
          <cell r="X380">
            <v>2988084740.4819999</v>
          </cell>
          <cell r="Y380">
            <v>2944235239.8060002</v>
          </cell>
          <cell r="Z380">
            <v>2904692949.9260001</v>
          </cell>
          <cell r="AA380">
            <v>2867490608.5289998</v>
          </cell>
          <cell r="AB380">
            <v>2827215928.6550002</v>
          </cell>
          <cell r="AC380">
            <v>2786592651.987</v>
          </cell>
        </row>
        <row r="381">
          <cell r="A381" t="str">
            <v>Energy expenditures standard Single-family - Owner-occupied - C4 (euro)</v>
          </cell>
          <cell r="C381">
            <v>6601057254.6619997</v>
          </cell>
          <cell r="D381">
            <v>6541037272.1920004</v>
          </cell>
          <cell r="E381">
            <v>6278208408.5869999</v>
          </cell>
          <cell r="F381">
            <v>6169191572.8079996</v>
          </cell>
          <cell r="G381">
            <v>5906552107.8409996</v>
          </cell>
          <cell r="H381">
            <v>5647865239.8210001</v>
          </cell>
          <cell r="I381">
            <v>5398249345.2030001</v>
          </cell>
          <cell r="J381">
            <v>5196610235.9729996</v>
          </cell>
          <cell r="K381">
            <v>5008558671.8529997</v>
          </cell>
          <cell r="L381">
            <v>4828123091.2469997</v>
          </cell>
          <cell r="M381">
            <v>4653366577.7749996</v>
          </cell>
          <cell r="N381">
            <v>4485706936.9180002</v>
          </cell>
          <cell r="O381">
            <v>4356698839.2989998</v>
          </cell>
          <cell r="P381">
            <v>4233334965.0770001</v>
          </cell>
          <cell r="Q381">
            <v>4120351350.8540001</v>
          </cell>
          <cell r="R381">
            <v>4012046831.8080001</v>
          </cell>
          <cell r="S381">
            <v>4831701045.7720003</v>
          </cell>
          <cell r="T381">
            <v>3771750554.901</v>
          </cell>
          <cell r="U381">
            <v>3667423344.1500001</v>
          </cell>
          <cell r="V381">
            <v>3574478887.4330001</v>
          </cell>
          <cell r="W381">
            <v>3522099168.7509999</v>
          </cell>
          <cell r="X381">
            <v>3475495451.3010001</v>
          </cell>
          <cell r="Y381">
            <v>3421820085.0599999</v>
          </cell>
          <cell r="Z381">
            <v>3373198753.8569999</v>
          </cell>
          <cell r="AA381">
            <v>3327168171.3449998</v>
          </cell>
          <cell r="AB381">
            <v>3279363845.454</v>
          </cell>
          <cell r="AC381">
            <v>3230938414.2020001</v>
          </cell>
        </row>
        <row r="382">
          <cell r="A382" t="str">
            <v>Energy expenditures standard Single-family - Owner-occupied - C5 (euro)</v>
          </cell>
          <cell r="C382">
            <v>6677724440.9069996</v>
          </cell>
          <cell r="D382">
            <v>6580379157.5539999</v>
          </cell>
          <cell r="E382">
            <v>6313030971.1160002</v>
          </cell>
          <cell r="F382">
            <v>6233141310.0790005</v>
          </cell>
          <cell r="G382">
            <v>5981263932.1230001</v>
          </cell>
          <cell r="H382">
            <v>5723619343.1300001</v>
          </cell>
          <cell r="I382">
            <v>5482635690.9239998</v>
          </cell>
          <cell r="J382">
            <v>5294178599.5249996</v>
          </cell>
          <cell r="K382">
            <v>5118697538.6820002</v>
          </cell>
          <cell r="L382">
            <v>4948842813.9729996</v>
          </cell>
          <cell r="M382">
            <v>4782176257.1219997</v>
          </cell>
          <cell r="N382">
            <v>4620528064.2189999</v>
          </cell>
          <cell r="O382">
            <v>4497676410.908</v>
          </cell>
          <cell r="P382">
            <v>4379018843.6709995</v>
          </cell>
          <cell r="Q382">
            <v>4269441038.5050001</v>
          </cell>
          <cell r="R382">
            <v>4165361932.9260001</v>
          </cell>
          <cell r="S382">
            <v>5160245138.6199999</v>
          </cell>
          <cell r="T382">
            <v>3922703497.6129999</v>
          </cell>
          <cell r="U382">
            <v>3820463086.5219998</v>
          </cell>
          <cell r="V382">
            <v>3730325151.6479998</v>
          </cell>
          <cell r="W382">
            <v>3677900691.1100001</v>
          </cell>
          <cell r="X382">
            <v>3632047102.6929998</v>
          </cell>
          <cell r="Y382">
            <v>3576545975.757</v>
          </cell>
          <cell r="Z382">
            <v>3527025167.9050002</v>
          </cell>
          <cell r="AA382">
            <v>3479907088.4400001</v>
          </cell>
          <cell r="AB382">
            <v>3428450496.8590002</v>
          </cell>
          <cell r="AC382">
            <v>3376143670.9109998</v>
          </cell>
        </row>
        <row r="383">
          <cell r="A383" t="str">
            <v>Energy expenditures standard Single-family - Privately rented - C1 (euro)</v>
          </cell>
          <cell r="C383">
            <v>1016079549.544</v>
          </cell>
          <cell r="D383">
            <v>988972903.56599998</v>
          </cell>
          <cell r="E383">
            <v>911394489.75300002</v>
          </cell>
          <cell r="F383">
            <v>868176693.20700002</v>
          </cell>
          <cell r="G383">
            <v>815453348.778</v>
          </cell>
          <cell r="H383">
            <v>770957254.29100001</v>
          </cell>
          <cell r="I383">
            <v>733977893.22300005</v>
          </cell>
          <cell r="J383">
            <v>696838800.23099995</v>
          </cell>
          <cell r="K383">
            <v>665766446.76199996</v>
          </cell>
          <cell r="L383">
            <v>638806673.90799999</v>
          </cell>
          <cell r="M383">
            <v>614803634.046</v>
          </cell>
          <cell r="N383">
            <v>593234299.32500005</v>
          </cell>
          <cell r="O383">
            <v>576375624.08000004</v>
          </cell>
          <cell r="P383">
            <v>553106794.82599998</v>
          </cell>
          <cell r="Q383">
            <v>532708384.83600003</v>
          </cell>
          <cell r="R383">
            <v>513533558.33099997</v>
          </cell>
          <cell r="S383">
            <v>609987248.39699996</v>
          </cell>
          <cell r="T383">
            <v>476442050.48400003</v>
          </cell>
          <cell r="U383">
            <v>460685577.04400003</v>
          </cell>
          <cell r="V383">
            <v>446476320.824</v>
          </cell>
          <cell r="W383">
            <v>439023396.33600003</v>
          </cell>
          <cell r="X383">
            <v>432386501.90600002</v>
          </cell>
          <cell r="Y383">
            <v>425369941.33999997</v>
          </cell>
          <cell r="Z383">
            <v>418946322.62</v>
          </cell>
          <cell r="AA383">
            <v>413061344.14700001</v>
          </cell>
          <cell r="AB383">
            <v>406773999.12800002</v>
          </cell>
          <cell r="AC383">
            <v>400733625.37300003</v>
          </cell>
        </row>
        <row r="384">
          <cell r="A384" t="str">
            <v>Energy expenditures standard Single-family - Privately rented - C2 (euro)</v>
          </cell>
          <cell r="C384">
            <v>1061014841.8890001</v>
          </cell>
          <cell r="D384">
            <v>1046281262.661</v>
          </cell>
          <cell r="E384">
            <v>976271307.68599999</v>
          </cell>
          <cell r="F384">
            <v>938015254.82000005</v>
          </cell>
          <cell r="G384">
            <v>886848955.13199997</v>
          </cell>
          <cell r="H384">
            <v>842997988.48099995</v>
          </cell>
          <cell r="I384">
            <v>805516729.49600005</v>
          </cell>
          <cell r="J384">
            <v>766790683.27999997</v>
          </cell>
          <cell r="K384">
            <v>734010707.59399998</v>
          </cell>
          <cell r="L384">
            <v>705270189.28600001</v>
          </cell>
          <cell r="M384">
            <v>679451752.57200003</v>
          </cell>
          <cell r="N384">
            <v>656079375.91700006</v>
          </cell>
          <cell r="O384">
            <v>637609223.03299999</v>
          </cell>
          <cell r="P384">
            <v>613093006.50899994</v>
          </cell>
          <cell r="Q384">
            <v>591532000.92200005</v>
          </cell>
          <cell r="R384">
            <v>571030228.26600003</v>
          </cell>
          <cell r="S384">
            <v>679323310.81299996</v>
          </cell>
          <cell r="T384">
            <v>530950854.62800002</v>
          </cell>
          <cell r="U384">
            <v>513742150.58700001</v>
          </cell>
          <cell r="V384">
            <v>498134131.19700003</v>
          </cell>
          <cell r="W384">
            <v>490357854.583</v>
          </cell>
          <cell r="X384">
            <v>483389344.62099999</v>
          </cell>
          <cell r="Y384">
            <v>475949797.074</v>
          </cell>
          <cell r="Z384">
            <v>469090306.86699998</v>
          </cell>
          <cell r="AA384">
            <v>462796128.37</v>
          </cell>
          <cell r="AB384">
            <v>455998558.59500003</v>
          </cell>
          <cell r="AC384">
            <v>449463329.833</v>
          </cell>
        </row>
        <row r="385">
          <cell r="A385" t="str">
            <v>Energy expenditures standard Single-family - Privately rented - C3 (euro)</v>
          </cell>
          <cell r="C385">
            <v>885835093.148</v>
          </cell>
          <cell r="D385">
            <v>869712396.98099995</v>
          </cell>
          <cell r="E385">
            <v>812033559.77199996</v>
          </cell>
          <cell r="F385">
            <v>781673794.94099998</v>
          </cell>
          <cell r="G385">
            <v>740875784.74199998</v>
          </cell>
          <cell r="H385">
            <v>705980812.80799997</v>
          </cell>
          <cell r="I385">
            <v>676207348.63699996</v>
          </cell>
          <cell r="J385">
            <v>645697971.32500005</v>
          </cell>
          <cell r="K385">
            <v>619648273.51900005</v>
          </cell>
          <cell r="L385">
            <v>596557964.079</v>
          </cell>
          <cell r="M385">
            <v>575574007.91999996</v>
          </cell>
          <cell r="N385">
            <v>556375044.63300002</v>
          </cell>
          <cell r="O385">
            <v>540866139.27900004</v>
          </cell>
          <cell r="P385">
            <v>520067155.912</v>
          </cell>
          <cell r="Q385">
            <v>501666728.15100002</v>
          </cell>
          <cell r="R385">
            <v>484093261.17199999</v>
          </cell>
          <cell r="S385">
            <v>578053452.96500003</v>
          </cell>
          <cell r="T385">
            <v>449603461.90799999</v>
          </cell>
          <cell r="U385">
            <v>434716368.116</v>
          </cell>
          <cell r="V385">
            <v>421183060.597</v>
          </cell>
          <cell r="W385">
            <v>414523699.64099997</v>
          </cell>
          <cell r="X385">
            <v>408545224.55699998</v>
          </cell>
          <cell r="Y385">
            <v>402154446.43599999</v>
          </cell>
          <cell r="Z385">
            <v>396250368.01099998</v>
          </cell>
          <cell r="AA385">
            <v>390833694.46399999</v>
          </cell>
          <cell r="AB385">
            <v>384968517.79299998</v>
          </cell>
          <cell r="AC385">
            <v>379329825.227</v>
          </cell>
        </row>
        <row r="386">
          <cell r="A386" t="str">
            <v>Energy expenditures standard Single-family - Privately rented - C4 (euro)</v>
          </cell>
          <cell r="C386">
            <v>645968080.33299994</v>
          </cell>
          <cell r="D386">
            <v>636433988.73699999</v>
          </cell>
          <cell r="E386">
            <v>599822453.11399996</v>
          </cell>
          <cell r="F386">
            <v>582024710.98399997</v>
          </cell>
          <cell r="G386">
            <v>554502343.43599999</v>
          </cell>
          <cell r="H386">
            <v>530699657.35000002</v>
          </cell>
          <cell r="I386">
            <v>510029450.24400002</v>
          </cell>
          <cell r="J386">
            <v>488650486.95499998</v>
          </cell>
          <cell r="K386">
            <v>470218995.49599999</v>
          </cell>
          <cell r="L386">
            <v>453706596.57599998</v>
          </cell>
          <cell r="M386">
            <v>438546604.93599999</v>
          </cell>
          <cell r="N386">
            <v>424577485.74199998</v>
          </cell>
          <cell r="O386">
            <v>412958256.98900002</v>
          </cell>
          <cell r="P386">
            <v>397593046.84600002</v>
          </cell>
          <cell r="Q386">
            <v>383922750.333</v>
          </cell>
          <cell r="R386">
            <v>370796597.50300002</v>
          </cell>
          <cell r="S386">
            <v>451687145.59600002</v>
          </cell>
          <cell r="T386">
            <v>344757638.82999998</v>
          </cell>
          <cell r="U386">
            <v>333443562.514</v>
          </cell>
          <cell r="V386">
            <v>323155112.78100002</v>
          </cell>
          <cell r="W386">
            <v>318138563.05199999</v>
          </cell>
          <cell r="X386">
            <v>313639129.79000002</v>
          </cell>
          <cell r="Y386">
            <v>308706781.89700001</v>
          </cell>
          <cell r="Z386">
            <v>304146533.15899998</v>
          </cell>
          <cell r="AA386">
            <v>299943511.81599998</v>
          </cell>
          <cell r="AB386">
            <v>295375720.99699998</v>
          </cell>
          <cell r="AC386">
            <v>290973948.77399999</v>
          </cell>
        </row>
        <row r="387">
          <cell r="A387" t="str">
            <v>Energy expenditures standard Single-family - Privately rented - C5 (euro)</v>
          </cell>
          <cell r="C387">
            <v>424360823.91000003</v>
          </cell>
          <cell r="D387">
            <v>418794210.80299997</v>
          </cell>
          <cell r="E387">
            <v>394537256.52100003</v>
          </cell>
          <cell r="F387">
            <v>383312294.93900001</v>
          </cell>
          <cell r="G387">
            <v>365236219.70499998</v>
          </cell>
          <cell r="H387">
            <v>349667103.70999998</v>
          </cell>
          <cell r="I387">
            <v>336242286.11900002</v>
          </cell>
          <cell r="J387">
            <v>322493790.398</v>
          </cell>
          <cell r="K387">
            <v>310681676.41100001</v>
          </cell>
          <cell r="L387">
            <v>300121182.75300002</v>
          </cell>
          <cell r="M387">
            <v>290440211.76300001</v>
          </cell>
          <cell r="N387">
            <v>281547112.352</v>
          </cell>
          <cell r="O387">
            <v>274127443.20200002</v>
          </cell>
          <cell r="P387">
            <v>264207534.76199999</v>
          </cell>
          <cell r="Q387">
            <v>255369058.558</v>
          </cell>
          <cell r="R387">
            <v>246912655.836</v>
          </cell>
          <cell r="S387">
            <v>305497123.58200002</v>
          </cell>
          <cell r="T387">
            <v>230031404.227</v>
          </cell>
          <cell r="U387">
            <v>222740179.132</v>
          </cell>
          <cell r="V387">
            <v>216129395.28</v>
          </cell>
          <cell r="W387">
            <v>212809312.868</v>
          </cell>
          <cell r="X387">
            <v>209847798.683</v>
          </cell>
          <cell r="Y387">
            <v>206532326.373</v>
          </cell>
          <cell r="Z387">
            <v>203479145.697</v>
          </cell>
          <cell r="AA387">
            <v>200655929.71700001</v>
          </cell>
          <cell r="AB387">
            <v>197601284.55399999</v>
          </cell>
          <cell r="AC387">
            <v>194649653.72400001</v>
          </cell>
        </row>
        <row r="388">
          <cell r="A388" t="str">
            <v>Energy expenditures standard Single-family - Social-housing - C1 (euro)</v>
          </cell>
          <cell r="C388">
            <v>342100279.57099998</v>
          </cell>
          <cell r="D388">
            <v>338251598.88099998</v>
          </cell>
          <cell r="E388">
            <v>325826251.36400002</v>
          </cell>
          <cell r="F388">
            <v>321981014.79900002</v>
          </cell>
          <cell r="G388">
            <v>310894689.565</v>
          </cell>
          <cell r="H388">
            <v>301909700.39899999</v>
          </cell>
          <cell r="I388">
            <v>292306484.89300001</v>
          </cell>
          <cell r="J388">
            <v>283872724.19099998</v>
          </cell>
          <cell r="K388">
            <v>274571642.08200002</v>
          </cell>
          <cell r="L388">
            <v>264187611.40099999</v>
          </cell>
          <cell r="M388">
            <v>254005497.77200001</v>
          </cell>
          <cell r="N388">
            <v>245865637.45899999</v>
          </cell>
          <cell r="O388">
            <v>237531232.09</v>
          </cell>
          <cell r="P388">
            <v>229665374.287</v>
          </cell>
          <cell r="Q388">
            <v>222294532.70699999</v>
          </cell>
          <cell r="R388">
            <v>215113312.98699999</v>
          </cell>
          <cell r="S388">
            <v>300413192.10299999</v>
          </cell>
          <cell r="T388">
            <v>199227025.06299999</v>
          </cell>
          <cell r="U388">
            <v>192527254.963</v>
          </cell>
          <cell r="V388">
            <v>187622592.998</v>
          </cell>
          <cell r="W388">
            <v>184955268.50799999</v>
          </cell>
          <cell r="X388">
            <v>182536540.08199999</v>
          </cell>
          <cell r="Y388">
            <v>179303708.11000001</v>
          </cell>
          <cell r="Z388">
            <v>176244853.17199999</v>
          </cell>
          <cell r="AA388">
            <v>173276560.669</v>
          </cell>
          <cell r="AB388">
            <v>170290211.63999999</v>
          </cell>
          <cell r="AC388">
            <v>167341611.50799999</v>
          </cell>
        </row>
        <row r="389">
          <cell r="A389" t="str">
            <v>Energy expenditures standard Single-family - Social-housing - C2 (euro)</v>
          </cell>
          <cell r="C389">
            <v>340305960.199</v>
          </cell>
          <cell r="D389">
            <v>338131274.31900001</v>
          </cell>
          <cell r="E389">
            <v>327496294.94999999</v>
          </cell>
          <cell r="F389">
            <v>325249634.05199999</v>
          </cell>
          <cell r="G389">
            <v>314988854.10600001</v>
          </cell>
          <cell r="H389">
            <v>306438873.14899999</v>
          </cell>
          <cell r="I389">
            <v>297268001.76999998</v>
          </cell>
          <cell r="J389">
            <v>289281444.09100002</v>
          </cell>
          <cell r="K389">
            <v>280486020.90499997</v>
          </cell>
          <cell r="L389">
            <v>270670252.17299998</v>
          </cell>
          <cell r="M389">
            <v>260753527.10499999</v>
          </cell>
          <cell r="N389">
            <v>252360576.206</v>
          </cell>
          <cell r="O389">
            <v>243780395.116</v>
          </cell>
          <cell r="P389">
            <v>235652833.34299999</v>
          </cell>
          <cell r="Q389">
            <v>228033991.391</v>
          </cell>
          <cell r="R389">
            <v>220590119.56299999</v>
          </cell>
          <cell r="S389">
            <v>305881393.713</v>
          </cell>
          <cell r="T389">
            <v>204188393.89700001</v>
          </cell>
          <cell r="U389">
            <v>197253536.648</v>
          </cell>
          <cell r="V389">
            <v>192147118.29100001</v>
          </cell>
          <cell r="W389">
            <v>189463989.495</v>
          </cell>
          <cell r="X389">
            <v>187024349.43200001</v>
          </cell>
          <cell r="Y389">
            <v>183780745.15799999</v>
          </cell>
          <cell r="Z389">
            <v>180704485.91</v>
          </cell>
          <cell r="AA389">
            <v>177725368.90200001</v>
          </cell>
          <cell r="AB389">
            <v>174677914.338</v>
          </cell>
          <cell r="AC389">
            <v>171672854.58500001</v>
          </cell>
        </row>
        <row r="390">
          <cell r="A390" t="str">
            <v>Energy expenditures standard Single-family - Social-housing - C3 (euro)</v>
          </cell>
          <cell r="C390">
            <v>191284562.771</v>
          </cell>
          <cell r="D390">
            <v>188806862.10600001</v>
          </cell>
          <cell r="E390">
            <v>181051962.697</v>
          </cell>
          <cell r="F390">
            <v>178015608.35600001</v>
          </cell>
          <cell r="G390">
            <v>171497532.213</v>
          </cell>
          <cell r="H390">
            <v>166362519.56099999</v>
          </cell>
          <cell r="I390">
            <v>160878632.079</v>
          </cell>
          <cell r="J390">
            <v>156022231.34</v>
          </cell>
          <cell r="K390">
            <v>150649936.03999999</v>
          </cell>
          <cell r="L390">
            <v>144640522.88999999</v>
          </cell>
          <cell r="M390">
            <v>138946231.02000001</v>
          </cell>
          <cell r="N390">
            <v>134683254.86000001</v>
          </cell>
          <cell r="O390">
            <v>130320437.39399999</v>
          </cell>
          <cell r="P390">
            <v>126177759.612</v>
          </cell>
          <cell r="Q390">
            <v>122288087.294</v>
          </cell>
          <cell r="R390">
            <v>118471101.29000001</v>
          </cell>
          <cell r="S390">
            <v>166315763.322</v>
          </cell>
          <cell r="T390">
            <v>109995094.206</v>
          </cell>
          <cell r="U390">
            <v>106361666.583</v>
          </cell>
          <cell r="V390">
            <v>103657217.04000001</v>
          </cell>
          <cell r="W390">
            <v>102180977.962</v>
          </cell>
          <cell r="X390">
            <v>100840444.443</v>
          </cell>
          <cell r="Y390">
            <v>99043142.572999999</v>
          </cell>
          <cell r="Z390">
            <v>97340875.082000002</v>
          </cell>
          <cell r="AA390">
            <v>95688450.980000004</v>
          </cell>
          <cell r="AB390">
            <v>94046741.466000006</v>
          </cell>
          <cell r="AC390">
            <v>92425928.937999994</v>
          </cell>
        </row>
        <row r="391">
          <cell r="A391" t="str">
            <v>Energy expenditures standard Single-family - Social-housing - C4 (euro)</v>
          </cell>
          <cell r="C391">
            <v>73929352.788000003</v>
          </cell>
          <cell r="D391">
            <v>72863639.886999995</v>
          </cell>
          <cell r="E391">
            <v>69966764.457000002</v>
          </cell>
          <cell r="F391">
            <v>68927994.366999999</v>
          </cell>
          <cell r="G391">
            <v>66537800.031999998</v>
          </cell>
          <cell r="H391">
            <v>64744474.717</v>
          </cell>
          <cell r="I391">
            <v>62819243.846000001</v>
          </cell>
          <cell r="J391">
            <v>61156819.377999999</v>
          </cell>
          <cell r="K391">
            <v>59322856.406000003</v>
          </cell>
          <cell r="L391">
            <v>57276726.898999996</v>
          </cell>
          <cell r="M391">
            <v>55219375.829999998</v>
          </cell>
          <cell r="N391">
            <v>53481839.733999997</v>
          </cell>
          <cell r="O391">
            <v>51703608.116999999</v>
          </cell>
          <cell r="P391">
            <v>50023057.159999996</v>
          </cell>
          <cell r="Q391">
            <v>48448233.662</v>
          </cell>
          <cell r="R391">
            <v>46912691.338</v>
          </cell>
          <cell r="S391">
            <v>65727457.653999999</v>
          </cell>
          <cell r="T391">
            <v>43518500.011</v>
          </cell>
          <cell r="U391">
            <v>42080591.324000001</v>
          </cell>
          <cell r="V391">
            <v>41029992.156000003</v>
          </cell>
          <cell r="W391">
            <v>40462205.699000001</v>
          </cell>
          <cell r="X391">
            <v>39948347.208999999</v>
          </cell>
          <cell r="Y391">
            <v>39254842.351999998</v>
          </cell>
          <cell r="Z391">
            <v>38599040.752999999</v>
          </cell>
          <cell r="AA391">
            <v>37962974.160999998</v>
          </cell>
          <cell r="AB391">
            <v>37310663.549000002</v>
          </cell>
          <cell r="AC391">
            <v>36665994.233999997</v>
          </cell>
        </row>
        <row r="392">
          <cell r="A392" t="str">
            <v>Energy expenditures standard Single-family - Social-housing - C5 (euro)</v>
          </cell>
          <cell r="C392">
            <v>17017661.613000002</v>
          </cell>
          <cell r="D392">
            <v>16782513.385000002</v>
          </cell>
          <cell r="E392">
            <v>16265587.362</v>
          </cell>
          <cell r="F392">
            <v>16240053.332</v>
          </cell>
          <cell r="G392">
            <v>15735346.596000001</v>
          </cell>
          <cell r="H392">
            <v>15265161.179</v>
          </cell>
          <cell r="I392">
            <v>14766540.09</v>
          </cell>
          <cell r="J392">
            <v>14327829.768999999</v>
          </cell>
          <cell r="K392">
            <v>13850459.092</v>
          </cell>
          <cell r="L392">
            <v>13330789.954</v>
          </cell>
          <cell r="M392">
            <v>12832216.713</v>
          </cell>
          <cell r="N392">
            <v>12416919.392999999</v>
          </cell>
          <cell r="O392">
            <v>11988846.742000001</v>
          </cell>
          <cell r="P392">
            <v>11583772.267999999</v>
          </cell>
          <cell r="Q392">
            <v>11203597.188999999</v>
          </cell>
          <cell r="R392">
            <v>10832582.664000001</v>
          </cell>
          <cell r="S392">
            <v>14859725.706</v>
          </cell>
          <cell r="T392">
            <v>10006103.905999999</v>
          </cell>
          <cell r="U392">
            <v>9662786.6290000007</v>
          </cell>
          <cell r="V392">
            <v>9411292.7430000007</v>
          </cell>
          <cell r="W392">
            <v>9279267.9670000002</v>
          </cell>
          <cell r="X392">
            <v>9158894.1789999995</v>
          </cell>
          <cell r="Y392">
            <v>9000462.2479999997</v>
          </cell>
          <cell r="Z392">
            <v>8849900.9900000002</v>
          </cell>
          <cell r="AA392">
            <v>8703874.1699999999</v>
          </cell>
          <cell r="AB392">
            <v>8555439.7550000008</v>
          </cell>
          <cell r="AC392">
            <v>8409057.5439999998</v>
          </cell>
        </row>
        <row r="393">
          <cell r="A393" t="str">
            <v>Energy expenditures wt (Billion euro)</v>
          </cell>
          <cell r="B393">
            <v>25.626999999999999</v>
          </cell>
          <cell r="C393">
            <v>24.966000000000001</v>
          </cell>
          <cell r="D393">
            <v>24.398</v>
          </cell>
          <cell r="E393">
            <v>23.757999999999999</v>
          </cell>
          <cell r="F393">
            <v>23.007999999999999</v>
          </cell>
          <cell r="G393">
            <v>22.509</v>
          </cell>
          <cell r="H393">
            <v>22.036000000000001</v>
          </cell>
          <cell r="I393">
            <v>21.591000000000001</v>
          </cell>
          <cell r="J393">
            <v>21.088000000000001</v>
          </cell>
          <cell r="K393">
            <v>20.667000000000002</v>
          </cell>
          <cell r="L393">
            <v>20.286000000000001</v>
          </cell>
          <cell r="M393">
            <v>19.936</v>
          </cell>
          <cell r="N393">
            <v>19.606999999999999</v>
          </cell>
          <cell r="O393">
            <v>19.324000000000002</v>
          </cell>
          <cell r="P393">
            <v>19.006</v>
          </cell>
          <cell r="Q393">
            <v>18.687999999999999</v>
          </cell>
          <cell r="R393">
            <v>18.408000000000001</v>
          </cell>
          <cell r="S393">
            <v>17.481999999999999</v>
          </cell>
          <cell r="T393">
            <v>17.716000000000001</v>
          </cell>
          <cell r="U393">
            <v>17.439</v>
          </cell>
          <cell r="V393">
            <v>17.186</v>
          </cell>
          <cell r="W393">
            <v>17.045000000000002</v>
          </cell>
          <cell r="X393">
            <v>16.913</v>
          </cell>
          <cell r="Y393">
            <v>16.797999999999998</v>
          </cell>
          <cell r="Z393">
            <v>16.692</v>
          </cell>
          <cell r="AA393">
            <v>16.594000000000001</v>
          </cell>
          <cell r="AB393">
            <v>16.518000000000001</v>
          </cell>
          <cell r="AC393">
            <v>16.437000000000001</v>
          </cell>
        </row>
        <row r="394">
          <cell r="A394" t="str">
            <v>Energy poverty (Million)</v>
          </cell>
          <cell r="B394">
            <v>4.8120000000000003</v>
          </cell>
          <cell r="C394">
            <v>4.8259999999999996</v>
          </cell>
          <cell r="D394">
            <v>4.8449999999999998</v>
          </cell>
          <cell r="E394">
            <v>4.5759999999999996</v>
          </cell>
          <cell r="F394">
            <v>4.3630000000000004</v>
          </cell>
          <cell r="G394">
            <v>4.0960000000000001</v>
          </cell>
          <cell r="H394">
            <v>3.7149999999999999</v>
          </cell>
          <cell r="I394">
            <v>3.43</v>
          </cell>
          <cell r="J394">
            <v>3.08</v>
          </cell>
          <cell r="K394">
            <v>2.8170000000000002</v>
          </cell>
          <cell r="L394">
            <v>2.577</v>
          </cell>
          <cell r="M394">
            <v>2.3340000000000001</v>
          </cell>
          <cell r="N394">
            <v>2.0830000000000002</v>
          </cell>
          <cell r="O394">
            <v>1.905</v>
          </cell>
          <cell r="P394">
            <v>1.7210000000000001</v>
          </cell>
          <cell r="Q394">
            <v>1.5269999999999999</v>
          </cell>
          <cell r="R394">
            <v>1.341</v>
          </cell>
          <cell r="S394">
            <v>2.0190000000000001</v>
          </cell>
          <cell r="T394">
            <v>1.0569999999999999</v>
          </cell>
          <cell r="U394">
            <v>0.85799999999999998</v>
          </cell>
          <cell r="V394">
            <v>0.748</v>
          </cell>
          <cell r="W394">
            <v>0.68400000000000005</v>
          </cell>
          <cell r="X394">
            <v>0.621</v>
          </cell>
          <cell r="Y394">
            <v>0.55100000000000005</v>
          </cell>
          <cell r="Z394">
            <v>0.47799999999999998</v>
          </cell>
          <cell r="AA394">
            <v>0.40899999999999997</v>
          </cell>
          <cell r="AB394">
            <v>0.35899999999999999</v>
          </cell>
          <cell r="AC394">
            <v>0.32400000000000001</v>
          </cell>
        </row>
        <row r="395">
          <cell r="A395" t="str">
            <v>Energy taxes (Billion euro)</v>
          </cell>
          <cell r="B395">
            <v>2.59</v>
          </cell>
          <cell r="C395">
            <v>3.524</v>
          </cell>
          <cell r="D395">
            <v>4.1609999999999996</v>
          </cell>
          <cell r="E395">
            <v>4.024</v>
          </cell>
          <cell r="F395">
            <v>3.8740000000000001</v>
          </cell>
          <cell r="G395">
            <v>3.7530000000000001</v>
          </cell>
          <cell r="H395">
            <v>3.617</v>
          </cell>
          <cell r="I395">
            <v>3.4689999999999999</v>
          </cell>
          <cell r="J395">
            <v>3.3410000000000002</v>
          </cell>
          <cell r="K395">
            <v>3.2090000000000001</v>
          </cell>
          <cell r="L395">
            <v>3.093</v>
          </cell>
          <cell r="M395">
            <v>2.9929999999999999</v>
          </cell>
          <cell r="N395">
            <v>2.9039999999999999</v>
          </cell>
          <cell r="O395">
            <v>2.8220000000000001</v>
          </cell>
          <cell r="P395">
            <v>2.746</v>
          </cell>
          <cell r="Q395">
            <v>2.7240000000000002</v>
          </cell>
          <cell r="R395">
            <v>2.6669999999999998</v>
          </cell>
          <cell r="S395">
            <v>2.4790000000000001</v>
          </cell>
          <cell r="T395">
            <v>2.5430000000000001</v>
          </cell>
          <cell r="U395">
            <v>2.4940000000000002</v>
          </cell>
          <cell r="V395">
            <v>2.4500000000000002</v>
          </cell>
          <cell r="W395">
            <v>2.4289999999999998</v>
          </cell>
          <cell r="X395">
            <v>2.4089999999999998</v>
          </cell>
          <cell r="Y395">
            <v>2.3919999999999999</v>
          </cell>
          <cell r="Z395">
            <v>2.3769999999999998</v>
          </cell>
          <cell r="AA395">
            <v>2.363</v>
          </cell>
          <cell r="AB395">
            <v>2.35</v>
          </cell>
          <cell r="AC395">
            <v>2.3359999999999999</v>
          </cell>
        </row>
        <row r="396">
          <cell r="A396" t="str">
            <v>Energy vat (Billion euro)</v>
          </cell>
          <cell r="B396">
            <v>3.5870000000000002</v>
          </cell>
          <cell r="C396">
            <v>3.468</v>
          </cell>
          <cell r="D396">
            <v>3.3740000000000001</v>
          </cell>
          <cell r="E396">
            <v>3.2519999999999998</v>
          </cell>
          <cell r="F396">
            <v>3.12</v>
          </cell>
          <cell r="G396">
            <v>3.0150000000000001</v>
          </cell>
          <cell r="H396">
            <v>2.9</v>
          </cell>
          <cell r="I396">
            <v>2.7789999999999999</v>
          </cell>
          <cell r="J396">
            <v>2.673</v>
          </cell>
          <cell r="K396">
            <v>2.5659999999999998</v>
          </cell>
          <cell r="L396">
            <v>2.4710000000000001</v>
          </cell>
          <cell r="M396">
            <v>2.3889999999999998</v>
          </cell>
          <cell r="N396">
            <v>2.3149999999999999</v>
          </cell>
          <cell r="O396">
            <v>2.2610000000000001</v>
          </cell>
          <cell r="P396">
            <v>2.21</v>
          </cell>
          <cell r="Q396">
            <v>2.1629999999999998</v>
          </cell>
          <cell r="R396">
            <v>2.125</v>
          </cell>
          <cell r="S396">
            <v>2.0030000000000001</v>
          </cell>
          <cell r="T396">
            <v>2.04</v>
          </cell>
          <cell r="U396">
            <v>2.0070000000000001</v>
          </cell>
          <cell r="V396">
            <v>1.976</v>
          </cell>
          <cell r="W396">
            <v>1.9610000000000001</v>
          </cell>
          <cell r="X396">
            <v>1.9470000000000001</v>
          </cell>
          <cell r="Y396">
            <v>1.9359999999999999</v>
          </cell>
          <cell r="Z396">
            <v>1.9259999999999999</v>
          </cell>
          <cell r="AA396">
            <v>1.917</v>
          </cell>
          <cell r="AB396">
            <v>1.9079999999999999</v>
          </cell>
          <cell r="AC396">
            <v>1.8979999999999999</v>
          </cell>
        </row>
        <row r="397">
          <cell r="A397" t="str">
            <v>Epc upgrade all (Thousand households)</v>
          </cell>
          <cell r="C397">
            <v>658.59900000000005</v>
          </cell>
          <cell r="D397">
            <v>631.78099999999995</v>
          </cell>
          <cell r="E397">
            <v>1300.3109999999999</v>
          </cell>
          <cell r="F397">
            <v>1273.2280000000001</v>
          </cell>
          <cell r="G397">
            <v>1109.5709999999999</v>
          </cell>
          <cell r="H397">
            <v>1092.338</v>
          </cell>
          <cell r="I397">
            <v>1041.4100000000001</v>
          </cell>
          <cell r="J397">
            <v>1215.386</v>
          </cell>
          <cell r="K397">
            <v>1034.5129999999999</v>
          </cell>
          <cell r="L397">
            <v>894.755</v>
          </cell>
          <cell r="M397">
            <v>781.42399999999998</v>
          </cell>
          <cell r="N397">
            <v>677.90200000000004</v>
          </cell>
          <cell r="O397">
            <v>635.77499999999998</v>
          </cell>
          <cell r="P397">
            <v>757.24199999999996</v>
          </cell>
          <cell r="Q397">
            <v>704.08</v>
          </cell>
          <cell r="R397">
            <v>623.32799999999997</v>
          </cell>
          <cell r="S397">
            <v>783.30700000000002</v>
          </cell>
          <cell r="T397">
            <v>545.673</v>
          </cell>
          <cell r="U397">
            <v>492.84899999999999</v>
          </cell>
          <cell r="V397">
            <v>408.54899999999998</v>
          </cell>
          <cell r="W397">
            <v>368.23099999999999</v>
          </cell>
          <cell r="X397">
            <v>334.53500000000003</v>
          </cell>
          <cell r="Y397">
            <v>307.88299999999998</v>
          </cell>
          <cell r="Z397">
            <v>280.75900000000001</v>
          </cell>
          <cell r="AA397">
            <v>257.988</v>
          </cell>
          <cell r="AB397">
            <v>242.19800000000001</v>
          </cell>
          <cell r="AC397">
            <v>240.55</v>
          </cell>
        </row>
        <row r="398">
          <cell r="A398" t="str">
            <v>Expenditure state (Billion euro)</v>
          </cell>
          <cell r="C398">
            <v>4.9489999999999998</v>
          </cell>
          <cell r="D398">
            <v>5.0949999999999998</v>
          </cell>
          <cell r="E398">
            <v>9.8239999999999998</v>
          </cell>
          <cell r="F398">
            <v>10.233000000000001</v>
          </cell>
          <cell r="G398">
            <v>9.5990000000000002</v>
          </cell>
          <cell r="H398">
            <v>9.6389999999999993</v>
          </cell>
          <cell r="I398">
            <v>9.5739999999999998</v>
          </cell>
          <cell r="J398">
            <v>9.6120000000000001</v>
          </cell>
          <cell r="K398">
            <v>8.641</v>
          </cell>
          <cell r="L398">
            <v>8.0709999999999997</v>
          </cell>
          <cell r="M398">
            <v>7.6529999999999996</v>
          </cell>
          <cell r="N398">
            <v>7.2919999999999998</v>
          </cell>
          <cell r="O398">
            <v>6.4130000000000003</v>
          </cell>
          <cell r="P398">
            <v>6.867</v>
          </cell>
          <cell r="Q398">
            <v>6.766</v>
          </cell>
          <cell r="R398">
            <v>6.234</v>
          </cell>
          <cell r="S398">
            <v>7.431</v>
          </cell>
          <cell r="T398">
            <v>6.1559999999999997</v>
          </cell>
          <cell r="U398">
            <v>5.8879999999999999</v>
          </cell>
          <cell r="V398">
            <v>5.4210000000000003</v>
          </cell>
          <cell r="W398">
            <v>6.6929999999999996</v>
          </cell>
          <cell r="X398">
            <v>6.5990000000000002</v>
          </cell>
          <cell r="Y398">
            <v>6.5259999999999998</v>
          </cell>
          <cell r="Z398">
            <v>6.48</v>
          </cell>
          <cell r="AA398">
            <v>6.1769999999999996</v>
          </cell>
          <cell r="AB398">
            <v>5.8810000000000002</v>
          </cell>
          <cell r="AC398">
            <v>5.6769999999999996</v>
          </cell>
        </row>
        <row r="399">
          <cell r="A399" t="str">
            <v>Financing heater (Billion euro)</v>
          </cell>
          <cell r="C399">
            <v>4.758</v>
          </cell>
          <cell r="D399">
            <v>4.9580000000000002</v>
          </cell>
          <cell r="E399">
            <v>4.298</v>
          </cell>
          <cell r="F399">
            <v>4.391</v>
          </cell>
          <cell r="G399">
            <v>4.0259999999999998</v>
          </cell>
          <cell r="H399">
            <v>3.63</v>
          </cell>
          <cell r="I399">
            <v>3.2679999999999998</v>
          </cell>
          <cell r="J399">
            <v>3.7160000000000002</v>
          </cell>
          <cell r="K399">
            <v>3.331</v>
          </cell>
          <cell r="L399">
            <v>3.4169999999999998</v>
          </cell>
          <cell r="M399">
            <v>3.5289999999999999</v>
          </cell>
          <cell r="N399">
            <v>3.62</v>
          </cell>
          <cell r="O399">
            <v>3.1549999999999998</v>
          </cell>
          <cell r="P399">
            <v>3.339</v>
          </cell>
          <cell r="Q399">
            <v>3.4289999999999998</v>
          </cell>
          <cell r="R399">
            <v>3.09</v>
          </cell>
          <cell r="S399">
            <v>3.335</v>
          </cell>
          <cell r="T399">
            <v>2.94</v>
          </cell>
          <cell r="U399">
            <v>2.944</v>
          </cell>
          <cell r="V399">
            <v>2.7349999999999999</v>
          </cell>
          <cell r="W399">
            <v>3.4</v>
          </cell>
          <cell r="X399">
            <v>3.2589999999999999</v>
          </cell>
          <cell r="Y399">
            <v>3.5070000000000001</v>
          </cell>
          <cell r="Z399">
            <v>3.3740000000000001</v>
          </cell>
          <cell r="AA399">
            <v>3.3519999999999999</v>
          </cell>
          <cell r="AB399">
            <v>3.34</v>
          </cell>
          <cell r="AC399">
            <v>3.3170000000000002</v>
          </cell>
        </row>
        <row r="400">
          <cell r="A400" t="str">
            <v>Financing insulation (Billion euro)</v>
          </cell>
          <cell r="C400">
            <v>0.43</v>
          </cell>
          <cell r="D400">
            <v>0.37</v>
          </cell>
          <cell r="E400">
            <v>0.40699999999999997</v>
          </cell>
          <cell r="F400">
            <v>0.374</v>
          </cell>
          <cell r="G400">
            <v>0.28899999999999998</v>
          </cell>
          <cell r="H400">
            <v>0.307</v>
          </cell>
          <cell r="I400">
            <v>0.309</v>
          </cell>
          <cell r="J400">
            <v>0.308</v>
          </cell>
          <cell r="K400">
            <v>0.252</v>
          </cell>
          <cell r="L400">
            <v>0.21099999999999999</v>
          </cell>
          <cell r="M400">
            <v>0.18099999999999999</v>
          </cell>
          <cell r="N400">
            <v>0.153</v>
          </cell>
          <cell r="O400">
            <v>0.156</v>
          </cell>
          <cell r="P400">
            <v>0.17799999999999999</v>
          </cell>
          <cell r="Q400">
            <v>0.18099999999999999</v>
          </cell>
          <cell r="R400">
            <v>0.16400000000000001</v>
          </cell>
          <cell r="S400">
            <v>0.4</v>
          </cell>
          <cell r="T400">
            <v>0.19600000000000001</v>
          </cell>
          <cell r="U400">
            <v>0.18099999999999999</v>
          </cell>
          <cell r="V400">
            <v>0.157</v>
          </cell>
          <cell r="W400">
            <v>0.15</v>
          </cell>
          <cell r="X400">
            <v>0.14299999999999999</v>
          </cell>
          <cell r="Y400">
            <v>0.13500000000000001</v>
          </cell>
          <cell r="Z400">
            <v>0.128</v>
          </cell>
          <cell r="AA400">
            <v>0.122</v>
          </cell>
          <cell r="AB400">
            <v>0.11600000000000001</v>
          </cell>
          <cell r="AC400">
            <v>0.122</v>
          </cell>
        </row>
        <row r="401">
          <cell r="A401" t="str">
            <v>Financing total (Billion euro)</v>
          </cell>
          <cell r="C401">
            <v>5.1879999999999997</v>
          </cell>
          <cell r="D401">
            <v>5.3280000000000003</v>
          </cell>
          <cell r="E401">
            <v>4.7050000000000001</v>
          </cell>
          <cell r="F401">
            <v>4.7649999999999997</v>
          </cell>
          <cell r="G401">
            <v>4.3150000000000004</v>
          </cell>
          <cell r="H401">
            <v>3.9369999999999998</v>
          </cell>
          <cell r="I401">
            <v>3.577</v>
          </cell>
          <cell r="J401">
            <v>4.0229999999999997</v>
          </cell>
          <cell r="K401">
            <v>3.5830000000000002</v>
          </cell>
          <cell r="L401">
            <v>3.6280000000000001</v>
          </cell>
          <cell r="M401">
            <v>3.7090000000000001</v>
          </cell>
          <cell r="N401">
            <v>3.7730000000000001</v>
          </cell>
          <cell r="O401">
            <v>3.3109999999999999</v>
          </cell>
          <cell r="P401">
            <v>3.5169999999999999</v>
          </cell>
          <cell r="Q401">
            <v>3.61</v>
          </cell>
          <cell r="R401">
            <v>3.254</v>
          </cell>
          <cell r="S401">
            <v>3.7349999999999999</v>
          </cell>
          <cell r="T401">
            <v>3.137</v>
          </cell>
          <cell r="U401">
            <v>3.1240000000000001</v>
          </cell>
          <cell r="V401">
            <v>2.8929999999999998</v>
          </cell>
          <cell r="W401">
            <v>3.5510000000000002</v>
          </cell>
          <cell r="X401">
            <v>3.4009999999999998</v>
          </cell>
          <cell r="Y401">
            <v>3.6419999999999999</v>
          </cell>
          <cell r="Z401">
            <v>3.5019999999999998</v>
          </cell>
          <cell r="AA401">
            <v>3.4740000000000002</v>
          </cell>
          <cell r="AB401">
            <v>3.456</v>
          </cell>
          <cell r="AC401">
            <v>3.4390000000000001</v>
          </cell>
        </row>
        <row r="402">
          <cell r="A402" t="str">
            <v>Health cost (Billion euro)</v>
          </cell>
          <cell r="B402">
            <v>4.8310000000000004</v>
          </cell>
          <cell r="C402">
            <v>4.3360000000000003</v>
          </cell>
          <cell r="D402">
            <v>3.919</v>
          </cell>
          <cell r="E402">
            <v>3.3029999999999999</v>
          </cell>
          <cell r="F402">
            <v>2.734</v>
          </cell>
          <cell r="G402">
            <v>2.2559999999999998</v>
          </cell>
          <cell r="H402">
            <v>1.837</v>
          </cell>
          <cell r="I402">
            <v>1.4610000000000001</v>
          </cell>
          <cell r="J402">
            <v>1.167</v>
          </cell>
          <cell r="K402">
            <v>0.93400000000000005</v>
          </cell>
          <cell r="L402">
            <v>0.75</v>
          </cell>
          <cell r="M402">
            <v>0.60399999999999998</v>
          </cell>
          <cell r="N402">
            <v>0.48799999999999999</v>
          </cell>
          <cell r="O402">
            <v>0.39700000000000002</v>
          </cell>
          <cell r="P402">
            <v>0.32300000000000001</v>
          </cell>
          <cell r="Q402">
            <v>0.26</v>
          </cell>
          <cell r="R402">
            <v>0.20799999999999999</v>
          </cell>
          <cell r="S402">
            <v>0.158</v>
          </cell>
          <cell r="T402">
            <v>0.122</v>
          </cell>
          <cell r="U402">
            <v>9.2999999999999999E-2</v>
          </cell>
          <cell r="V402">
            <v>6.9000000000000006E-2</v>
          </cell>
          <cell r="W402">
            <v>5.2999999999999999E-2</v>
          </cell>
          <cell r="X402">
            <v>3.9E-2</v>
          </cell>
          <cell r="Y402">
            <v>2.7E-2</v>
          </cell>
          <cell r="Z402">
            <v>1.7000000000000001E-2</v>
          </cell>
          <cell r="AA402">
            <v>8.0000000000000002E-3</v>
          </cell>
          <cell r="AB402">
            <v>8.0000000000000002E-3</v>
          </cell>
          <cell r="AC402">
            <v>7.0000000000000001E-3</v>
          </cell>
        </row>
        <row r="403">
          <cell r="A403" t="str">
            <v>Health expenditure (Billion euro)</v>
          </cell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</row>
        <row r="404">
          <cell r="A404" t="str">
            <v>Heater replacement only - A to A (Thousand households)</v>
          </cell>
          <cell r="C404">
            <v>14.646000000000001</v>
          </cell>
          <cell r="D404">
            <v>13.429</v>
          </cell>
          <cell r="E404">
            <v>12.847</v>
          </cell>
          <cell r="F404">
            <v>12.342000000000001</v>
          </cell>
          <cell r="G404">
            <v>12.051</v>
          </cell>
          <cell r="H404">
            <v>11.932</v>
          </cell>
          <cell r="I404">
            <v>11.927</v>
          </cell>
          <cell r="J404">
            <v>11.99</v>
          </cell>
          <cell r="K404">
            <v>12.195</v>
          </cell>
          <cell r="L404">
            <v>12.411</v>
          </cell>
          <cell r="M404">
            <v>12.698</v>
          </cell>
          <cell r="N404">
            <v>13.053000000000001</v>
          </cell>
          <cell r="O404">
            <v>13.443</v>
          </cell>
          <cell r="P404">
            <v>13.86</v>
          </cell>
          <cell r="Q404">
            <v>14.349</v>
          </cell>
          <cell r="R404">
            <v>14.903</v>
          </cell>
          <cell r="S404">
            <v>15.494999999999999</v>
          </cell>
          <cell r="T404">
            <v>16.167999999999999</v>
          </cell>
          <cell r="U404">
            <v>16.841999999999999</v>
          </cell>
          <cell r="V404">
            <v>17.523</v>
          </cell>
          <cell r="W404">
            <v>65.361999999999995</v>
          </cell>
          <cell r="X404">
            <v>70.623000000000005</v>
          </cell>
          <cell r="Y404">
            <v>73.649000000000001</v>
          </cell>
          <cell r="Z404">
            <v>79.710999999999999</v>
          </cell>
          <cell r="AA404">
            <v>76.289000000000001</v>
          </cell>
          <cell r="AB404">
            <v>72.197000000000003</v>
          </cell>
          <cell r="AC404">
            <v>68.143000000000001</v>
          </cell>
        </row>
        <row r="405">
          <cell r="A405" t="str">
            <v>Heater replacement only - A to B (Thousand households)</v>
          </cell>
          <cell r="C405">
            <v>5.21</v>
          </cell>
          <cell r="D405">
            <v>4.734</v>
          </cell>
          <cell r="E405">
            <v>4.0570000000000004</v>
          </cell>
          <cell r="F405">
            <v>3.8109999999999999</v>
          </cell>
          <cell r="G405">
            <v>3.6389999999999998</v>
          </cell>
          <cell r="H405">
            <v>3.5169999999999999</v>
          </cell>
          <cell r="I405">
            <v>3.4220000000000002</v>
          </cell>
          <cell r="J405">
            <v>3.3380000000000001</v>
          </cell>
          <cell r="K405">
            <v>3.3180000000000001</v>
          </cell>
          <cell r="L405">
            <v>3.294</v>
          </cell>
          <cell r="M405">
            <v>3.298</v>
          </cell>
          <cell r="N405">
            <v>3.3279999999999998</v>
          </cell>
          <cell r="O405">
            <v>3.3980000000000001</v>
          </cell>
          <cell r="P405">
            <v>3.4870000000000001</v>
          </cell>
          <cell r="Q405">
            <v>3.6030000000000002</v>
          </cell>
          <cell r="R405">
            <v>3.7440000000000002</v>
          </cell>
          <cell r="S405">
            <v>3.8980000000000001</v>
          </cell>
          <cell r="T405">
            <v>4.0789999999999997</v>
          </cell>
          <cell r="U405">
            <v>4.2590000000000003</v>
          </cell>
          <cell r="V405">
            <v>4.444</v>
          </cell>
          <cell r="W405">
            <v>16.617999999999999</v>
          </cell>
          <cell r="X405">
            <v>17.920999999999999</v>
          </cell>
          <cell r="Y405">
            <v>18.649999999999999</v>
          </cell>
          <cell r="Z405">
            <v>20.154</v>
          </cell>
          <cell r="AA405">
            <v>19.254000000000001</v>
          </cell>
          <cell r="AB405">
            <v>18.195</v>
          </cell>
          <cell r="AC405">
            <v>17.154</v>
          </cell>
        </row>
        <row r="406">
          <cell r="A406" t="str">
            <v>Heater replacement only - B to A (Thousand households)</v>
          </cell>
          <cell r="C406">
            <v>1.57</v>
          </cell>
          <cell r="D406">
            <v>1.238</v>
          </cell>
          <cell r="E406">
            <v>1.1919999999999999</v>
          </cell>
          <cell r="F406">
            <v>1.1319999999999999</v>
          </cell>
          <cell r="G406">
            <v>1.1100000000000001</v>
          </cell>
          <cell r="H406">
            <v>1.1060000000000001</v>
          </cell>
          <cell r="I406">
            <v>1.1120000000000001</v>
          </cell>
          <cell r="J406">
            <v>1.117</v>
          </cell>
          <cell r="K406">
            <v>1.147</v>
          </cell>
          <cell r="L406">
            <v>1.171</v>
          </cell>
          <cell r="M406">
            <v>1.2050000000000001</v>
          </cell>
          <cell r="N406">
            <v>1.2470000000000001</v>
          </cell>
          <cell r="O406">
            <v>1.292</v>
          </cell>
          <cell r="P406">
            <v>1.335</v>
          </cell>
          <cell r="Q406">
            <v>1.391</v>
          </cell>
          <cell r="R406">
            <v>1.456</v>
          </cell>
          <cell r="S406">
            <v>1.524</v>
          </cell>
          <cell r="T406">
            <v>1.605</v>
          </cell>
          <cell r="U406">
            <v>1.6839999999999999</v>
          </cell>
          <cell r="V406">
            <v>1.7649999999999999</v>
          </cell>
          <cell r="W406">
            <v>20.428000000000001</v>
          </cell>
          <cell r="X406">
            <v>22.202000000000002</v>
          </cell>
          <cell r="Y406">
            <v>19.475000000000001</v>
          </cell>
          <cell r="Z406">
            <v>21.216000000000001</v>
          </cell>
          <cell r="AA406">
            <v>19.594000000000001</v>
          </cell>
          <cell r="AB406">
            <v>17.745000000000001</v>
          </cell>
          <cell r="AC406">
            <v>15.941000000000001</v>
          </cell>
        </row>
        <row r="407">
          <cell r="A407" t="str">
            <v>Heater replacement only - B to B (Thousand households)</v>
          </cell>
          <cell r="C407">
            <v>97.957999999999998</v>
          </cell>
          <cell r="D407">
            <v>92.495000000000005</v>
          </cell>
          <cell r="E407">
            <v>89.528999999999996</v>
          </cell>
          <cell r="F407">
            <v>87.576999999999998</v>
          </cell>
          <cell r="G407">
            <v>86.325999999999993</v>
          </cell>
          <cell r="H407">
            <v>86.055000000000007</v>
          </cell>
          <cell r="I407">
            <v>86.53</v>
          </cell>
          <cell r="J407">
            <v>87.554000000000002</v>
          </cell>
          <cell r="K407">
            <v>88.691999999999993</v>
          </cell>
          <cell r="L407">
            <v>90.126999999999995</v>
          </cell>
          <cell r="M407">
            <v>91.578999999999994</v>
          </cell>
          <cell r="N407">
            <v>93.063000000000002</v>
          </cell>
          <cell r="O407">
            <v>94.49</v>
          </cell>
          <cell r="P407">
            <v>95.998000000000005</v>
          </cell>
          <cell r="Q407">
            <v>97.733999999999995</v>
          </cell>
          <cell r="R407">
            <v>99.549000000000007</v>
          </cell>
          <cell r="S407">
            <v>101.43</v>
          </cell>
          <cell r="T407">
            <v>103.536</v>
          </cell>
          <cell r="U407">
            <v>105.69</v>
          </cell>
          <cell r="V407">
            <v>107.789</v>
          </cell>
          <cell r="W407">
            <v>448.11399999999998</v>
          </cell>
          <cell r="X407">
            <v>440.86799999999999</v>
          </cell>
          <cell r="Y407">
            <v>488.654</v>
          </cell>
          <cell r="Z407">
            <v>497.77</v>
          </cell>
          <cell r="AA407">
            <v>524.21199999999999</v>
          </cell>
          <cell r="AB407">
            <v>558.13699999999994</v>
          </cell>
          <cell r="AC407">
            <v>592.23800000000006</v>
          </cell>
        </row>
        <row r="408">
          <cell r="A408" t="str">
            <v>Heater replacement only - B to C (Thousand households)</v>
          </cell>
          <cell r="C408">
            <v>8.2539999999999996</v>
          </cell>
          <cell r="D408">
            <v>7.891</v>
          </cell>
          <cell r="E408">
            <v>7.1630000000000003</v>
          </cell>
          <cell r="F408">
            <v>6.891</v>
          </cell>
          <cell r="G408">
            <v>6.6929999999999996</v>
          </cell>
          <cell r="H408">
            <v>6.5</v>
          </cell>
          <cell r="I408">
            <v>6.3019999999999996</v>
          </cell>
          <cell r="J408">
            <v>6.0949999999999998</v>
          </cell>
          <cell r="K408">
            <v>5.9820000000000002</v>
          </cell>
          <cell r="L408">
            <v>5.843</v>
          </cell>
          <cell r="M408">
            <v>5.7320000000000002</v>
          </cell>
          <cell r="N408">
            <v>5.6470000000000002</v>
          </cell>
          <cell r="O408">
            <v>5.609</v>
          </cell>
          <cell r="P408">
            <v>5.6159999999999997</v>
          </cell>
          <cell r="Q408">
            <v>5.6349999999999998</v>
          </cell>
          <cell r="R408">
            <v>5.6479999999999997</v>
          </cell>
          <cell r="S408">
            <v>5.657</v>
          </cell>
          <cell r="T408">
            <v>5.6580000000000004</v>
          </cell>
          <cell r="U408">
            <v>5.65</v>
          </cell>
          <cell r="V408">
            <v>5.6349999999999998</v>
          </cell>
          <cell r="W408">
            <v>20.170000000000002</v>
          </cell>
          <cell r="X408">
            <v>21.407</v>
          </cell>
          <cell r="Y408">
            <v>21.934999999999999</v>
          </cell>
          <cell r="Z408">
            <v>23.356000000000002</v>
          </cell>
          <cell r="AA408">
            <v>21.992000000000001</v>
          </cell>
          <cell r="AB408">
            <v>20.504000000000001</v>
          </cell>
          <cell r="AC408">
            <v>19.094999999999999</v>
          </cell>
        </row>
        <row r="409">
          <cell r="A409" t="str">
            <v>Heater replacement only - C to A (Thousand households)</v>
          </cell>
          <cell r="C409">
            <v>6.96</v>
          </cell>
          <cell r="D409">
            <v>9.4939999999999998</v>
          </cell>
          <cell r="E409">
            <v>9.1780000000000008</v>
          </cell>
          <cell r="F409">
            <v>12.573</v>
          </cell>
          <cell r="G409">
            <v>12.095000000000001</v>
          </cell>
          <cell r="H409">
            <v>10.474</v>
          </cell>
          <cell r="I409">
            <v>8.4320000000000004</v>
          </cell>
          <cell r="J409">
            <v>16.105</v>
          </cell>
          <cell r="K409">
            <v>13.724</v>
          </cell>
          <cell r="L409">
            <v>17.61</v>
          </cell>
          <cell r="M409">
            <v>22.381</v>
          </cell>
          <cell r="N409">
            <v>27.382000000000001</v>
          </cell>
          <cell r="O409">
            <v>30.202999999999999</v>
          </cell>
          <cell r="P409">
            <v>36.951999999999998</v>
          </cell>
          <cell r="Q409">
            <v>43.655999999999999</v>
          </cell>
          <cell r="R409">
            <v>45.298000000000002</v>
          </cell>
          <cell r="S409">
            <v>54.844000000000001</v>
          </cell>
          <cell r="T409">
            <v>53.503</v>
          </cell>
          <cell r="U409">
            <v>57.502000000000002</v>
          </cell>
          <cell r="V409">
            <v>57.856000000000002</v>
          </cell>
          <cell r="W409">
            <v>23.5</v>
          </cell>
          <cell r="X409">
            <v>21.414999999999999</v>
          </cell>
          <cell r="Y409">
            <v>24.701000000000001</v>
          </cell>
          <cell r="Z409">
            <v>22.274999999999999</v>
          </cell>
          <cell r="AA409">
            <v>22.649000000000001</v>
          </cell>
          <cell r="AB409">
            <v>22.983000000000001</v>
          </cell>
          <cell r="AC409">
            <v>23.143000000000001</v>
          </cell>
        </row>
        <row r="410">
          <cell r="A410" t="str">
            <v>Heater replacement only - C to B (Thousand households)</v>
          </cell>
          <cell r="C410">
            <v>26.375</v>
          </cell>
          <cell r="D410">
            <v>21.542000000000002</v>
          </cell>
          <cell r="E410">
            <v>36.753</v>
          </cell>
          <cell r="F410">
            <v>37.816000000000003</v>
          </cell>
          <cell r="G410">
            <v>54.738</v>
          </cell>
          <cell r="H410">
            <v>76.489000000000004</v>
          </cell>
          <cell r="I410">
            <v>100.874</v>
          </cell>
          <cell r="J410">
            <v>83.200999999999993</v>
          </cell>
          <cell r="K410">
            <v>116.962</v>
          </cell>
          <cell r="L410">
            <v>120.264</v>
          </cell>
          <cell r="M410">
            <v>119.033</v>
          </cell>
          <cell r="N410">
            <v>117.79600000000001</v>
          </cell>
          <cell r="O410">
            <v>113.992</v>
          </cell>
          <cell r="P410">
            <v>101.86199999999999</v>
          </cell>
          <cell r="Q410">
            <v>100.595</v>
          </cell>
          <cell r="R410">
            <v>83.951999999999998</v>
          </cell>
          <cell r="S410">
            <v>80.182000000000002</v>
          </cell>
          <cell r="T410">
            <v>85.688999999999993</v>
          </cell>
          <cell r="U410">
            <v>90.688000000000002</v>
          </cell>
          <cell r="V410">
            <v>88.332999999999998</v>
          </cell>
          <cell r="W410">
            <v>73.909000000000006</v>
          </cell>
          <cell r="X410">
            <v>70.454999999999998</v>
          </cell>
          <cell r="Y410">
            <v>76.492999999999995</v>
          </cell>
          <cell r="Z410">
            <v>71.959999999999994</v>
          </cell>
          <cell r="AA410">
            <v>72.146000000000001</v>
          </cell>
          <cell r="AB410">
            <v>72.45</v>
          </cell>
          <cell r="AC410">
            <v>71.552000000000007</v>
          </cell>
        </row>
        <row r="411">
          <cell r="A411" t="str">
            <v>Heater replacement only - C to C (Thousand households)</v>
          </cell>
          <cell r="C411">
            <v>281.05399999999997</v>
          </cell>
          <cell r="D411">
            <v>292.60500000000002</v>
          </cell>
          <cell r="E411">
            <v>288.37099999999998</v>
          </cell>
          <cell r="F411">
            <v>301.48500000000001</v>
          </cell>
          <cell r="G411">
            <v>304.42599999999999</v>
          </cell>
          <cell r="H411">
            <v>303.06900000000002</v>
          </cell>
          <cell r="I411">
            <v>300.03699999999998</v>
          </cell>
          <cell r="J411">
            <v>326.779</v>
          </cell>
          <cell r="K411">
            <v>322.75400000000002</v>
          </cell>
          <cell r="L411">
            <v>337.09300000000002</v>
          </cell>
          <cell r="M411">
            <v>353.41899999999998</v>
          </cell>
          <cell r="N411">
            <v>370.59699999999998</v>
          </cell>
          <cell r="O411">
            <v>381.42500000000001</v>
          </cell>
          <cell r="P411">
            <v>406.221</v>
          </cell>
          <cell r="Q411">
            <v>431.65699999999998</v>
          </cell>
          <cell r="R411">
            <v>391.81700000000001</v>
          </cell>
          <cell r="S411">
            <v>439.59</v>
          </cell>
          <cell r="T411">
            <v>402.37200000000001</v>
          </cell>
          <cell r="U411">
            <v>415.99</v>
          </cell>
          <cell r="V411">
            <v>389.23500000000001</v>
          </cell>
          <cell r="W411">
            <v>544.16700000000003</v>
          </cell>
          <cell r="X411">
            <v>457.43</v>
          </cell>
          <cell r="Y411">
            <v>598.78399999999999</v>
          </cell>
          <cell r="Z411">
            <v>531.65</v>
          </cell>
          <cell r="AA411">
            <v>603.63499999999999</v>
          </cell>
          <cell r="AB411">
            <v>687.75400000000002</v>
          </cell>
          <cell r="AC411">
            <v>763.30799999999999</v>
          </cell>
        </row>
        <row r="412">
          <cell r="A412" t="str">
            <v>Heater replacement only - C to D (Thousand households)</v>
          </cell>
          <cell r="C412">
            <v>3.1960000000000002</v>
          </cell>
          <cell r="D412">
            <v>3.6150000000000002</v>
          </cell>
          <cell r="E412">
            <v>3.0449999999999999</v>
          </cell>
          <cell r="F412">
            <v>3.68</v>
          </cell>
          <cell r="G412">
            <v>3.4009999999999998</v>
          </cell>
          <cell r="H412">
            <v>3.0049999999999999</v>
          </cell>
          <cell r="I412">
            <v>2.6240000000000001</v>
          </cell>
          <cell r="J412">
            <v>3.758</v>
          </cell>
          <cell r="K412">
            <v>3.3370000000000002</v>
          </cell>
          <cell r="L412">
            <v>3.8170000000000002</v>
          </cell>
          <cell r="M412">
            <v>4.3689999999999998</v>
          </cell>
          <cell r="N412">
            <v>4.9210000000000003</v>
          </cell>
          <cell r="O412">
            <v>5.3810000000000002</v>
          </cell>
          <cell r="P412">
            <v>6.18</v>
          </cell>
          <cell r="Q412">
            <v>6.7610000000000001</v>
          </cell>
          <cell r="R412">
            <v>5.6840000000000002</v>
          </cell>
          <cell r="S412">
            <v>6.8010000000000002</v>
          </cell>
          <cell r="T412">
            <v>5.5209999999999999</v>
          </cell>
          <cell r="U412">
            <v>5.65</v>
          </cell>
          <cell r="V412">
            <v>4.8520000000000003</v>
          </cell>
          <cell r="W412">
            <v>4.391</v>
          </cell>
          <cell r="X412">
            <v>3.5550000000000002</v>
          </cell>
          <cell r="Y412">
            <v>4.9139999999999997</v>
          </cell>
          <cell r="Z412">
            <v>3.9350000000000001</v>
          </cell>
          <cell r="AA412">
            <v>4.1900000000000004</v>
          </cell>
          <cell r="AB412">
            <v>4.5289999999999999</v>
          </cell>
          <cell r="AC412">
            <v>4.8159999999999998</v>
          </cell>
        </row>
        <row r="413">
          <cell r="A413" t="str">
            <v>Heater replacement only - D to A (Thousand households)</v>
          </cell>
          <cell r="C413">
            <v>9.093</v>
          </cell>
          <cell r="D413">
            <v>11.704000000000001</v>
          </cell>
          <cell r="E413">
            <v>10.196</v>
          </cell>
          <cell r="F413">
            <v>12.875999999999999</v>
          </cell>
          <cell r="G413">
            <v>12.231999999999999</v>
          </cell>
          <cell r="H413">
            <v>11.128</v>
          </cell>
          <cell r="I413">
            <v>10.263999999999999</v>
          </cell>
          <cell r="J413">
            <v>16.183</v>
          </cell>
          <cell r="K413">
            <v>15.369</v>
          </cell>
          <cell r="L413">
            <v>18.265999999999998</v>
          </cell>
          <cell r="M413">
            <v>21.207999999999998</v>
          </cell>
          <cell r="N413">
            <v>23.898</v>
          </cell>
          <cell r="O413">
            <v>16.378</v>
          </cell>
          <cell r="P413">
            <v>18.600999999999999</v>
          </cell>
          <cell r="Q413">
            <v>19.808</v>
          </cell>
          <cell r="R413">
            <v>20.867000000000001</v>
          </cell>
          <cell r="S413">
            <v>22.204000000000001</v>
          </cell>
          <cell r="T413">
            <v>22.077000000000002</v>
          </cell>
          <cell r="U413">
            <v>22.466999999999999</v>
          </cell>
          <cell r="V413">
            <v>23.276</v>
          </cell>
          <cell r="W413">
            <v>5.8380000000000001</v>
          </cell>
          <cell r="X413">
            <v>6.165</v>
          </cell>
          <cell r="Y413">
            <v>4.8570000000000002</v>
          </cell>
          <cell r="Z413">
            <v>5.38</v>
          </cell>
          <cell r="AA413">
            <v>4.6849999999999996</v>
          </cell>
          <cell r="AB413">
            <v>3.778</v>
          </cell>
          <cell r="AC413">
            <v>2.9209999999999998</v>
          </cell>
        </row>
        <row r="414">
          <cell r="A414" t="str">
            <v>Heater replacement only - D to B (Thousand households)</v>
          </cell>
          <cell r="C414">
            <v>151.12299999999999</v>
          </cell>
          <cell r="D414">
            <v>168.30799999999999</v>
          </cell>
          <cell r="E414">
            <v>162.81399999999999</v>
          </cell>
          <cell r="F414">
            <v>181.15700000000001</v>
          </cell>
          <cell r="G414">
            <v>176.70099999999999</v>
          </cell>
          <cell r="H414">
            <v>169.554</v>
          </cell>
          <cell r="I414">
            <v>163.43600000000001</v>
          </cell>
          <cell r="J414">
            <v>193.785</v>
          </cell>
          <cell r="K414">
            <v>187.15799999999999</v>
          </cell>
          <cell r="L414">
            <v>200.95099999999999</v>
          </cell>
          <cell r="M414">
            <v>214.46600000000001</v>
          </cell>
          <cell r="N414">
            <v>226.86099999999999</v>
          </cell>
          <cell r="O414">
            <v>182.90299999999999</v>
          </cell>
          <cell r="P414">
            <v>195.85300000000001</v>
          </cell>
          <cell r="Q414">
            <v>200.87100000000001</v>
          </cell>
          <cell r="R414">
            <v>189.625</v>
          </cell>
          <cell r="S414">
            <v>198.44200000000001</v>
          </cell>
          <cell r="T414">
            <v>179.114</v>
          </cell>
          <cell r="U414">
            <v>174.899</v>
          </cell>
          <cell r="V414">
            <v>166.274</v>
          </cell>
          <cell r="W414">
            <v>58.137999999999998</v>
          </cell>
          <cell r="X414">
            <v>52.261000000000003</v>
          </cell>
          <cell r="Y414">
            <v>53.643000000000001</v>
          </cell>
          <cell r="Z414">
            <v>48.055</v>
          </cell>
          <cell r="AA414">
            <v>45.779000000000003</v>
          </cell>
          <cell r="AB414">
            <v>42.856999999999999</v>
          </cell>
          <cell r="AC414">
            <v>39.719000000000001</v>
          </cell>
        </row>
        <row r="415">
          <cell r="A415" t="str">
            <v>Heater replacement only - D to C (Thousand households)</v>
          </cell>
          <cell r="C415">
            <v>159.768</v>
          </cell>
          <cell r="D415">
            <v>119.41</v>
          </cell>
          <cell r="E415">
            <v>190.965</v>
          </cell>
          <cell r="F415">
            <v>176.67099999999999</v>
          </cell>
          <cell r="G415">
            <v>229.79300000000001</v>
          </cell>
          <cell r="H415">
            <v>287.24799999999999</v>
          </cell>
          <cell r="I415">
            <v>338.02</v>
          </cell>
          <cell r="J415">
            <v>258.31700000000001</v>
          </cell>
          <cell r="K415">
            <v>316.05599999999998</v>
          </cell>
          <cell r="L415">
            <v>297.08</v>
          </cell>
          <cell r="M415">
            <v>270.84300000000002</v>
          </cell>
          <cell r="N415">
            <v>248.43700000000001</v>
          </cell>
          <cell r="O415">
            <v>197.642</v>
          </cell>
          <cell r="P415">
            <v>167.523</v>
          </cell>
          <cell r="Q415">
            <v>145.22999999999999</v>
          </cell>
          <cell r="R415">
            <v>106.708</v>
          </cell>
          <cell r="S415">
            <v>95.078000000000003</v>
          </cell>
          <cell r="T415">
            <v>80.832999999999998</v>
          </cell>
          <cell r="U415">
            <v>75.805999999999997</v>
          </cell>
          <cell r="V415">
            <v>64.864000000000004</v>
          </cell>
          <cell r="W415">
            <v>39.363999999999997</v>
          </cell>
          <cell r="X415">
            <v>31.486999999999998</v>
          </cell>
          <cell r="Y415">
            <v>37.832999999999998</v>
          </cell>
          <cell r="Z415">
            <v>29.800999999999998</v>
          </cell>
          <cell r="AA415">
            <v>29.797000000000001</v>
          </cell>
          <cell r="AB415">
            <v>29.728999999999999</v>
          </cell>
          <cell r="AC415">
            <v>28.949000000000002</v>
          </cell>
        </row>
        <row r="416">
          <cell r="A416" t="str">
            <v>Heater replacement only - D to D (Thousand households)</v>
          </cell>
          <cell r="C416">
            <v>427.90100000000001</v>
          </cell>
          <cell r="D416">
            <v>457.16399999999999</v>
          </cell>
          <cell r="E416">
            <v>389.13200000000001</v>
          </cell>
          <cell r="F416">
            <v>391.16</v>
          </cell>
          <cell r="G416">
            <v>352.49</v>
          </cell>
          <cell r="H416">
            <v>310.161</v>
          </cell>
          <cell r="I416">
            <v>273.60199999999998</v>
          </cell>
          <cell r="J416">
            <v>322.70100000000002</v>
          </cell>
          <cell r="K416">
            <v>285.21600000000001</v>
          </cell>
          <cell r="L416">
            <v>295.60500000000002</v>
          </cell>
          <cell r="M416">
            <v>304.25799999999998</v>
          </cell>
          <cell r="N416">
            <v>308.12799999999999</v>
          </cell>
          <cell r="O416">
            <v>287.61099999999999</v>
          </cell>
          <cell r="P416">
            <v>298.90499999999997</v>
          </cell>
          <cell r="Q416">
            <v>293.24099999999999</v>
          </cell>
          <cell r="R416">
            <v>247.10400000000001</v>
          </cell>
          <cell r="S416">
            <v>255.48699999999999</v>
          </cell>
          <cell r="T416">
            <v>212.649</v>
          </cell>
          <cell r="U416">
            <v>205.29599999999999</v>
          </cell>
          <cell r="V416">
            <v>185.80799999999999</v>
          </cell>
          <cell r="W416">
            <v>154.25700000000001</v>
          </cell>
          <cell r="X416">
            <v>126.66200000000001</v>
          </cell>
          <cell r="Y416">
            <v>154.191</v>
          </cell>
          <cell r="Z416">
            <v>130.339</v>
          </cell>
          <cell r="AA416">
            <v>138.80099999999999</v>
          </cell>
          <cell r="AB416">
            <v>146.739</v>
          </cell>
          <cell r="AC416">
            <v>151.34700000000001</v>
          </cell>
        </row>
        <row r="417">
          <cell r="A417" t="str">
            <v>Heater replacement only - D to E (Thousand households)</v>
          </cell>
          <cell r="C417">
            <v>1.8140000000000001</v>
          </cell>
          <cell r="D417">
            <v>1.8879999999999999</v>
          </cell>
          <cell r="E417">
            <v>1.5009999999999999</v>
          </cell>
          <cell r="F417">
            <v>1.87</v>
          </cell>
          <cell r="G417">
            <v>1.706</v>
          </cell>
          <cell r="H417">
            <v>1.5169999999999999</v>
          </cell>
          <cell r="I417">
            <v>1.3480000000000001</v>
          </cell>
          <cell r="J417">
            <v>1.7210000000000001</v>
          </cell>
          <cell r="K417">
            <v>1.5549999999999999</v>
          </cell>
          <cell r="L417">
            <v>1.6910000000000001</v>
          </cell>
          <cell r="M417">
            <v>1.83</v>
          </cell>
          <cell r="N417">
            <v>1.9530000000000001</v>
          </cell>
          <cell r="O417">
            <v>1.6619999999999999</v>
          </cell>
          <cell r="P417">
            <v>1.84</v>
          </cell>
          <cell r="Q417">
            <v>1.8740000000000001</v>
          </cell>
          <cell r="R417">
            <v>1.4850000000000001</v>
          </cell>
          <cell r="S417">
            <v>1.6859999999999999</v>
          </cell>
          <cell r="T417">
            <v>1.2549999999999999</v>
          </cell>
          <cell r="U417">
            <v>1.24</v>
          </cell>
          <cell r="V417">
            <v>1.0529999999999999</v>
          </cell>
          <cell r="W417">
            <v>0.81899999999999995</v>
          </cell>
          <cell r="X417">
            <v>0.61499999999999999</v>
          </cell>
          <cell r="Y417">
            <v>0.89600000000000002</v>
          </cell>
          <cell r="Z417">
            <v>0.66600000000000004</v>
          </cell>
          <cell r="AA417">
            <v>0.72199999999999998</v>
          </cell>
          <cell r="AB417">
            <v>0.78200000000000003</v>
          </cell>
          <cell r="AC417">
            <v>0.82</v>
          </cell>
        </row>
        <row r="418">
          <cell r="A418" t="str">
            <v>Heater replacement only - D to F (Thousand households)</v>
          </cell>
          <cell r="C418">
            <v>1.331</v>
          </cell>
          <cell r="D418">
            <v>1.022</v>
          </cell>
          <cell r="E418">
            <v>0.92100000000000004</v>
          </cell>
          <cell r="F418">
            <v>1.1830000000000001</v>
          </cell>
          <cell r="G418">
            <v>1.121</v>
          </cell>
          <cell r="H418">
            <v>1.0549999999999999</v>
          </cell>
          <cell r="I418">
            <v>0.99199999999999999</v>
          </cell>
          <cell r="J418">
            <v>1.1140000000000001</v>
          </cell>
          <cell r="K418">
            <v>1.0720000000000001</v>
          </cell>
          <cell r="L418">
            <v>1.151</v>
          </cell>
          <cell r="M418">
            <v>1.2110000000000001</v>
          </cell>
          <cell r="N418">
            <v>1.2769999999999999</v>
          </cell>
          <cell r="O418">
            <v>1.3069999999999999</v>
          </cell>
          <cell r="P418">
            <v>1.4019999999999999</v>
          </cell>
          <cell r="Q418">
            <v>1.3680000000000001</v>
          </cell>
          <cell r="R418">
            <v>1.036</v>
          </cell>
          <cell r="S418">
            <v>1.1619999999999999</v>
          </cell>
          <cell r="T418">
            <v>0.82299999999999995</v>
          </cell>
          <cell r="U418">
            <v>0.77600000000000002</v>
          </cell>
          <cell r="V418">
            <v>0.61699999999999999</v>
          </cell>
          <cell r="W418">
            <v>0.45200000000000001</v>
          </cell>
          <cell r="X418">
            <v>0.32700000000000001</v>
          </cell>
          <cell r="Y418">
            <v>0.46899999999999997</v>
          </cell>
          <cell r="Z418">
            <v>0.33200000000000002</v>
          </cell>
          <cell r="AA418">
            <v>0.34599999999999997</v>
          </cell>
          <cell r="AB418">
            <v>0.36</v>
          </cell>
          <cell r="AC418">
            <v>0.36299999999999999</v>
          </cell>
        </row>
        <row r="419">
          <cell r="A419" t="str">
            <v>Heater replacement only - E to B (Thousand households)</v>
          </cell>
          <cell r="C419">
            <v>31.809000000000001</v>
          </cell>
          <cell r="D419">
            <v>34.817999999999998</v>
          </cell>
          <cell r="E419">
            <v>34.103999999999999</v>
          </cell>
          <cell r="F419">
            <v>36.279000000000003</v>
          </cell>
          <cell r="G419">
            <v>34.366999999999997</v>
          </cell>
          <cell r="H419">
            <v>32.045999999999999</v>
          </cell>
          <cell r="I419">
            <v>29.884</v>
          </cell>
          <cell r="J419">
            <v>33.976999999999997</v>
          </cell>
          <cell r="K419">
            <v>30.152000000000001</v>
          </cell>
          <cell r="L419">
            <v>29.803999999999998</v>
          </cell>
          <cell r="M419">
            <v>29.745000000000001</v>
          </cell>
          <cell r="N419">
            <v>29.952000000000002</v>
          </cell>
          <cell r="O419">
            <v>18.553000000000001</v>
          </cell>
          <cell r="P419">
            <v>17.465</v>
          </cell>
          <cell r="Q419">
            <v>16.004999999999999</v>
          </cell>
          <cell r="R419">
            <v>14.488</v>
          </cell>
          <cell r="S419">
            <v>12.849</v>
          </cell>
          <cell r="T419">
            <v>10.813000000000001</v>
          </cell>
          <cell r="U419">
            <v>9.0440000000000005</v>
          </cell>
          <cell r="V419">
            <v>7.3680000000000003</v>
          </cell>
          <cell r="W419">
            <v>1.456</v>
          </cell>
          <cell r="X419">
            <v>1.19</v>
          </cell>
          <cell r="Y419">
            <v>0.67100000000000004</v>
          </cell>
          <cell r="Z419">
            <v>0.48599999999999999</v>
          </cell>
          <cell r="AA419">
            <v>0.20399999999999999</v>
          </cell>
          <cell r="AB419">
            <v>0.16500000000000001</v>
          </cell>
          <cell r="AC419">
            <v>0.129</v>
          </cell>
        </row>
        <row r="420">
          <cell r="A420" t="str">
            <v>Heater replacement only - E to C (Thousand households)</v>
          </cell>
          <cell r="C420">
            <v>98.590999999999994</v>
          </cell>
          <cell r="D420">
            <v>101.67100000000001</v>
          </cell>
          <cell r="E420">
            <v>100.048</v>
          </cell>
          <cell r="F420">
            <v>109.214</v>
          </cell>
          <cell r="G420">
            <v>104.675</v>
          </cell>
          <cell r="H420">
            <v>99.311000000000007</v>
          </cell>
          <cell r="I420">
            <v>93.981999999999999</v>
          </cell>
          <cell r="J420">
            <v>99.959000000000003</v>
          </cell>
          <cell r="K420">
            <v>89.933000000000007</v>
          </cell>
          <cell r="L420">
            <v>86.444999999999993</v>
          </cell>
          <cell r="M420">
            <v>84.241</v>
          </cell>
          <cell r="N420">
            <v>82.861000000000004</v>
          </cell>
          <cell r="O420">
            <v>25.134</v>
          </cell>
          <cell r="P420">
            <v>24.911999999999999</v>
          </cell>
          <cell r="Q420">
            <v>23.303999999999998</v>
          </cell>
          <cell r="R420">
            <v>17.995000000000001</v>
          </cell>
          <cell r="S420">
            <v>17.582000000000001</v>
          </cell>
          <cell r="T420">
            <v>10.884</v>
          </cell>
          <cell r="U420">
            <v>9.0869999999999997</v>
          </cell>
          <cell r="V420">
            <v>6.7110000000000003</v>
          </cell>
          <cell r="W420">
            <v>2.766</v>
          </cell>
          <cell r="X420">
            <v>1.724</v>
          </cell>
          <cell r="Y420">
            <v>1.593</v>
          </cell>
          <cell r="Z420">
            <v>0.81599999999999995</v>
          </cell>
          <cell r="AA420">
            <v>0.39900000000000002</v>
          </cell>
          <cell r="AB420">
            <v>0.38800000000000001</v>
          </cell>
          <cell r="AC420">
            <v>0.37</v>
          </cell>
        </row>
        <row r="421">
          <cell r="A421" t="str">
            <v>Heater replacement only - E to D (Thousand households)</v>
          </cell>
          <cell r="C421">
            <v>55.283000000000001</v>
          </cell>
          <cell r="D421">
            <v>51.265000000000001</v>
          </cell>
          <cell r="E421">
            <v>49.848999999999997</v>
          </cell>
          <cell r="F421">
            <v>43.18</v>
          </cell>
          <cell r="G421">
            <v>45.392000000000003</v>
          </cell>
          <cell r="H421">
            <v>47.557000000000002</v>
          </cell>
          <cell r="I421">
            <v>49.353000000000002</v>
          </cell>
          <cell r="J421">
            <v>42.116999999999997</v>
          </cell>
          <cell r="K421">
            <v>40.664999999999999</v>
          </cell>
          <cell r="L421">
            <v>35.396999999999998</v>
          </cell>
          <cell r="M421">
            <v>31.317</v>
          </cell>
          <cell r="N421">
            <v>28.263999999999999</v>
          </cell>
          <cell r="O421">
            <v>6.008</v>
          </cell>
          <cell r="P421">
            <v>4.2699999999999996</v>
          </cell>
          <cell r="Q421">
            <v>3.298</v>
          </cell>
          <cell r="R421">
            <v>2.052</v>
          </cell>
          <cell r="S421">
            <v>1.504</v>
          </cell>
          <cell r="T421">
            <v>1.0009999999999999</v>
          </cell>
          <cell r="U421">
            <v>0.83</v>
          </cell>
          <cell r="V421">
            <v>0.60699999999999998</v>
          </cell>
          <cell r="W421">
            <v>0.36</v>
          </cell>
          <cell r="X421">
            <v>0.23599999999999999</v>
          </cell>
          <cell r="Y421">
            <v>0.20599999999999999</v>
          </cell>
          <cell r="Z421">
            <v>0.112</v>
          </cell>
          <cell r="AA421">
            <v>5.5E-2</v>
          </cell>
          <cell r="AB421">
            <v>5.2999999999999999E-2</v>
          </cell>
          <cell r="AC421">
            <v>4.9000000000000002E-2</v>
          </cell>
        </row>
        <row r="422">
          <cell r="A422" t="str">
            <v>Heater replacement only - E to E (Thousand households)</v>
          </cell>
          <cell r="C422">
            <v>139.458</v>
          </cell>
          <cell r="D422">
            <v>133.52699999999999</v>
          </cell>
          <cell r="E422">
            <v>128.41399999999999</v>
          </cell>
          <cell r="F422">
            <v>118.28</v>
          </cell>
          <cell r="G422">
            <v>116.503</v>
          </cell>
          <cell r="H422">
            <v>114.751</v>
          </cell>
          <cell r="I422">
            <v>112.505</v>
          </cell>
          <cell r="J422">
            <v>100.44499999999999</v>
          </cell>
          <cell r="K422">
            <v>90.296000000000006</v>
          </cell>
          <cell r="L422">
            <v>76.55</v>
          </cell>
          <cell r="M422">
            <v>65.191000000000003</v>
          </cell>
          <cell r="N422">
            <v>55.899000000000001</v>
          </cell>
          <cell r="O422">
            <v>48.12</v>
          </cell>
          <cell r="P422">
            <v>39.393999999999998</v>
          </cell>
          <cell r="Q422">
            <v>32.902999999999999</v>
          </cell>
          <cell r="R422">
            <v>22.965</v>
          </cell>
          <cell r="S422">
            <v>17.885000000000002</v>
          </cell>
          <cell r="T422">
            <v>13.33</v>
          </cell>
          <cell r="U422">
            <v>11.113</v>
          </cell>
          <cell r="V422">
            <v>8.2149999999999999</v>
          </cell>
          <cell r="W422">
            <v>8.1349999999999998</v>
          </cell>
          <cell r="X422">
            <v>3.4620000000000002</v>
          </cell>
          <cell r="Y422">
            <v>5.609</v>
          </cell>
          <cell r="Z422">
            <v>2.7250000000000001</v>
          </cell>
          <cell r="AA422">
            <v>1.9219999999999999</v>
          </cell>
          <cell r="AB422">
            <v>2.4449999999999998</v>
          </cell>
          <cell r="AC422">
            <v>2.8090000000000002</v>
          </cell>
        </row>
        <row r="423">
          <cell r="A423" t="str">
            <v>Heater replacement only - E to F (Thousand households)</v>
          </cell>
          <cell r="C423">
            <v>1.97</v>
          </cell>
          <cell r="D423">
            <v>1.718</v>
          </cell>
          <cell r="E423">
            <v>1.4219999999999999</v>
          </cell>
          <cell r="F423">
            <v>1.5429999999999999</v>
          </cell>
          <cell r="G423">
            <v>1.484</v>
          </cell>
          <cell r="H423">
            <v>1.42</v>
          </cell>
          <cell r="I423">
            <v>1.3049999999999999</v>
          </cell>
          <cell r="J423">
            <v>1.3320000000000001</v>
          </cell>
          <cell r="K423">
            <v>1.236</v>
          </cell>
          <cell r="L423">
            <v>1.1839999999999999</v>
          </cell>
          <cell r="M423">
            <v>1.1379999999999999</v>
          </cell>
          <cell r="N423">
            <v>1.0960000000000001</v>
          </cell>
          <cell r="O423">
            <v>0.03</v>
          </cell>
          <cell r="P423">
            <v>3.4000000000000002E-2</v>
          </cell>
          <cell r="Q423">
            <v>3.3000000000000002E-2</v>
          </cell>
          <cell r="R423">
            <v>2.5000000000000001E-2</v>
          </cell>
          <cell r="S423">
            <v>2.8000000000000001E-2</v>
          </cell>
          <cell r="T423">
            <v>1.7000000000000001E-2</v>
          </cell>
          <cell r="U423">
            <v>1.4999999999999999E-2</v>
          </cell>
          <cell r="V423">
            <v>1.0999999999999999E-2</v>
          </cell>
          <cell r="W423">
            <v>7.0000000000000001E-3</v>
          </cell>
          <cell r="X423">
            <v>4.0000000000000001E-3</v>
          </cell>
          <cell r="Y423">
            <v>4.0000000000000001E-3</v>
          </cell>
          <cell r="Z423">
            <v>2E-3</v>
          </cell>
          <cell r="AA423">
            <v>1E-3</v>
          </cell>
          <cell r="AB423">
            <v>1E-3</v>
          </cell>
          <cell r="AC423">
            <v>1E-3</v>
          </cell>
        </row>
        <row r="424">
          <cell r="A424" t="str">
            <v>Heater replacement only - E to G (Thousand households)</v>
          </cell>
          <cell r="C424">
            <v>0.437</v>
          </cell>
          <cell r="D424">
            <v>0.45900000000000002</v>
          </cell>
          <cell r="E424">
            <v>0.29699999999999999</v>
          </cell>
          <cell r="F424">
            <v>0.42899999999999999</v>
          </cell>
          <cell r="G424">
            <v>0.32100000000000001</v>
          </cell>
          <cell r="H424">
            <v>0.191</v>
          </cell>
          <cell r="I424">
            <v>7.0999999999999994E-2</v>
          </cell>
          <cell r="J424">
            <v>0.316</v>
          </cell>
          <cell r="K424">
            <v>0.13400000000000001</v>
          </cell>
          <cell r="L424">
            <v>0.159</v>
          </cell>
          <cell r="M424">
            <v>0.19400000000000001</v>
          </cell>
          <cell r="N424">
            <v>0.214</v>
          </cell>
          <cell r="O424">
            <v>0.20799999999999999</v>
          </cell>
          <cell r="P424">
            <v>0.23200000000000001</v>
          </cell>
          <cell r="Q424">
            <v>0.221</v>
          </cell>
          <cell r="R424">
            <v>0.16</v>
          </cell>
          <cell r="S424">
            <v>0.16900000000000001</v>
          </cell>
          <cell r="T424">
            <v>0.10199999999999999</v>
          </cell>
          <cell r="U424">
            <v>8.5000000000000006E-2</v>
          </cell>
          <cell r="V424">
            <v>5.8000000000000003E-2</v>
          </cell>
          <cell r="W424">
            <v>3.4000000000000002E-2</v>
          </cell>
          <cell r="X424">
            <v>1.9E-2</v>
          </cell>
          <cell r="Y424">
            <v>0.02</v>
          </cell>
          <cell r="Z424">
            <v>8.9999999999999993E-3</v>
          </cell>
          <cell r="AA424">
            <v>5.0000000000000001E-3</v>
          </cell>
          <cell r="AB424">
            <v>5.0000000000000001E-3</v>
          </cell>
          <cell r="AC424">
            <v>5.0000000000000001E-3</v>
          </cell>
        </row>
        <row r="425">
          <cell r="A425" t="str">
            <v>Heater replacement only - F to B (Thousand households)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</row>
        <row r="426">
          <cell r="A426" t="str">
            <v>Heater replacement only - F to C (Thousand households)</v>
          </cell>
          <cell r="C426">
            <v>76.981999999999999</v>
          </cell>
          <cell r="D426">
            <v>78.606999999999999</v>
          </cell>
          <cell r="E426">
            <v>70.975999999999999</v>
          </cell>
          <cell r="F426">
            <v>67.242999999999995</v>
          </cell>
          <cell r="G426">
            <v>58.575000000000003</v>
          </cell>
          <cell r="H426">
            <v>50.587000000000003</v>
          </cell>
          <cell r="I426">
            <v>43.344999999999999</v>
          </cell>
          <cell r="J426">
            <v>42.067</v>
          </cell>
          <cell r="K426">
            <v>34.444000000000003</v>
          </cell>
          <cell r="L426">
            <v>31.105</v>
          </cell>
          <cell r="M426">
            <v>28.280999999999999</v>
          </cell>
          <cell r="N426">
            <v>25.652000000000001</v>
          </cell>
          <cell r="O426">
            <v>17.733000000000001</v>
          </cell>
          <cell r="P426">
            <v>15.686</v>
          </cell>
          <cell r="Q426">
            <v>13.618</v>
          </cell>
          <cell r="R426">
            <v>11.577999999999999</v>
          </cell>
          <cell r="S426">
            <v>9.6539999999999999</v>
          </cell>
          <cell r="T426">
            <v>7.6749999999999998</v>
          </cell>
          <cell r="U426">
            <v>6.0579999999999998</v>
          </cell>
          <cell r="V426">
            <v>4.6630000000000003</v>
          </cell>
          <cell r="W426">
            <v>0.872</v>
          </cell>
          <cell r="X426">
            <v>0.67700000000000005</v>
          </cell>
          <cell r="Y426">
            <v>0.36499999999999999</v>
          </cell>
          <cell r="Z426">
            <v>0.254</v>
          </cell>
          <cell r="AA426">
            <v>0.10299999999999999</v>
          </cell>
          <cell r="AB426">
            <v>8.2000000000000003E-2</v>
          </cell>
          <cell r="AC426">
            <v>6.3E-2</v>
          </cell>
        </row>
        <row r="427">
          <cell r="A427" t="str">
            <v>Heater replacement only - F to D (Thousand households)</v>
          </cell>
          <cell r="C427">
            <v>43.173000000000002</v>
          </cell>
          <cell r="D427">
            <v>39.115000000000002</v>
          </cell>
          <cell r="E427">
            <v>40.130000000000003</v>
          </cell>
          <cell r="F427">
            <v>36.573</v>
          </cell>
          <cell r="G427">
            <v>33.640999999999998</v>
          </cell>
          <cell r="H427">
            <v>31.082000000000001</v>
          </cell>
          <cell r="I427">
            <v>27.803999999999998</v>
          </cell>
          <cell r="J427">
            <v>20.562000000000001</v>
          </cell>
          <cell r="K427">
            <v>18.187000000000001</v>
          </cell>
          <cell r="L427">
            <v>14.478999999999999</v>
          </cell>
          <cell r="M427">
            <v>11.332000000000001</v>
          </cell>
          <cell r="N427">
            <v>8.84</v>
          </cell>
          <cell r="O427">
            <v>5.6050000000000004</v>
          </cell>
          <cell r="P427">
            <v>4.0570000000000004</v>
          </cell>
          <cell r="Q427">
            <v>2.9870000000000001</v>
          </cell>
          <cell r="R427">
            <v>1.786</v>
          </cell>
          <cell r="S427">
            <v>1.242</v>
          </cell>
          <cell r="T427">
            <v>0.54900000000000004</v>
          </cell>
          <cell r="U427">
            <v>0.42599999999999999</v>
          </cell>
          <cell r="V427">
            <v>0.32</v>
          </cell>
          <cell r="W427">
            <v>9.1999999999999998E-2</v>
          </cell>
          <cell r="X427">
            <v>6.9000000000000006E-2</v>
          </cell>
          <cell r="Y427">
            <v>4.1000000000000002E-2</v>
          </cell>
          <cell r="Z427">
            <v>2.7E-2</v>
          </cell>
          <cell r="AA427">
            <v>1.0999999999999999E-2</v>
          </cell>
          <cell r="AB427">
            <v>8.9999999999999993E-3</v>
          </cell>
          <cell r="AC427">
            <v>7.0000000000000001E-3</v>
          </cell>
        </row>
        <row r="428">
          <cell r="A428" t="str">
            <v>Heater replacement only - F to E (Thousand households)</v>
          </cell>
          <cell r="C428">
            <v>13.519</v>
          </cell>
          <cell r="D428">
            <v>12.013999999999999</v>
          </cell>
          <cell r="E428">
            <v>12.585000000000001</v>
          </cell>
          <cell r="F428">
            <v>9.7119999999999997</v>
          </cell>
          <cell r="G428">
            <v>9.9480000000000004</v>
          </cell>
          <cell r="H428">
            <v>10.378</v>
          </cell>
          <cell r="I428">
            <v>10.715999999999999</v>
          </cell>
          <cell r="J428">
            <v>7.7149999999999999</v>
          </cell>
          <cell r="K428">
            <v>8.032</v>
          </cell>
          <cell r="L428">
            <v>6.7430000000000003</v>
          </cell>
          <cell r="M428">
            <v>5.5060000000000002</v>
          </cell>
          <cell r="N428">
            <v>4.4619999999999997</v>
          </cell>
          <cell r="O428">
            <v>3.4000000000000002E-2</v>
          </cell>
          <cell r="P428">
            <v>2.8000000000000001E-2</v>
          </cell>
          <cell r="Q428">
            <v>2.1999999999999999E-2</v>
          </cell>
          <cell r="R428">
            <v>1.2999999999999999E-2</v>
          </cell>
          <cell r="S428">
            <v>1.0999999999999999E-2</v>
          </cell>
          <cell r="T428">
            <v>2E-3</v>
          </cell>
          <cell r="U428">
            <v>2E-3</v>
          </cell>
          <cell r="V428">
            <v>1E-3</v>
          </cell>
          <cell r="W428">
            <v>1E-3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</row>
        <row r="429">
          <cell r="A429" t="str">
            <v>Heater replacement only - F to F (Thousand households)</v>
          </cell>
          <cell r="C429">
            <v>32.359000000000002</v>
          </cell>
          <cell r="D429">
            <v>31.091000000000001</v>
          </cell>
          <cell r="E429">
            <v>26.099</v>
          </cell>
          <cell r="F429">
            <v>20.663</v>
          </cell>
          <cell r="G429">
            <v>17.945</v>
          </cell>
          <cell r="H429">
            <v>15.409000000000001</v>
          </cell>
          <cell r="I429">
            <v>13.307</v>
          </cell>
          <cell r="J429">
            <v>11.423999999999999</v>
          </cell>
          <cell r="K429">
            <v>9.4649999999999999</v>
          </cell>
          <cell r="L429">
            <v>8.1</v>
          </cell>
          <cell r="M429">
            <v>6.9749999999999996</v>
          </cell>
          <cell r="N429">
            <v>6.016</v>
          </cell>
          <cell r="O429">
            <v>5.1879999999999997</v>
          </cell>
          <cell r="P429">
            <v>4.5330000000000004</v>
          </cell>
          <cell r="Q429">
            <v>3.895</v>
          </cell>
          <cell r="R429">
            <v>3.2890000000000001</v>
          </cell>
          <cell r="S429">
            <v>2.722</v>
          </cell>
          <cell r="T429">
            <v>2.2320000000000002</v>
          </cell>
          <cell r="U429">
            <v>1.831</v>
          </cell>
          <cell r="V429">
            <v>1.466</v>
          </cell>
          <cell r="W429">
            <v>1.093</v>
          </cell>
          <cell r="X429">
            <v>0.83099999999999996</v>
          </cell>
          <cell r="Y429">
            <v>0.57699999999999996</v>
          </cell>
          <cell r="Z429">
            <v>0.36299999999999999</v>
          </cell>
          <cell r="AA429">
            <v>0.16500000000000001</v>
          </cell>
          <cell r="AB429">
            <v>0.14799999999999999</v>
          </cell>
          <cell r="AC429">
            <v>0.13</v>
          </cell>
        </row>
        <row r="430">
          <cell r="A430" t="str">
            <v>Heater replacement only - F to G (Thousand households)</v>
          </cell>
          <cell r="C430">
            <v>0.314</v>
          </cell>
          <cell r="D430">
            <v>0.30199999999999999</v>
          </cell>
          <cell r="E430">
            <v>0.20399999999999999</v>
          </cell>
          <cell r="F430">
            <v>0.218</v>
          </cell>
          <cell r="G430">
            <v>0.156</v>
          </cell>
          <cell r="H430">
            <v>0.10199999999999999</v>
          </cell>
          <cell r="I430">
            <v>0.06</v>
          </cell>
          <cell r="J430">
            <v>0.09</v>
          </cell>
          <cell r="K430">
            <v>5.2999999999999999E-2</v>
          </cell>
          <cell r="L430">
            <v>5.2999999999999999E-2</v>
          </cell>
          <cell r="M430">
            <v>5.3999999999999999E-2</v>
          </cell>
          <cell r="N430">
            <v>5.3999999999999999E-2</v>
          </cell>
          <cell r="O430">
            <v>8.0000000000000002E-3</v>
          </cell>
          <cell r="P430">
            <v>6.0000000000000001E-3</v>
          </cell>
          <cell r="Q430">
            <v>5.0000000000000001E-3</v>
          </cell>
          <cell r="R430">
            <v>3.0000000000000001E-3</v>
          </cell>
          <cell r="S430">
            <v>2E-3</v>
          </cell>
          <cell r="T430">
            <v>1E-3</v>
          </cell>
          <cell r="U430">
            <v>1E-3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</row>
        <row r="431">
          <cell r="A431" t="str">
            <v>Heater replacement only - G to C (Thousand households)</v>
          </cell>
          <cell r="C431">
            <v>12.967000000000001</v>
          </cell>
          <cell r="D431">
            <v>13.202</v>
          </cell>
          <cell r="E431">
            <v>8.8230000000000004</v>
          </cell>
          <cell r="F431">
            <v>8.44</v>
          </cell>
          <cell r="G431">
            <v>5.6139999999999999</v>
          </cell>
          <cell r="H431">
            <v>3.266</v>
          </cell>
          <cell r="I431">
            <v>1.5269999999999999</v>
          </cell>
          <cell r="J431">
            <v>2.7559999999999998</v>
          </cell>
          <cell r="K431">
            <v>1.355</v>
          </cell>
          <cell r="L431">
            <v>1.3859999999999999</v>
          </cell>
          <cell r="M431">
            <v>1.446</v>
          </cell>
          <cell r="N431">
            <v>1.4370000000000001</v>
          </cell>
          <cell r="O431">
            <v>1.2829999999999999</v>
          </cell>
          <cell r="P431">
            <v>1.3460000000000001</v>
          </cell>
          <cell r="Q431">
            <v>1.2509999999999999</v>
          </cell>
          <cell r="R431">
            <v>1.1160000000000001</v>
          </cell>
          <cell r="S431">
            <v>1.0029999999999999</v>
          </cell>
          <cell r="T431">
            <v>0.75700000000000001</v>
          </cell>
          <cell r="U431">
            <v>0.59799999999999998</v>
          </cell>
          <cell r="V431">
            <v>0.46</v>
          </cell>
          <cell r="W431">
            <v>8.2000000000000003E-2</v>
          </cell>
          <cell r="X431">
            <v>6.2E-2</v>
          </cell>
          <cell r="Y431">
            <v>3.5000000000000003E-2</v>
          </cell>
          <cell r="Z431">
            <v>2.3E-2</v>
          </cell>
          <cell r="AA431">
            <v>8.9999999999999993E-3</v>
          </cell>
          <cell r="AB431">
            <v>7.0000000000000001E-3</v>
          </cell>
          <cell r="AC431">
            <v>5.0000000000000001E-3</v>
          </cell>
        </row>
        <row r="432">
          <cell r="A432" t="str">
            <v>Heater replacement only - G to D (Thousand households)</v>
          </cell>
          <cell r="C432">
            <v>44.783000000000001</v>
          </cell>
          <cell r="D432">
            <v>41.927</v>
          </cell>
          <cell r="E432">
            <v>37.460999999999999</v>
          </cell>
          <cell r="F432">
            <v>33.231999999999999</v>
          </cell>
          <cell r="G432">
            <v>26.600999999999999</v>
          </cell>
          <cell r="H432">
            <v>20.841999999999999</v>
          </cell>
          <cell r="I432">
            <v>15.12</v>
          </cell>
          <cell r="J432">
            <v>11.263999999999999</v>
          </cell>
          <cell r="K432">
            <v>8.2460000000000004</v>
          </cell>
          <cell r="L432">
            <v>6.1040000000000001</v>
          </cell>
          <cell r="M432">
            <v>4.5380000000000003</v>
          </cell>
          <cell r="N432">
            <v>3.3929999999999998</v>
          </cell>
          <cell r="O432">
            <v>0.25</v>
          </cell>
          <cell r="P432">
            <v>0.20899999999999999</v>
          </cell>
          <cell r="Q432">
            <v>0.17</v>
          </cell>
          <cell r="R432">
            <v>0.13200000000000001</v>
          </cell>
          <cell r="S432">
            <v>0.106</v>
          </cell>
          <cell r="T432">
            <v>7.5999999999999998E-2</v>
          </cell>
          <cell r="U432">
            <v>5.8000000000000003E-2</v>
          </cell>
          <cell r="V432">
            <v>4.2999999999999997E-2</v>
          </cell>
          <cell r="W432">
            <v>8.0000000000000002E-3</v>
          </cell>
          <cell r="X432">
            <v>6.0000000000000001E-3</v>
          </cell>
          <cell r="Y432">
            <v>3.0000000000000001E-3</v>
          </cell>
          <cell r="Z432">
            <v>2E-3</v>
          </cell>
          <cell r="AA432">
            <v>1E-3</v>
          </cell>
          <cell r="AB432">
            <v>1E-3</v>
          </cell>
          <cell r="AC432">
            <v>0</v>
          </cell>
        </row>
        <row r="433">
          <cell r="A433" t="str">
            <v>Heater replacement only - G to E (Thousand households)</v>
          </cell>
          <cell r="C433">
            <v>17.585000000000001</v>
          </cell>
          <cell r="D433">
            <v>12.02</v>
          </cell>
          <cell r="E433">
            <v>12.420999999999999</v>
          </cell>
          <cell r="F433">
            <v>8.6460000000000008</v>
          </cell>
          <cell r="G433">
            <v>7.8029999999999999</v>
          </cell>
          <cell r="H433">
            <v>7.4530000000000003</v>
          </cell>
          <cell r="I433">
            <v>6.9420000000000002</v>
          </cell>
          <cell r="J433">
            <v>3.7240000000000002</v>
          </cell>
          <cell r="K433">
            <v>4.0350000000000001</v>
          </cell>
          <cell r="L433">
            <v>2.968</v>
          </cell>
          <cell r="M433">
            <v>2.0840000000000001</v>
          </cell>
          <cell r="N433">
            <v>1.4490000000000001</v>
          </cell>
          <cell r="O433">
            <v>0.95799999999999996</v>
          </cell>
          <cell r="P433">
            <v>0.501</v>
          </cell>
          <cell r="Q433">
            <v>0.28799999999999998</v>
          </cell>
          <cell r="R433">
            <v>0.14499999999999999</v>
          </cell>
          <cell r="S433">
            <v>7.0000000000000001E-3</v>
          </cell>
          <cell r="T433">
            <v>5.7000000000000002E-2</v>
          </cell>
          <cell r="U433">
            <v>4.4999999999999998E-2</v>
          </cell>
          <cell r="V433">
            <v>3.7999999999999999E-2</v>
          </cell>
          <cell r="W433">
            <v>1.2999999999999999E-2</v>
          </cell>
          <cell r="X433">
            <v>1.2E-2</v>
          </cell>
          <cell r="Y433">
            <v>5.0000000000000001E-3</v>
          </cell>
          <cell r="Z433">
            <v>4.0000000000000001E-3</v>
          </cell>
          <cell r="AA433">
            <v>2E-3</v>
          </cell>
          <cell r="AB433">
            <v>1E-3</v>
          </cell>
          <cell r="AC433">
            <v>1E-3</v>
          </cell>
        </row>
        <row r="434">
          <cell r="A434" t="str">
            <v>Heater replacement only - G to F (Thousand households)</v>
          </cell>
          <cell r="C434">
            <v>8.3759999999999994</v>
          </cell>
          <cell r="D434">
            <v>8.1859999999999999</v>
          </cell>
          <cell r="E434">
            <v>6.42</v>
          </cell>
          <cell r="F434">
            <v>4.3609999999999998</v>
          </cell>
          <cell r="G434">
            <v>3.464</v>
          </cell>
          <cell r="H434">
            <v>2.645</v>
          </cell>
          <cell r="I434">
            <v>1.954</v>
          </cell>
          <cell r="J434">
            <v>1.3959999999999999</v>
          </cell>
          <cell r="K434">
            <v>0.999</v>
          </cell>
          <cell r="L434">
            <v>0.71799999999999997</v>
          </cell>
          <cell r="M434">
            <v>0.51900000000000002</v>
          </cell>
          <cell r="N434">
            <v>0.373</v>
          </cell>
          <cell r="O434">
            <v>2E-3</v>
          </cell>
          <cell r="P434">
            <v>1E-3</v>
          </cell>
          <cell r="Q434">
            <v>1E-3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</row>
        <row r="435">
          <cell r="A435" t="str">
            <v>Heater replacement only - G to G (Thousand households)</v>
          </cell>
          <cell r="C435">
            <v>6.6440000000000001</v>
          </cell>
          <cell r="D435">
            <v>5.8959999999999999</v>
          </cell>
          <cell r="E435">
            <v>4.1180000000000003</v>
          </cell>
          <cell r="F435">
            <v>3.17</v>
          </cell>
          <cell r="G435">
            <v>2.3570000000000002</v>
          </cell>
          <cell r="H435">
            <v>1.6839999999999999</v>
          </cell>
          <cell r="I435">
            <v>1.19</v>
          </cell>
          <cell r="J435">
            <v>1.071</v>
          </cell>
          <cell r="K435">
            <v>0.75600000000000001</v>
          </cell>
          <cell r="L435">
            <v>0.625</v>
          </cell>
          <cell r="M435">
            <v>0.52700000000000002</v>
          </cell>
          <cell r="N435">
            <v>0.44500000000000001</v>
          </cell>
          <cell r="O435">
            <v>0.35699999999999998</v>
          </cell>
          <cell r="P435">
            <v>0.32</v>
          </cell>
          <cell r="Q435">
            <v>0.27100000000000002</v>
          </cell>
          <cell r="R435">
            <v>0.22800000000000001</v>
          </cell>
          <cell r="S435">
            <v>0.192</v>
          </cell>
          <cell r="T435">
            <v>0.14799999999999999</v>
          </cell>
          <cell r="U435">
            <v>0.11600000000000001</v>
          </cell>
          <cell r="V435">
            <v>8.8999999999999996E-2</v>
          </cell>
          <cell r="W435">
            <v>4.4999999999999998E-2</v>
          </cell>
          <cell r="X435">
            <v>3.2000000000000001E-2</v>
          </cell>
          <cell r="Y435">
            <v>0.02</v>
          </cell>
          <cell r="Z435">
            <v>1.2E-2</v>
          </cell>
          <cell r="AA435">
            <v>5.0000000000000001E-3</v>
          </cell>
          <cell r="AB435">
            <v>4.0000000000000001E-3</v>
          </cell>
          <cell r="AC435">
            <v>3.0000000000000001E-3</v>
          </cell>
        </row>
        <row r="436">
          <cell r="A436" t="str">
            <v>Heating intensity (%)</v>
          </cell>
          <cell r="B436">
            <v>0.80600000000000005</v>
          </cell>
          <cell r="C436">
            <v>0.81100000000000005</v>
          </cell>
          <cell r="D436">
            <v>0.81799999999999995</v>
          </cell>
          <cell r="E436">
            <v>0.83</v>
          </cell>
          <cell r="F436">
            <v>0.83799999999999997</v>
          </cell>
          <cell r="G436">
            <v>0.85099999999999998</v>
          </cell>
          <cell r="H436">
            <v>0.86399999999999999</v>
          </cell>
          <cell r="I436">
            <v>0.876</v>
          </cell>
          <cell r="J436">
            <v>0.88800000000000001</v>
          </cell>
          <cell r="K436">
            <v>0.9</v>
          </cell>
          <cell r="L436">
            <v>0.91200000000000003</v>
          </cell>
          <cell r="M436">
            <v>0.92300000000000004</v>
          </cell>
          <cell r="N436">
            <v>0.93400000000000005</v>
          </cell>
          <cell r="O436">
            <v>0.94499999999999995</v>
          </cell>
          <cell r="P436">
            <v>0.95499999999999996</v>
          </cell>
          <cell r="Q436">
            <v>0.96499999999999997</v>
          </cell>
          <cell r="R436">
            <v>0.97499999999999998</v>
          </cell>
          <cell r="S436">
            <v>0.96</v>
          </cell>
          <cell r="T436">
            <v>0.99399999999999999</v>
          </cell>
          <cell r="U436">
            <v>1.0029999999999999</v>
          </cell>
          <cell r="V436">
            <v>1.0109999999999999</v>
          </cell>
          <cell r="W436">
            <v>1.0169999999999999</v>
          </cell>
          <cell r="X436">
            <v>1.0229999999999999</v>
          </cell>
          <cell r="Y436">
            <v>1.0289999999999999</v>
          </cell>
          <cell r="Z436">
            <v>1.036</v>
          </cell>
          <cell r="AA436">
            <v>1.042</v>
          </cell>
          <cell r="AB436">
            <v>1.0469999999999999</v>
          </cell>
          <cell r="AC436">
            <v>1.0529999999999999</v>
          </cell>
        </row>
        <row r="437">
          <cell r="A437" t="str">
            <v>Hidden cost heater (Billion euro)</v>
          </cell>
          <cell r="C437">
            <v>31.391999999999999</v>
          </cell>
          <cell r="D437">
            <v>35.548999999999999</v>
          </cell>
          <cell r="E437">
            <v>27.754999999999999</v>
          </cell>
          <cell r="F437">
            <v>29.259</v>
          </cell>
          <cell r="G437">
            <v>24.032</v>
          </cell>
          <cell r="H437">
            <v>18.010999999999999</v>
          </cell>
          <cell r="I437">
            <v>12.446999999999999</v>
          </cell>
          <cell r="J437">
            <v>20.864999999999998</v>
          </cell>
          <cell r="K437">
            <v>14.622999999999999</v>
          </cell>
          <cell r="L437">
            <v>16.620999999999999</v>
          </cell>
          <cell r="M437">
            <v>19.134</v>
          </cell>
          <cell r="N437">
            <v>21.288</v>
          </cell>
          <cell r="O437">
            <v>18.164000000000001</v>
          </cell>
          <cell r="P437">
            <v>21.495000000000001</v>
          </cell>
          <cell r="Q437">
            <v>23.222999999999999</v>
          </cell>
          <cell r="R437">
            <v>19.137</v>
          </cell>
          <cell r="S437">
            <v>23.044</v>
          </cell>
          <cell r="T437">
            <v>17.706</v>
          </cell>
          <cell r="U437">
            <v>17.981000000000002</v>
          </cell>
          <cell r="V437">
            <v>15.262</v>
          </cell>
          <cell r="W437">
            <v>10.95</v>
          </cell>
          <cell r="X437">
            <v>8.3019999999999996</v>
          </cell>
          <cell r="Y437">
            <v>12.218999999999999</v>
          </cell>
          <cell r="Z437">
            <v>9.2050000000000001</v>
          </cell>
          <cell r="AA437">
            <v>9.8339999999999996</v>
          </cell>
          <cell r="AB437">
            <v>10.686</v>
          </cell>
          <cell r="AC437">
            <v>11.419</v>
          </cell>
        </row>
        <row r="438">
          <cell r="A438" t="str">
            <v>Hidden cost insulation (Billion euro)</v>
          </cell>
          <cell r="C438">
            <v>2.6749999999999998</v>
          </cell>
          <cell r="D438">
            <v>2.2160000000000002</v>
          </cell>
          <cell r="E438">
            <v>7.7480000000000002</v>
          </cell>
          <cell r="F438">
            <v>7.5709999999999997</v>
          </cell>
          <cell r="G438">
            <v>5.9660000000000002</v>
          </cell>
          <cell r="H438">
            <v>6.91</v>
          </cell>
          <cell r="I438">
            <v>5.9889999999999999</v>
          </cell>
          <cell r="J438">
            <v>5.734</v>
          </cell>
          <cell r="K438">
            <v>4.3390000000000004</v>
          </cell>
          <cell r="L438">
            <v>3.1720000000000002</v>
          </cell>
          <cell r="M438">
            <v>2.0409999999999999</v>
          </cell>
          <cell r="N438">
            <v>1.2589999999999999</v>
          </cell>
          <cell r="O438">
            <v>0.98</v>
          </cell>
          <cell r="P438">
            <v>0.34699999999999998</v>
          </cell>
          <cell r="Q438">
            <v>0.63300000000000001</v>
          </cell>
          <cell r="R438">
            <v>8.5000000000000006E-2</v>
          </cell>
          <cell r="S438">
            <v>4.1449999999999996</v>
          </cell>
          <cell r="T438">
            <v>-0.99</v>
          </cell>
          <cell r="U438">
            <v>-1.1890000000000001</v>
          </cell>
          <cell r="V438">
            <v>-1.234</v>
          </cell>
          <cell r="W438">
            <v>-1.448</v>
          </cell>
          <cell r="X438">
            <v>-1.5169999999999999</v>
          </cell>
          <cell r="Y438">
            <v>-1.5649999999999999</v>
          </cell>
          <cell r="Z438">
            <v>-1.609</v>
          </cell>
          <cell r="AA438">
            <v>-1.6419999999999999</v>
          </cell>
          <cell r="AB438">
            <v>-1.6240000000000001</v>
          </cell>
          <cell r="AC438">
            <v>-1.4450000000000001</v>
          </cell>
        </row>
        <row r="439">
          <cell r="A439" t="str">
            <v>High-performance flow for heater replacement only (Thousand households)</v>
          </cell>
          <cell r="C439">
            <v>315.31</v>
          </cell>
          <cell r="D439">
            <v>337.67500000000001</v>
          </cell>
          <cell r="E439">
            <v>332.84399999999999</v>
          </cell>
          <cell r="F439">
            <v>356.38499999999999</v>
          </cell>
          <cell r="G439">
            <v>354.32299999999998</v>
          </cell>
          <cell r="H439">
            <v>353.54199999999997</v>
          </cell>
          <cell r="I439">
            <v>357.76</v>
          </cell>
          <cell r="J439">
            <v>388.072</v>
          </cell>
          <cell r="K439">
            <v>399.16500000000002</v>
          </cell>
          <cell r="L439">
            <v>419.387</v>
          </cell>
          <cell r="M439">
            <v>436.56</v>
          </cell>
          <cell r="N439">
            <v>452.97800000000001</v>
          </cell>
          <cell r="O439">
            <v>381.04399999999998</v>
          </cell>
          <cell r="P439">
            <v>387.76499999999999</v>
          </cell>
          <cell r="Q439">
            <v>395.803</v>
          </cell>
          <cell r="R439">
            <v>366.923</v>
          </cell>
          <cell r="S439">
            <v>379.178</v>
          </cell>
          <cell r="T439">
            <v>359.62799999999999</v>
          </cell>
          <cell r="U439">
            <v>361.25700000000001</v>
          </cell>
          <cell r="V439">
            <v>348.22899999999998</v>
          </cell>
          <cell r="W439">
            <v>163.79499999999999</v>
          </cell>
          <cell r="X439">
            <v>152.22499999999999</v>
          </cell>
          <cell r="Y439">
            <v>160.76499999999999</v>
          </cell>
          <cell r="Z439">
            <v>148.43299999999999</v>
          </cell>
          <cell r="AA439">
            <v>145.57400000000001</v>
          </cell>
          <cell r="AB439">
            <v>142.322</v>
          </cell>
          <cell r="AC439">
            <v>137.53200000000001</v>
          </cell>
        </row>
        <row r="440">
          <cell r="A440" t="str">
            <v>High-performance renovation (Thousand households)</v>
          </cell>
          <cell r="C440">
            <v>40.546999999999997</v>
          </cell>
          <cell r="D440">
            <v>47.515999999999998</v>
          </cell>
          <cell r="E440">
            <v>111.712</v>
          </cell>
          <cell r="F440">
            <v>121.60599999999999</v>
          </cell>
          <cell r="G440">
            <v>120.255</v>
          </cell>
          <cell r="H440">
            <v>138.26499999999999</v>
          </cell>
          <cell r="I440">
            <v>136.68600000000001</v>
          </cell>
          <cell r="J440">
            <v>132.37799999999999</v>
          </cell>
          <cell r="K440">
            <v>125.58199999999999</v>
          </cell>
          <cell r="L440">
            <v>126.702</v>
          </cell>
          <cell r="M440">
            <v>132.35300000000001</v>
          </cell>
          <cell r="N440">
            <v>136.12100000000001</v>
          </cell>
          <cell r="O440">
            <v>124.20099999999999</v>
          </cell>
          <cell r="P440">
            <v>119.652</v>
          </cell>
          <cell r="Q440">
            <v>133.774</v>
          </cell>
          <cell r="R440">
            <v>140.233</v>
          </cell>
          <cell r="S440">
            <v>148.46299999999999</v>
          </cell>
          <cell r="T440">
            <v>138.63499999999999</v>
          </cell>
          <cell r="U440">
            <v>137.68799999999999</v>
          </cell>
          <cell r="V440">
            <v>126.857</v>
          </cell>
          <cell r="W440">
            <v>123.523</v>
          </cell>
          <cell r="X440">
            <v>115.833</v>
          </cell>
          <cell r="Y440">
            <v>111.00700000000001</v>
          </cell>
          <cell r="Z440">
            <v>104.819</v>
          </cell>
          <cell r="AA440">
            <v>100.09</v>
          </cell>
          <cell r="AB440">
            <v>95.98</v>
          </cell>
          <cell r="AC440">
            <v>96.983000000000004</v>
          </cell>
        </row>
        <row r="441">
          <cell r="A441" t="str">
            <v>Income state (Billion euro)</v>
          </cell>
          <cell r="C441">
            <v>9.1389999999999993</v>
          </cell>
          <cell r="D441">
            <v>9.6769999999999996</v>
          </cell>
          <cell r="E441">
            <v>9.8699999999999992</v>
          </cell>
          <cell r="F441">
            <v>10.38</v>
          </cell>
          <cell r="G441">
            <v>9.9640000000000004</v>
          </cell>
          <cell r="H441">
            <v>9.6</v>
          </cell>
          <cell r="I441">
            <v>9.1790000000000003</v>
          </cell>
          <cell r="J441">
            <v>9.0549999999999997</v>
          </cell>
          <cell r="K441">
            <v>8.6440000000000001</v>
          </cell>
          <cell r="L441">
            <v>8.3360000000000003</v>
          </cell>
          <cell r="M441">
            <v>8.06</v>
          </cell>
          <cell r="N441">
            <v>7.7960000000000003</v>
          </cell>
          <cell r="O441">
            <v>7.4880000000000004</v>
          </cell>
          <cell r="P441">
            <v>7.4329999999999998</v>
          </cell>
          <cell r="Q441">
            <v>7.2969999999999997</v>
          </cell>
          <cell r="R441">
            <v>7.056</v>
          </cell>
          <cell r="S441">
            <v>10.881</v>
          </cell>
          <cell r="T441">
            <v>6.702</v>
          </cell>
          <cell r="U441">
            <v>6.5140000000000002</v>
          </cell>
          <cell r="V441">
            <v>6.2919999999999998</v>
          </cell>
          <cell r="W441">
            <v>6.359</v>
          </cell>
          <cell r="X441">
            <v>6.2480000000000002</v>
          </cell>
          <cell r="Y441">
            <v>6.1559999999999997</v>
          </cell>
          <cell r="Z441">
            <v>6.0250000000000004</v>
          </cell>
          <cell r="AA441">
            <v>5.9029999999999996</v>
          </cell>
          <cell r="AB441">
            <v>5.7859999999999996</v>
          </cell>
          <cell r="AC441">
            <v>5.6820000000000004</v>
          </cell>
        </row>
        <row r="442">
          <cell r="A442" t="str">
            <v>Insulation (Thousand households)</v>
          </cell>
          <cell r="C442">
            <v>588.63099999999997</v>
          </cell>
          <cell r="D442">
            <v>618.97900000000004</v>
          </cell>
          <cell r="E442">
            <v>875.36</v>
          </cell>
          <cell r="F442">
            <v>896.649</v>
          </cell>
          <cell r="G442">
            <v>878.32799999999997</v>
          </cell>
          <cell r="H442">
            <v>887.83500000000004</v>
          </cell>
          <cell r="I442">
            <v>874.57600000000002</v>
          </cell>
          <cell r="J442">
            <v>1048.915</v>
          </cell>
          <cell r="K442">
            <v>945.66399999999999</v>
          </cell>
          <cell r="L442">
            <v>891.55</v>
          </cell>
          <cell r="M442">
            <v>883.79399999999998</v>
          </cell>
          <cell r="N442">
            <v>844.327</v>
          </cell>
          <cell r="O442">
            <v>821.80600000000004</v>
          </cell>
          <cell r="P442">
            <v>1178.3399999999999</v>
          </cell>
          <cell r="Q442">
            <v>1124.373</v>
          </cell>
          <cell r="R442">
            <v>1093.981</v>
          </cell>
          <cell r="S442">
            <v>1287.066</v>
          </cell>
          <cell r="T442">
            <v>1127.0920000000001</v>
          </cell>
          <cell r="U442">
            <v>1071.3610000000001</v>
          </cell>
          <cell r="V442">
            <v>959.29700000000003</v>
          </cell>
          <cell r="W442">
            <v>963.96500000000003</v>
          </cell>
          <cell r="X442">
            <v>914.62199999999996</v>
          </cell>
          <cell r="Y442">
            <v>868.78599999999994</v>
          </cell>
          <cell r="Z442">
            <v>827.69100000000003</v>
          </cell>
          <cell r="AA442">
            <v>789.16</v>
          </cell>
          <cell r="AB442">
            <v>752.75199999999995</v>
          </cell>
          <cell r="AC442">
            <v>724.78</v>
          </cell>
        </row>
        <row r="443">
          <cell r="A443" t="str">
            <v>Insulation and switch decarbonize (Thousand households)</v>
          </cell>
          <cell r="C443">
            <v>12.353</v>
          </cell>
          <cell r="D443">
            <v>14.037000000000001</v>
          </cell>
          <cell r="E443">
            <v>31.536000000000001</v>
          </cell>
          <cell r="F443">
            <v>33.976999999999997</v>
          </cell>
          <cell r="G443">
            <v>32.374000000000002</v>
          </cell>
          <cell r="H443">
            <v>31.35</v>
          </cell>
          <cell r="I443">
            <v>29.512</v>
          </cell>
          <cell r="J443">
            <v>31.866</v>
          </cell>
          <cell r="K443">
            <v>30.428999999999998</v>
          </cell>
          <cell r="L443">
            <v>31.818999999999999</v>
          </cell>
          <cell r="M443">
            <v>33.814999999999998</v>
          </cell>
          <cell r="N443">
            <v>34.588999999999999</v>
          </cell>
          <cell r="O443">
            <v>26.17</v>
          </cell>
          <cell r="P443">
            <v>26.492000000000001</v>
          </cell>
          <cell r="Q443">
            <v>27.016999999999999</v>
          </cell>
          <cell r="R443">
            <v>24.285</v>
          </cell>
          <cell r="S443">
            <v>25.751999999999999</v>
          </cell>
          <cell r="T443">
            <v>22.061</v>
          </cell>
          <cell r="U443">
            <v>21.716999999999999</v>
          </cell>
          <cell r="V443">
            <v>15.95</v>
          </cell>
          <cell r="W443">
            <v>7.5789999999999997</v>
          </cell>
          <cell r="X443">
            <v>6.25</v>
          </cell>
          <cell r="Y443">
            <v>7.4770000000000003</v>
          </cell>
          <cell r="Z443">
            <v>6.0960000000000001</v>
          </cell>
          <cell r="AA443">
            <v>6.141</v>
          </cell>
          <cell r="AB443">
            <v>6.2220000000000004</v>
          </cell>
          <cell r="AC443">
            <v>6.2969999999999997</v>
          </cell>
        </row>
        <row r="444">
          <cell r="A444" t="str">
            <v>Investment Electricity-Heat pump air (Billion euro)</v>
          </cell>
          <cell r="C444">
            <v>2.677</v>
          </cell>
          <cell r="D444">
            <v>2.8170000000000002</v>
          </cell>
          <cell r="E444">
            <v>2.395</v>
          </cell>
          <cell r="F444">
            <v>2.5310000000000001</v>
          </cell>
          <cell r="G444">
            <v>2.2690000000000001</v>
          </cell>
          <cell r="H444">
            <v>1.996</v>
          </cell>
          <cell r="I444">
            <v>1.7450000000000001</v>
          </cell>
          <cell r="J444">
            <v>2.0350000000000001</v>
          </cell>
          <cell r="K444">
            <v>1.786</v>
          </cell>
          <cell r="L444">
            <v>1.845</v>
          </cell>
          <cell r="M444">
            <v>1.92</v>
          </cell>
          <cell r="N444">
            <v>1.9850000000000001</v>
          </cell>
          <cell r="O444">
            <v>1.6579999999999999</v>
          </cell>
          <cell r="P444">
            <v>1.7789999999999999</v>
          </cell>
          <cell r="Q444">
            <v>1.83</v>
          </cell>
          <cell r="R444">
            <v>1.698</v>
          </cell>
          <cell r="S444">
            <v>1.8160000000000001</v>
          </cell>
          <cell r="T444">
            <v>1.6120000000000001</v>
          </cell>
          <cell r="U444">
            <v>1.597</v>
          </cell>
          <cell r="V444">
            <v>1.502</v>
          </cell>
          <cell r="W444">
            <v>2.6080000000000001</v>
          </cell>
          <cell r="X444">
            <v>2.6739999999999999</v>
          </cell>
          <cell r="Y444">
            <v>2.5299999999999998</v>
          </cell>
          <cell r="Z444">
            <v>2.597</v>
          </cell>
          <cell r="AA444">
            <v>2.419</v>
          </cell>
          <cell r="AB444">
            <v>2.2269999999999999</v>
          </cell>
          <cell r="AC444">
            <v>2.0409999999999999</v>
          </cell>
        </row>
        <row r="445">
          <cell r="A445" t="str">
            <v>Investment Electricity-Heat pump water (Billion euro)</v>
          </cell>
          <cell r="C445">
            <v>5.6319999999999997</v>
          </cell>
          <cell r="D445">
            <v>5.8940000000000001</v>
          </cell>
          <cell r="E445">
            <v>5.9569999999999999</v>
          </cell>
          <cell r="F445">
            <v>6.2560000000000002</v>
          </cell>
          <cell r="G445">
            <v>5.8120000000000003</v>
          </cell>
          <cell r="H445">
            <v>5.3449999999999998</v>
          </cell>
          <cell r="I445">
            <v>4.9080000000000004</v>
          </cell>
          <cell r="J445">
            <v>5.4589999999999996</v>
          </cell>
          <cell r="K445">
            <v>5.0170000000000003</v>
          </cell>
          <cell r="L445">
            <v>5.1360000000000001</v>
          </cell>
          <cell r="M445">
            <v>5.2880000000000003</v>
          </cell>
          <cell r="N445">
            <v>5.4219999999999997</v>
          </cell>
          <cell r="O445">
            <v>4.4649999999999999</v>
          </cell>
          <cell r="P445">
            <v>4.6879999999999997</v>
          </cell>
          <cell r="Q445">
            <v>4.7759999999999998</v>
          </cell>
          <cell r="R445">
            <v>4.4450000000000003</v>
          </cell>
          <cell r="S445">
            <v>4.6779999999999999</v>
          </cell>
          <cell r="T445">
            <v>4.2229999999999999</v>
          </cell>
          <cell r="U445">
            <v>4.1790000000000003</v>
          </cell>
          <cell r="V445">
            <v>3.95</v>
          </cell>
          <cell r="W445">
            <v>6.3449999999999998</v>
          </cell>
          <cell r="X445">
            <v>6.4969999999999999</v>
          </cell>
          <cell r="Y445">
            <v>6.5419999999999998</v>
          </cell>
          <cell r="Z445">
            <v>6.7249999999999996</v>
          </cell>
          <cell r="AA445">
            <v>6.3360000000000003</v>
          </cell>
          <cell r="AB445">
            <v>5.915</v>
          </cell>
          <cell r="AC445">
            <v>5.5069999999999997</v>
          </cell>
        </row>
        <row r="446">
          <cell r="A446" t="str">
            <v>Investment Electricity-Performance boiler (Billion euro)</v>
          </cell>
          <cell r="C446">
            <v>0.40100000000000002</v>
          </cell>
          <cell r="D446">
            <v>0.42499999999999999</v>
          </cell>
          <cell r="E446">
            <v>0.32900000000000001</v>
          </cell>
          <cell r="F446">
            <v>0.36599999999999999</v>
          </cell>
          <cell r="G446">
            <v>0.318</v>
          </cell>
          <cell r="H446">
            <v>0.25800000000000001</v>
          </cell>
          <cell r="I446">
            <v>0.20200000000000001</v>
          </cell>
          <cell r="J446">
            <v>0.3</v>
          </cell>
          <cell r="K446">
            <v>0.23799999999999999</v>
          </cell>
          <cell r="L446">
            <v>0.26600000000000001</v>
          </cell>
          <cell r="M446">
            <v>0.30099999999999999</v>
          </cell>
          <cell r="N446">
            <v>0.33200000000000002</v>
          </cell>
          <cell r="O446">
            <v>0.32200000000000001</v>
          </cell>
          <cell r="P446">
            <v>0.373</v>
          </cell>
          <cell r="Q446">
            <v>0.40300000000000002</v>
          </cell>
          <cell r="R446">
            <v>0.41599999999999998</v>
          </cell>
          <cell r="S446">
            <v>0.46</v>
          </cell>
          <cell r="T446">
            <v>0.439</v>
          </cell>
          <cell r="U446">
            <v>0.44700000000000001</v>
          </cell>
          <cell r="V446">
            <v>0.44400000000000001</v>
          </cell>
          <cell r="W446">
            <v>0.13500000000000001</v>
          </cell>
          <cell r="X446">
            <v>0.13</v>
          </cell>
          <cell r="Y446">
            <v>0.124</v>
          </cell>
          <cell r="Z446">
            <v>0.121</v>
          </cell>
          <cell r="AA446">
            <v>0.113</v>
          </cell>
          <cell r="AB446">
            <v>0.10299999999999999</v>
          </cell>
          <cell r="AC446">
            <v>9.4E-2</v>
          </cell>
        </row>
        <row r="447">
          <cell r="A447" t="str">
            <v>Investment Floor (Billion euro)</v>
          </cell>
          <cell r="C447">
            <v>0.32300000000000001</v>
          </cell>
          <cell r="D447">
            <v>0.31900000000000001</v>
          </cell>
          <cell r="E447">
            <v>0.61699999999999999</v>
          </cell>
          <cell r="F447">
            <v>0.63900000000000001</v>
          </cell>
          <cell r="G447">
            <v>0.60099999999999998</v>
          </cell>
          <cell r="H447">
            <v>0.61699999999999999</v>
          </cell>
          <cell r="I447">
            <v>0.624</v>
          </cell>
          <cell r="J447">
            <v>0.66800000000000004</v>
          </cell>
          <cell r="K447">
            <v>0.58799999999999997</v>
          </cell>
          <cell r="L447">
            <v>0.53200000000000003</v>
          </cell>
          <cell r="M447">
            <v>0.495</v>
          </cell>
          <cell r="N447">
            <v>0.45200000000000001</v>
          </cell>
          <cell r="O447">
            <v>0.437</v>
          </cell>
          <cell r="P447">
            <v>0.54500000000000004</v>
          </cell>
          <cell r="Q447">
            <v>0.52900000000000003</v>
          </cell>
          <cell r="R447">
            <v>0.49299999999999999</v>
          </cell>
          <cell r="S447">
            <v>0.70499999999999996</v>
          </cell>
          <cell r="T447">
            <v>0.53300000000000003</v>
          </cell>
          <cell r="U447">
            <v>0.498</v>
          </cell>
          <cell r="V447">
            <v>0.439</v>
          </cell>
          <cell r="W447">
            <v>0.42299999999999999</v>
          </cell>
          <cell r="X447">
            <v>0.40100000000000002</v>
          </cell>
          <cell r="Y447">
            <v>0.38200000000000001</v>
          </cell>
          <cell r="Z447">
            <v>0.36199999999999999</v>
          </cell>
          <cell r="AA447">
            <v>0.34499999999999997</v>
          </cell>
          <cell r="AB447">
            <v>0.32900000000000001</v>
          </cell>
          <cell r="AC447">
            <v>0.32900000000000001</v>
          </cell>
        </row>
        <row r="448">
          <cell r="A448" t="str">
            <v>Investment heater (Billion euro)</v>
          </cell>
          <cell r="C448">
            <v>15.007</v>
          </cell>
          <cell r="D448">
            <v>15.67</v>
          </cell>
          <cell r="E448">
            <v>14.648</v>
          </cell>
          <cell r="F448">
            <v>15.055</v>
          </cell>
          <cell r="G448">
            <v>14.004</v>
          </cell>
          <cell r="H448">
            <v>12.863</v>
          </cell>
          <cell r="I448">
            <v>11.811999999999999</v>
          </cell>
          <cell r="J448">
            <v>13.180999999999999</v>
          </cell>
          <cell r="K448">
            <v>12.071</v>
          </cell>
          <cell r="L448">
            <v>12.36</v>
          </cell>
          <cell r="M448">
            <v>12.727</v>
          </cell>
          <cell r="N448">
            <v>13.041</v>
          </cell>
          <cell r="O448">
            <v>11.244999999999999</v>
          </cell>
          <cell r="P448">
            <v>11.798</v>
          </cell>
          <cell r="Q448">
            <v>12.055</v>
          </cell>
          <cell r="R448">
            <v>10.981</v>
          </cell>
          <cell r="S448">
            <v>11.715</v>
          </cell>
          <cell r="T448">
            <v>10.462999999999999</v>
          </cell>
          <cell r="U448">
            <v>10.444000000000001</v>
          </cell>
          <cell r="V448">
            <v>9.7789999999999999</v>
          </cell>
          <cell r="W448">
            <v>12.957000000000001</v>
          </cell>
          <cell r="X448">
            <v>12.654</v>
          </cell>
          <cell r="Y448">
            <v>13.349</v>
          </cell>
          <cell r="Z448">
            <v>13.093</v>
          </cell>
          <cell r="AA448">
            <v>12.852</v>
          </cell>
          <cell r="AB448">
            <v>12.622999999999999</v>
          </cell>
          <cell r="AC448">
            <v>12.367000000000001</v>
          </cell>
        </row>
        <row r="449">
          <cell r="A449" t="str">
            <v>Investment heater WT (Billion euro)</v>
          </cell>
          <cell r="C449">
            <v>14.225</v>
          </cell>
          <cell r="D449">
            <v>14.853</v>
          </cell>
          <cell r="E449">
            <v>13.884</v>
          </cell>
          <cell r="F449">
            <v>14.27</v>
          </cell>
          <cell r="G449">
            <v>13.273999999999999</v>
          </cell>
          <cell r="H449">
            <v>12.193</v>
          </cell>
          <cell r="I449">
            <v>11.196</v>
          </cell>
          <cell r="J449">
            <v>12.494</v>
          </cell>
          <cell r="K449">
            <v>11.442</v>
          </cell>
          <cell r="L449">
            <v>11.715999999999999</v>
          </cell>
          <cell r="M449">
            <v>12.064</v>
          </cell>
          <cell r="N449">
            <v>12.361000000000001</v>
          </cell>
          <cell r="O449">
            <v>10.659000000000001</v>
          </cell>
          <cell r="P449">
            <v>11.183</v>
          </cell>
          <cell r="Q449">
            <v>11.426</v>
          </cell>
          <cell r="R449">
            <v>10.407999999999999</v>
          </cell>
          <cell r="S449">
            <v>11.105</v>
          </cell>
          <cell r="T449">
            <v>9.9169999999999998</v>
          </cell>
          <cell r="U449">
            <v>9.8989999999999991</v>
          </cell>
          <cell r="V449">
            <v>9.2690000000000001</v>
          </cell>
          <cell r="W449">
            <v>12.282</v>
          </cell>
          <cell r="X449">
            <v>11.994</v>
          </cell>
          <cell r="Y449">
            <v>12.653</v>
          </cell>
          <cell r="Z449">
            <v>12.41</v>
          </cell>
          <cell r="AA449">
            <v>12.182</v>
          </cell>
          <cell r="AB449">
            <v>11.965</v>
          </cell>
          <cell r="AC449">
            <v>11.723000000000001</v>
          </cell>
        </row>
        <row r="450">
          <cell r="A450" t="str">
            <v>Investment Heating-District heating (Billion euro)</v>
          </cell>
          <cell r="C450">
            <v>0.308</v>
          </cell>
          <cell r="D450">
            <v>0.113</v>
          </cell>
          <cell r="E450">
            <v>0.42299999999999999</v>
          </cell>
          <cell r="F450">
            <v>0.312</v>
          </cell>
          <cell r="G450">
            <v>0.55000000000000004</v>
          </cell>
          <cell r="H450">
            <v>0.81899999999999995</v>
          </cell>
          <cell r="I450">
            <v>1.0680000000000001</v>
          </cell>
          <cell r="J450">
            <v>0.67100000000000004</v>
          </cell>
          <cell r="K450">
            <v>0.94799999999999995</v>
          </cell>
          <cell r="L450">
            <v>0.84499999999999997</v>
          </cell>
          <cell r="M450">
            <v>0.71699999999999997</v>
          </cell>
          <cell r="N450">
            <v>0.60499999999999998</v>
          </cell>
          <cell r="O450">
            <v>0.50900000000000001</v>
          </cell>
          <cell r="P450">
            <v>0.35</v>
          </cell>
          <cell r="Q450">
            <v>0.27</v>
          </cell>
          <cell r="R450">
            <v>0.19</v>
          </cell>
          <cell r="S450">
            <v>0.105</v>
          </cell>
          <cell r="T450">
            <v>0.155</v>
          </cell>
          <cell r="U450">
            <v>0.155</v>
          </cell>
          <cell r="V450">
            <v>0.155</v>
          </cell>
          <cell r="W450">
            <v>0.33600000000000002</v>
          </cell>
          <cell r="X450">
            <v>0.155</v>
          </cell>
          <cell r="Y450">
            <v>0.44500000000000001</v>
          </cell>
          <cell r="Z450">
            <v>0.34200000000000003</v>
          </cell>
          <cell r="AA450">
            <v>0.56499999999999995</v>
          </cell>
          <cell r="AB450">
            <v>0.82099999999999995</v>
          </cell>
          <cell r="AC450">
            <v>1.0569999999999999</v>
          </cell>
        </row>
        <row r="451">
          <cell r="A451" t="str">
            <v>Investment insulation (Billion euro)</v>
          </cell>
          <cell r="C451">
            <v>7.3760000000000003</v>
          </cell>
          <cell r="D451">
            <v>7.2080000000000002</v>
          </cell>
          <cell r="E451">
            <v>14.22</v>
          </cell>
          <cell r="F451">
            <v>14.29</v>
          </cell>
          <cell r="G451">
            <v>12.945</v>
          </cell>
          <cell r="H451">
            <v>13.21</v>
          </cell>
          <cell r="I451">
            <v>13.105</v>
          </cell>
          <cell r="J451">
            <v>13.597</v>
          </cell>
          <cell r="K451">
            <v>11.82</v>
          </cell>
          <cell r="L451">
            <v>10.599</v>
          </cell>
          <cell r="M451">
            <v>9.7840000000000007</v>
          </cell>
          <cell r="N451">
            <v>8.9039999999999999</v>
          </cell>
          <cell r="O451">
            <v>8.5459999999999994</v>
          </cell>
          <cell r="P451">
            <v>10.522</v>
          </cell>
          <cell r="Q451">
            <v>10.205</v>
          </cell>
          <cell r="R451">
            <v>9.5419999999999998</v>
          </cell>
          <cell r="S451">
            <v>13.291</v>
          </cell>
          <cell r="T451">
            <v>10.032</v>
          </cell>
          <cell r="U451">
            <v>9.3919999999999995</v>
          </cell>
          <cell r="V451">
            <v>8.298</v>
          </cell>
          <cell r="W451">
            <v>8.0389999999999997</v>
          </cell>
          <cell r="X451">
            <v>7.6</v>
          </cell>
          <cell r="Y451">
            <v>7.218</v>
          </cell>
          <cell r="Z451">
            <v>6.8419999999999996</v>
          </cell>
          <cell r="AA451">
            <v>6.5069999999999997</v>
          </cell>
          <cell r="AB451">
            <v>6.2050000000000001</v>
          </cell>
          <cell r="AC451">
            <v>6.1429999999999998</v>
          </cell>
        </row>
        <row r="452">
          <cell r="A452" t="str">
            <v>Investment insulation (Thousand euro/household)</v>
          </cell>
          <cell r="C452">
            <v>12.272</v>
          </cell>
          <cell r="D452">
            <v>11.387</v>
          </cell>
          <cell r="E452">
            <v>15.68</v>
          </cell>
          <cell r="F452">
            <v>15.355</v>
          </cell>
          <cell r="G452">
            <v>14.215</v>
          </cell>
          <cell r="H452">
            <v>14.371</v>
          </cell>
          <cell r="I452">
            <v>14.496</v>
          </cell>
          <cell r="J452">
            <v>12.581</v>
          </cell>
          <cell r="K452">
            <v>12.11</v>
          </cell>
          <cell r="L452">
            <v>11.478999999999999</v>
          </cell>
          <cell r="M452">
            <v>10.662000000000001</v>
          </cell>
          <cell r="N452">
            <v>10.131</v>
          </cell>
          <cell r="O452">
            <v>10.077999999999999</v>
          </cell>
          <cell r="P452">
            <v>8.7330000000000005</v>
          </cell>
          <cell r="Q452">
            <v>8.8629999999999995</v>
          </cell>
          <cell r="R452">
            <v>8.5329999999999995</v>
          </cell>
          <cell r="S452">
            <v>10.124000000000001</v>
          </cell>
          <cell r="T452">
            <v>8.73</v>
          </cell>
          <cell r="U452">
            <v>8.593</v>
          </cell>
          <cell r="V452">
            <v>8.5090000000000003</v>
          </cell>
          <cell r="W452">
            <v>8.2739999999999991</v>
          </cell>
          <cell r="X452">
            <v>8.2530000000000001</v>
          </cell>
          <cell r="Y452">
            <v>8.2370000000000001</v>
          </cell>
          <cell r="Z452">
            <v>8.2059999999999995</v>
          </cell>
          <cell r="AA452">
            <v>8.1809999999999992</v>
          </cell>
          <cell r="AB452">
            <v>8.1750000000000007</v>
          </cell>
          <cell r="AC452">
            <v>8.4030000000000005</v>
          </cell>
        </row>
        <row r="453">
          <cell r="A453" t="str">
            <v>Investment insulation WT (Billion euro)</v>
          </cell>
          <cell r="C453">
            <v>6.9909999999999997</v>
          </cell>
          <cell r="D453">
            <v>6.8319999999999999</v>
          </cell>
          <cell r="E453">
            <v>13.478999999999999</v>
          </cell>
          <cell r="F453">
            <v>13.545</v>
          </cell>
          <cell r="G453">
            <v>12.27</v>
          </cell>
          <cell r="H453">
            <v>12.521000000000001</v>
          </cell>
          <cell r="I453">
            <v>12.422000000000001</v>
          </cell>
          <cell r="J453">
            <v>12.888</v>
          </cell>
          <cell r="K453">
            <v>11.204000000000001</v>
          </cell>
          <cell r="L453">
            <v>10.047000000000001</v>
          </cell>
          <cell r="M453">
            <v>9.2739999999999991</v>
          </cell>
          <cell r="N453">
            <v>8.44</v>
          </cell>
          <cell r="O453">
            <v>8.1010000000000009</v>
          </cell>
          <cell r="P453">
            <v>9.9730000000000008</v>
          </cell>
          <cell r="Q453">
            <v>9.673</v>
          </cell>
          <cell r="R453">
            <v>9.0449999999999999</v>
          </cell>
          <cell r="S453">
            <v>12.598000000000001</v>
          </cell>
          <cell r="T453">
            <v>9.5090000000000003</v>
          </cell>
          <cell r="U453">
            <v>8.9030000000000005</v>
          </cell>
          <cell r="V453">
            <v>7.8659999999999997</v>
          </cell>
          <cell r="W453">
            <v>7.6189999999999998</v>
          </cell>
          <cell r="X453">
            <v>7.2030000000000003</v>
          </cell>
          <cell r="Y453">
            <v>6.8419999999999996</v>
          </cell>
          <cell r="Z453">
            <v>6.4859999999999998</v>
          </cell>
          <cell r="AA453">
            <v>6.1669999999999998</v>
          </cell>
          <cell r="AB453">
            <v>5.8810000000000002</v>
          </cell>
          <cell r="AC453">
            <v>5.8230000000000004</v>
          </cell>
        </row>
        <row r="454">
          <cell r="A454" t="str">
            <v>Investment Natural gas-Performance boiler (Billion euro)</v>
          </cell>
          <cell r="C454">
            <v>3.8540000000000001</v>
          </cell>
          <cell r="D454">
            <v>4.266</v>
          </cell>
          <cell r="E454">
            <v>3.4039999999999999</v>
          </cell>
          <cell r="F454">
            <v>3.4409999999999998</v>
          </cell>
          <cell r="G454">
            <v>2.915</v>
          </cell>
          <cell r="H454">
            <v>2.31</v>
          </cell>
          <cell r="I454">
            <v>1.76</v>
          </cell>
          <cell r="J454">
            <v>2.5880000000000001</v>
          </cell>
          <cell r="K454">
            <v>1.9550000000000001</v>
          </cell>
          <cell r="L454">
            <v>2.1429999999999998</v>
          </cell>
          <cell r="M454">
            <v>2.379</v>
          </cell>
          <cell r="N454">
            <v>2.573</v>
          </cell>
          <cell r="O454">
            <v>2.258</v>
          </cell>
          <cell r="P454">
            <v>2.5760000000000001</v>
          </cell>
          <cell r="Q454">
            <v>2.7440000000000002</v>
          </cell>
          <cell r="R454">
            <v>2.2309999999999999</v>
          </cell>
          <cell r="S454">
            <v>2.6480000000000001</v>
          </cell>
          <cell r="T454">
            <v>2.0550000000000002</v>
          </cell>
          <cell r="U454">
            <v>2.0920000000000001</v>
          </cell>
          <cell r="V454">
            <v>1.774</v>
          </cell>
          <cell r="W454">
            <v>1.3540000000000001</v>
          </cell>
          <cell r="X454">
            <v>1.014</v>
          </cell>
          <cell r="Y454">
            <v>1.532</v>
          </cell>
          <cell r="Z454">
            <v>1.1379999999999999</v>
          </cell>
          <cell r="AA454">
            <v>1.2589999999999999</v>
          </cell>
          <cell r="AB454">
            <v>1.4119999999999999</v>
          </cell>
          <cell r="AC454">
            <v>1.5449999999999999</v>
          </cell>
        </row>
        <row r="455">
          <cell r="A455" t="str">
            <v>Investment Oil fuel-Performance boiler (Billion euro)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</row>
        <row r="456">
          <cell r="A456" t="str">
            <v>Investment Roof (Billion euro)</v>
          </cell>
          <cell r="C456">
            <v>2.8220000000000001</v>
          </cell>
          <cell r="D456">
            <v>2.8109999999999999</v>
          </cell>
          <cell r="E456">
            <v>3.5960000000000001</v>
          </cell>
          <cell r="F456">
            <v>3.597</v>
          </cell>
          <cell r="G456">
            <v>3.4289999999999998</v>
          </cell>
          <cell r="H456">
            <v>3.4430000000000001</v>
          </cell>
          <cell r="I456">
            <v>3.3959999999999999</v>
          </cell>
          <cell r="J456">
            <v>3.51</v>
          </cell>
          <cell r="K456">
            <v>3.2309999999999999</v>
          </cell>
          <cell r="L456">
            <v>3.0619999999999998</v>
          </cell>
          <cell r="M456">
            <v>2.9969999999999999</v>
          </cell>
          <cell r="N456">
            <v>2.8639999999999999</v>
          </cell>
          <cell r="O456">
            <v>2.78</v>
          </cell>
          <cell r="P456">
            <v>3.5640000000000001</v>
          </cell>
          <cell r="Q456">
            <v>3.4129999999999998</v>
          </cell>
          <cell r="R456">
            <v>3.2669999999999999</v>
          </cell>
          <cell r="S456">
            <v>4.1369999999999996</v>
          </cell>
          <cell r="T456">
            <v>3.7309999999999999</v>
          </cell>
          <cell r="U456">
            <v>3.5339999999999998</v>
          </cell>
          <cell r="V456">
            <v>3.1669999999999998</v>
          </cell>
          <cell r="W456">
            <v>3.0960000000000001</v>
          </cell>
          <cell r="X456">
            <v>2.9649999999999999</v>
          </cell>
          <cell r="Y456">
            <v>2.847</v>
          </cell>
          <cell r="Z456">
            <v>2.7330000000000001</v>
          </cell>
          <cell r="AA456">
            <v>2.629</v>
          </cell>
          <cell r="AB456">
            <v>2.5230000000000001</v>
          </cell>
          <cell r="AC456">
            <v>2.4430000000000001</v>
          </cell>
        </row>
        <row r="457">
          <cell r="A457" t="str">
            <v>Investment total (Billion euro)</v>
          </cell>
          <cell r="C457">
            <v>22.382999999999999</v>
          </cell>
          <cell r="D457">
            <v>22.878</v>
          </cell>
          <cell r="E457">
            <v>28.867999999999999</v>
          </cell>
          <cell r="F457">
            <v>29.344999999999999</v>
          </cell>
          <cell r="G457">
            <v>26.95</v>
          </cell>
          <cell r="H457">
            <v>26.073</v>
          </cell>
          <cell r="I457">
            <v>24.917999999999999</v>
          </cell>
          <cell r="J457">
            <v>26.777999999999999</v>
          </cell>
          <cell r="K457">
            <v>23.891999999999999</v>
          </cell>
          <cell r="L457">
            <v>22.959</v>
          </cell>
          <cell r="M457">
            <v>22.510999999999999</v>
          </cell>
          <cell r="N457">
            <v>21.945</v>
          </cell>
          <cell r="O457">
            <v>19.791</v>
          </cell>
          <cell r="P457">
            <v>22.32</v>
          </cell>
          <cell r="Q457">
            <v>22.26</v>
          </cell>
          <cell r="R457">
            <v>20.523</v>
          </cell>
          <cell r="S457">
            <v>25.006</v>
          </cell>
          <cell r="T457">
            <v>20.495000000000001</v>
          </cell>
          <cell r="U457">
            <v>19.835999999999999</v>
          </cell>
          <cell r="V457">
            <v>18.077000000000002</v>
          </cell>
          <cell r="W457">
            <v>20.995999999999999</v>
          </cell>
          <cell r="X457">
            <v>20.253</v>
          </cell>
          <cell r="Y457">
            <v>20.567</v>
          </cell>
          <cell r="Z457">
            <v>19.934999999999999</v>
          </cell>
          <cell r="AA457">
            <v>19.359000000000002</v>
          </cell>
          <cell r="AB457">
            <v>18.827999999999999</v>
          </cell>
          <cell r="AC457">
            <v>18.510000000000002</v>
          </cell>
        </row>
        <row r="458">
          <cell r="A458" t="str">
            <v>Investment total (Thousand euro/household)</v>
          </cell>
          <cell r="C458">
            <v>9.3989999999999991</v>
          </cell>
          <cell r="D458">
            <v>9.5109999999999992</v>
          </cell>
          <cell r="E458">
            <v>10.901999999999999</v>
          </cell>
          <cell r="F458">
            <v>11.015000000000001</v>
          </cell>
          <cell r="G458">
            <v>10.215999999999999</v>
          </cell>
          <cell r="H458">
            <v>9.8729999999999993</v>
          </cell>
          <cell r="I458">
            <v>9.5030000000000001</v>
          </cell>
          <cell r="J458">
            <v>9.5820000000000007</v>
          </cell>
          <cell r="K458">
            <v>8.8859999999999992</v>
          </cell>
          <cell r="L458">
            <v>8.7249999999999996</v>
          </cell>
          <cell r="M458">
            <v>8.5980000000000008</v>
          </cell>
          <cell r="N458">
            <v>8.516</v>
          </cell>
          <cell r="O458">
            <v>8.5519999999999996</v>
          </cell>
          <cell r="P458">
            <v>8.3490000000000002</v>
          </cell>
          <cell r="Q458">
            <v>8.5039999999999996</v>
          </cell>
          <cell r="R458">
            <v>8.5050000000000008</v>
          </cell>
          <cell r="S458">
            <v>9.3960000000000008</v>
          </cell>
          <cell r="T458">
            <v>8.641</v>
          </cell>
          <cell r="U458">
            <v>8.5619999999999994</v>
          </cell>
          <cell r="V458">
            <v>8.5079999999999991</v>
          </cell>
          <cell r="W458">
            <v>8.5280000000000005</v>
          </cell>
          <cell r="X458">
            <v>8.9120000000000008</v>
          </cell>
          <cell r="Y458">
            <v>8.3450000000000006</v>
          </cell>
          <cell r="Z458">
            <v>8.5730000000000004</v>
          </cell>
          <cell r="AA458">
            <v>8.1259999999999994</v>
          </cell>
          <cell r="AB458">
            <v>7.65</v>
          </cell>
          <cell r="AC458">
            <v>7.3040000000000003</v>
          </cell>
        </row>
        <row r="459">
          <cell r="A459" t="str">
            <v>Investment total Multi-family - Owner-occupied (Billion euro)</v>
          </cell>
          <cell r="C459">
            <v>2.0870000000000002</v>
          </cell>
          <cell r="D459">
            <v>2.3679999999999999</v>
          </cell>
          <cell r="E459">
            <v>2.0179999999999998</v>
          </cell>
          <cell r="F459">
            <v>2.1989999999999998</v>
          </cell>
          <cell r="G459">
            <v>1.87</v>
          </cell>
          <cell r="H459">
            <v>1.59</v>
          </cell>
          <cell r="I459">
            <v>1.292</v>
          </cell>
          <cell r="J459">
            <v>1.6679999999999999</v>
          </cell>
          <cell r="K459">
            <v>1.286</v>
          </cell>
          <cell r="L459">
            <v>1.3320000000000001</v>
          </cell>
          <cell r="M459">
            <v>1.4079999999999999</v>
          </cell>
          <cell r="N459">
            <v>1.472</v>
          </cell>
          <cell r="O459">
            <v>1.698</v>
          </cell>
          <cell r="P459">
            <v>1.796</v>
          </cell>
          <cell r="Q459">
            <v>1.869</v>
          </cell>
          <cell r="R459">
            <v>1.6990000000000001</v>
          </cell>
          <cell r="S459">
            <v>2.7589999999999999</v>
          </cell>
          <cell r="T459">
            <v>1.696</v>
          </cell>
          <cell r="U459">
            <v>1.637</v>
          </cell>
          <cell r="V459">
            <v>1.4910000000000001</v>
          </cell>
          <cell r="W459">
            <v>1.651</v>
          </cell>
          <cell r="X459">
            <v>1.5269999999999999</v>
          </cell>
          <cell r="Y459">
            <v>1.6319999999999999</v>
          </cell>
          <cell r="Z459">
            <v>1.5269999999999999</v>
          </cell>
          <cell r="AA459">
            <v>1.508</v>
          </cell>
          <cell r="AB459">
            <v>1.5189999999999999</v>
          </cell>
          <cell r="AC459">
            <v>1.544</v>
          </cell>
        </row>
        <row r="460">
          <cell r="A460" t="str">
            <v>Investment total Multi-family - Privately rented (Billion euro)</v>
          </cell>
          <cell r="C460">
            <v>2.8650000000000002</v>
          </cell>
          <cell r="D460">
            <v>3.0670000000000002</v>
          </cell>
          <cell r="E460">
            <v>2.899</v>
          </cell>
          <cell r="F460">
            <v>2.8940000000000001</v>
          </cell>
          <cell r="G460">
            <v>2.3690000000000002</v>
          </cell>
          <cell r="H460">
            <v>1.835</v>
          </cell>
          <cell r="I460">
            <v>1.3280000000000001</v>
          </cell>
          <cell r="J460">
            <v>3.0960000000000001</v>
          </cell>
          <cell r="K460">
            <v>2.306</v>
          </cell>
          <cell r="L460">
            <v>2.1619999999999999</v>
          </cell>
          <cell r="M460">
            <v>2.1139999999999999</v>
          </cell>
          <cell r="N460">
            <v>2.0960000000000001</v>
          </cell>
          <cell r="O460">
            <v>1.962</v>
          </cell>
          <cell r="P460">
            <v>3.573</v>
          </cell>
          <cell r="Q460">
            <v>3.4940000000000002</v>
          </cell>
          <cell r="R460">
            <v>3.1709999999999998</v>
          </cell>
          <cell r="S460">
            <v>3.3690000000000002</v>
          </cell>
          <cell r="T460">
            <v>2.7829999999999999</v>
          </cell>
          <cell r="U460">
            <v>2.661</v>
          </cell>
          <cell r="V460">
            <v>2.44</v>
          </cell>
          <cell r="W460">
            <v>2.4750000000000001</v>
          </cell>
          <cell r="X460">
            <v>2.2970000000000002</v>
          </cell>
          <cell r="Y460">
            <v>2.42</v>
          </cell>
          <cell r="Z460">
            <v>2.282</v>
          </cell>
          <cell r="AA460">
            <v>2.2570000000000001</v>
          </cell>
          <cell r="AB460">
            <v>2.246</v>
          </cell>
          <cell r="AC460">
            <v>2.246</v>
          </cell>
        </row>
        <row r="461">
          <cell r="A461" t="str">
            <v>Investment total Multi-family - Social-housing (Billion euro)</v>
          </cell>
          <cell r="C461">
            <v>1.4650000000000001</v>
          </cell>
          <cell r="D461">
            <v>1.9259999999999999</v>
          </cell>
          <cell r="E461">
            <v>2.0059999999999998</v>
          </cell>
          <cell r="F461">
            <v>2.3250000000000002</v>
          </cell>
          <cell r="G461">
            <v>2.2839999999999998</v>
          </cell>
          <cell r="H461">
            <v>2.0870000000000002</v>
          </cell>
          <cell r="I461">
            <v>1.835</v>
          </cell>
          <cell r="J461">
            <v>2.258</v>
          </cell>
          <cell r="K461">
            <v>1.9430000000000001</v>
          </cell>
          <cell r="L461">
            <v>2.0920000000000001</v>
          </cell>
          <cell r="M461">
            <v>2.3610000000000002</v>
          </cell>
          <cell r="N461">
            <v>2.488</v>
          </cell>
          <cell r="O461">
            <v>2.3410000000000002</v>
          </cell>
          <cell r="P461">
            <v>2.2690000000000001</v>
          </cell>
          <cell r="Q461">
            <v>2.4420000000000002</v>
          </cell>
          <cell r="R461">
            <v>2.484</v>
          </cell>
          <cell r="S461">
            <v>2.8359999999999999</v>
          </cell>
          <cell r="T461">
            <v>2.48</v>
          </cell>
          <cell r="U461">
            <v>2.5329999999999999</v>
          </cell>
          <cell r="V461">
            <v>2.2629999999999999</v>
          </cell>
          <cell r="W461">
            <v>2.4289999999999998</v>
          </cell>
          <cell r="X461">
            <v>2.21</v>
          </cell>
          <cell r="Y461">
            <v>2.3940000000000001</v>
          </cell>
          <cell r="Z461">
            <v>2.1989999999999998</v>
          </cell>
          <cell r="AA461">
            <v>2.234</v>
          </cell>
          <cell r="AB461">
            <v>2.29</v>
          </cell>
          <cell r="AC461">
            <v>2.3540000000000001</v>
          </cell>
        </row>
        <row r="462">
          <cell r="A462" t="str">
            <v>Investment total Single-family - Owner-occupied (Billion euro)</v>
          </cell>
          <cell r="C462">
            <v>12.920999999999999</v>
          </cell>
          <cell r="D462">
            <v>12.577</v>
          </cell>
          <cell r="E462">
            <v>17.084</v>
          </cell>
          <cell r="F462">
            <v>17.587</v>
          </cell>
          <cell r="G462">
            <v>16.652999999999999</v>
          </cell>
          <cell r="H462">
            <v>17.109000000000002</v>
          </cell>
          <cell r="I462">
            <v>17.273</v>
          </cell>
          <cell r="J462">
            <v>15.949</v>
          </cell>
          <cell r="K462">
            <v>14.866</v>
          </cell>
          <cell r="L462">
            <v>14.053000000000001</v>
          </cell>
          <cell r="M462">
            <v>13.401</v>
          </cell>
          <cell r="N462">
            <v>12.87</v>
          </cell>
          <cell r="O462">
            <v>11.055</v>
          </cell>
          <cell r="P462">
            <v>10.670999999999999</v>
          </cell>
          <cell r="Q462">
            <v>10.603999999999999</v>
          </cell>
          <cell r="R462">
            <v>9.65</v>
          </cell>
          <cell r="S462">
            <v>12.368</v>
          </cell>
          <cell r="T462">
            <v>10.481999999999999</v>
          </cell>
          <cell r="U462">
            <v>10.098000000000001</v>
          </cell>
          <cell r="V462">
            <v>9.4830000000000005</v>
          </cell>
          <cell r="W462">
            <v>11.699</v>
          </cell>
          <cell r="X462">
            <v>11.547000000000001</v>
          </cell>
          <cell r="Y462">
            <v>11.483000000000001</v>
          </cell>
          <cell r="Z462">
            <v>11.351000000000001</v>
          </cell>
          <cell r="AA462">
            <v>10.9</v>
          </cell>
          <cell r="AB462">
            <v>10.435</v>
          </cell>
          <cell r="AC462">
            <v>10.135999999999999</v>
          </cell>
        </row>
        <row r="463">
          <cell r="A463" t="str">
            <v>Investment total Single-family - Privately rented (Billion euro)</v>
          </cell>
          <cell r="C463">
            <v>2.4870000000000001</v>
          </cell>
          <cell r="D463">
            <v>2.2320000000000002</v>
          </cell>
          <cell r="E463">
            <v>3.9319999999999999</v>
          </cell>
          <cell r="F463">
            <v>3.3290000000000002</v>
          </cell>
          <cell r="G463">
            <v>2.8450000000000002</v>
          </cell>
          <cell r="H463">
            <v>2.5619999999999998</v>
          </cell>
          <cell r="I463">
            <v>2.262</v>
          </cell>
          <cell r="J463">
            <v>2.8170000000000002</v>
          </cell>
          <cell r="K463">
            <v>2.4369999999999998</v>
          </cell>
          <cell r="L463">
            <v>2.1619999999999999</v>
          </cell>
          <cell r="M463">
            <v>1.9590000000000001</v>
          </cell>
          <cell r="N463">
            <v>1.8109999999999999</v>
          </cell>
          <cell r="O463">
            <v>1.5109999999999999</v>
          </cell>
          <cell r="P463">
            <v>2.8650000000000002</v>
          </cell>
          <cell r="Q463">
            <v>2.7240000000000002</v>
          </cell>
          <cell r="R463">
            <v>2.464</v>
          </cell>
          <cell r="S463">
            <v>2.5089999999999999</v>
          </cell>
          <cell r="T463">
            <v>2.1150000000000002</v>
          </cell>
          <cell r="U463">
            <v>1.994</v>
          </cell>
          <cell r="V463">
            <v>1.841</v>
          </cell>
          <cell r="W463">
            <v>2.0870000000000002</v>
          </cell>
          <cell r="X463">
            <v>2.0390000000000001</v>
          </cell>
          <cell r="Y463">
            <v>1.99</v>
          </cell>
          <cell r="Z463">
            <v>1.9510000000000001</v>
          </cell>
          <cell r="AA463">
            <v>1.85</v>
          </cell>
          <cell r="AB463">
            <v>1.744</v>
          </cell>
          <cell r="AC463">
            <v>1.653</v>
          </cell>
        </row>
        <row r="464">
          <cell r="A464" t="str">
            <v>Investment total Single-family - Social-housing (Billion euro)</v>
          </cell>
          <cell r="C464">
            <v>0.55700000000000005</v>
          </cell>
          <cell r="D464">
            <v>0.70799999999999996</v>
          </cell>
          <cell r="E464">
            <v>0.92900000000000005</v>
          </cell>
          <cell r="F464">
            <v>1.01</v>
          </cell>
          <cell r="G464">
            <v>0.93</v>
          </cell>
          <cell r="H464">
            <v>0.89</v>
          </cell>
          <cell r="I464">
            <v>0.92800000000000005</v>
          </cell>
          <cell r="J464">
            <v>0.99</v>
          </cell>
          <cell r="K464">
            <v>1.054</v>
          </cell>
          <cell r="L464">
            <v>1.159</v>
          </cell>
          <cell r="M464">
            <v>1.268</v>
          </cell>
          <cell r="N464">
            <v>1.208</v>
          </cell>
          <cell r="O464">
            <v>1.2230000000000001</v>
          </cell>
          <cell r="P464">
            <v>1.1459999999999999</v>
          </cell>
          <cell r="Q464">
            <v>1.127</v>
          </cell>
          <cell r="R464">
            <v>1.056</v>
          </cell>
          <cell r="S464">
            <v>1.165</v>
          </cell>
          <cell r="T464">
            <v>0.93799999999999994</v>
          </cell>
          <cell r="U464">
            <v>0.91400000000000003</v>
          </cell>
          <cell r="V464">
            <v>0.55900000000000005</v>
          </cell>
          <cell r="W464">
            <v>0.65400000000000003</v>
          </cell>
          <cell r="X464">
            <v>0.63300000000000001</v>
          </cell>
          <cell r="Y464">
            <v>0.64800000000000002</v>
          </cell>
          <cell r="Z464">
            <v>0.625</v>
          </cell>
          <cell r="AA464">
            <v>0.60899999999999999</v>
          </cell>
          <cell r="AB464">
            <v>0.59299999999999997</v>
          </cell>
          <cell r="AC464">
            <v>0.57699999999999996</v>
          </cell>
        </row>
        <row r="465">
          <cell r="A465" t="str">
            <v>Investment total WT (Billion euro)</v>
          </cell>
          <cell r="C465">
            <v>21.216000000000001</v>
          </cell>
          <cell r="D465">
            <v>21.684999999999999</v>
          </cell>
          <cell r="E465">
            <v>27.363</v>
          </cell>
          <cell r="F465">
            <v>27.815000000000001</v>
          </cell>
          <cell r="G465">
            <v>25.545000000000002</v>
          </cell>
          <cell r="H465">
            <v>24.713000000000001</v>
          </cell>
          <cell r="I465">
            <v>23.619</v>
          </cell>
          <cell r="J465">
            <v>25.382000000000001</v>
          </cell>
          <cell r="K465">
            <v>22.646000000000001</v>
          </cell>
          <cell r="L465">
            <v>21.762</v>
          </cell>
          <cell r="M465">
            <v>21.337</v>
          </cell>
          <cell r="N465">
            <v>20.800999999999998</v>
          </cell>
          <cell r="O465">
            <v>18.759</v>
          </cell>
          <cell r="P465">
            <v>21.155999999999999</v>
          </cell>
          <cell r="Q465">
            <v>21.099</v>
          </cell>
          <cell r="R465">
            <v>19.452999999999999</v>
          </cell>
          <cell r="S465">
            <v>23.702000000000002</v>
          </cell>
          <cell r="T465">
            <v>19.425999999999998</v>
          </cell>
          <cell r="U465">
            <v>18.802</v>
          </cell>
          <cell r="V465">
            <v>17.135000000000002</v>
          </cell>
          <cell r="W465">
            <v>19.901</v>
          </cell>
          <cell r="X465">
            <v>19.196999999999999</v>
          </cell>
          <cell r="Y465">
            <v>19.494</v>
          </cell>
          <cell r="Z465">
            <v>18.896000000000001</v>
          </cell>
          <cell r="AA465">
            <v>18.349</v>
          </cell>
          <cell r="AB465">
            <v>17.846</v>
          </cell>
          <cell r="AC465">
            <v>17.545000000000002</v>
          </cell>
        </row>
        <row r="466">
          <cell r="A466" t="str">
            <v>Investment total WT / households (Thousand euro)</v>
          </cell>
          <cell r="C466">
            <v>8.9090000000000007</v>
          </cell>
          <cell r="D466">
            <v>9.0150000000000006</v>
          </cell>
          <cell r="E466">
            <v>10.334</v>
          </cell>
          <cell r="F466">
            <v>10.441000000000001</v>
          </cell>
          <cell r="G466">
            <v>9.6829999999999998</v>
          </cell>
          <cell r="H466">
            <v>9.359</v>
          </cell>
          <cell r="I466">
            <v>9.0079999999999991</v>
          </cell>
          <cell r="J466">
            <v>9.0820000000000007</v>
          </cell>
          <cell r="K466">
            <v>8.423</v>
          </cell>
          <cell r="L466">
            <v>8.27</v>
          </cell>
          <cell r="M466">
            <v>8.15</v>
          </cell>
          <cell r="N466">
            <v>8.0719999999999992</v>
          </cell>
          <cell r="O466">
            <v>8.1059999999999999</v>
          </cell>
          <cell r="P466">
            <v>7.9130000000000003</v>
          </cell>
          <cell r="Q466">
            <v>8.0609999999999999</v>
          </cell>
          <cell r="R466">
            <v>8.0609999999999999</v>
          </cell>
          <cell r="S466">
            <v>8.9060000000000006</v>
          </cell>
          <cell r="T466">
            <v>8.1910000000000007</v>
          </cell>
          <cell r="U466">
            <v>8.1150000000000002</v>
          </cell>
          <cell r="V466">
            <v>8.0649999999999995</v>
          </cell>
          <cell r="W466">
            <v>8.0830000000000002</v>
          </cell>
          <cell r="X466">
            <v>8.4469999999999992</v>
          </cell>
          <cell r="Y466">
            <v>7.91</v>
          </cell>
          <cell r="Z466">
            <v>8.1270000000000007</v>
          </cell>
          <cell r="AA466">
            <v>7.702</v>
          </cell>
          <cell r="AB466">
            <v>7.2519999999999998</v>
          </cell>
          <cell r="AC466">
            <v>6.9240000000000004</v>
          </cell>
        </row>
        <row r="467">
          <cell r="A467" t="str">
            <v>Investment Wall (Billion euro)</v>
          </cell>
          <cell r="C467">
            <v>3.2429999999999999</v>
          </cell>
          <cell r="D467">
            <v>3.0049999999999999</v>
          </cell>
          <cell r="E467">
            <v>8.2430000000000003</v>
          </cell>
          <cell r="F467">
            <v>8.2059999999999995</v>
          </cell>
          <cell r="G467">
            <v>7.15</v>
          </cell>
          <cell r="H467">
            <v>7.3440000000000003</v>
          </cell>
          <cell r="I467">
            <v>7.2290000000000001</v>
          </cell>
          <cell r="J467">
            <v>7.1920000000000002</v>
          </cell>
          <cell r="K467">
            <v>6.008</v>
          </cell>
          <cell r="L467">
            <v>5.1509999999999998</v>
          </cell>
          <cell r="M467">
            <v>4.5030000000000001</v>
          </cell>
          <cell r="N467">
            <v>3.9079999999999999</v>
          </cell>
          <cell r="O467">
            <v>3.6829999999999998</v>
          </cell>
          <cell r="P467">
            <v>4.2030000000000003</v>
          </cell>
          <cell r="Q467">
            <v>4.1260000000000003</v>
          </cell>
          <cell r="R467">
            <v>3.7469999999999999</v>
          </cell>
          <cell r="S467">
            <v>5.6769999999999996</v>
          </cell>
          <cell r="T467">
            <v>3.629</v>
          </cell>
          <cell r="U467">
            <v>3.3450000000000002</v>
          </cell>
          <cell r="V467">
            <v>2.9060000000000001</v>
          </cell>
          <cell r="W467">
            <v>2.7639999999999998</v>
          </cell>
          <cell r="X467">
            <v>2.5739999999999998</v>
          </cell>
          <cell r="Y467">
            <v>2.4129999999999998</v>
          </cell>
          <cell r="Z467">
            <v>2.2519999999999998</v>
          </cell>
          <cell r="AA467">
            <v>2.1120000000000001</v>
          </cell>
          <cell r="AB467">
            <v>1.9990000000000001</v>
          </cell>
          <cell r="AC467">
            <v>2.032</v>
          </cell>
        </row>
        <row r="468">
          <cell r="A468" t="str">
            <v>Investment Windows (Billion euro)</v>
          </cell>
          <cell r="C468">
            <v>0.98699999999999999</v>
          </cell>
          <cell r="D468">
            <v>1.073</v>
          </cell>
          <cell r="E468">
            <v>1.764</v>
          </cell>
          <cell r="F468">
            <v>1.849</v>
          </cell>
          <cell r="G468">
            <v>1.7649999999999999</v>
          </cell>
          <cell r="H468">
            <v>1.806</v>
          </cell>
          <cell r="I468">
            <v>1.8560000000000001</v>
          </cell>
          <cell r="J468">
            <v>2.2269999999999999</v>
          </cell>
          <cell r="K468">
            <v>1.994</v>
          </cell>
          <cell r="L468">
            <v>1.8540000000000001</v>
          </cell>
          <cell r="M468">
            <v>1.79</v>
          </cell>
          <cell r="N468">
            <v>1.68</v>
          </cell>
          <cell r="O468">
            <v>1.647</v>
          </cell>
          <cell r="P468">
            <v>2.21</v>
          </cell>
          <cell r="Q468">
            <v>2.137</v>
          </cell>
          <cell r="R468">
            <v>2.0350000000000001</v>
          </cell>
          <cell r="S468">
            <v>2.7709999999999999</v>
          </cell>
          <cell r="T468">
            <v>2.1389999999999998</v>
          </cell>
          <cell r="U468">
            <v>2.0150000000000001</v>
          </cell>
          <cell r="V468">
            <v>1.7869999999999999</v>
          </cell>
          <cell r="W468">
            <v>1.756</v>
          </cell>
          <cell r="X468">
            <v>1.66</v>
          </cell>
          <cell r="Y468">
            <v>1.577</v>
          </cell>
          <cell r="Z468">
            <v>1.4950000000000001</v>
          </cell>
          <cell r="AA468">
            <v>1.421</v>
          </cell>
          <cell r="AB468">
            <v>1.3540000000000001</v>
          </cell>
          <cell r="AC468">
            <v>1.339</v>
          </cell>
        </row>
        <row r="469">
          <cell r="A469" t="str">
            <v>Investment Wood fuel-Performance boiler (Billion euro)</v>
          </cell>
          <cell r="C469">
            <v>2.1349999999999998</v>
          </cell>
          <cell r="D469">
            <v>2.1549999999999998</v>
          </cell>
          <cell r="E469">
            <v>2.14</v>
          </cell>
          <cell r="F469">
            <v>2.149</v>
          </cell>
          <cell r="G469">
            <v>2.141</v>
          </cell>
          <cell r="H469">
            <v>2.1339999999999999</v>
          </cell>
          <cell r="I469">
            <v>2.129</v>
          </cell>
          <cell r="J469">
            <v>2.1280000000000001</v>
          </cell>
          <cell r="K469">
            <v>2.1259999999999999</v>
          </cell>
          <cell r="L469">
            <v>2.125</v>
          </cell>
          <cell r="M469">
            <v>2.1230000000000002</v>
          </cell>
          <cell r="N469">
            <v>2.1219999999999999</v>
          </cell>
          <cell r="O469">
            <v>2.0329999999999999</v>
          </cell>
          <cell r="P469">
            <v>2.0329999999999999</v>
          </cell>
          <cell r="Q469">
            <v>2.032</v>
          </cell>
          <cell r="R469">
            <v>2.0019999999999998</v>
          </cell>
          <cell r="S469">
            <v>2.008</v>
          </cell>
          <cell r="T469">
            <v>1.9790000000000001</v>
          </cell>
          <cell r="U469">
            <v>1.974</v>
          </cell>
          <cell r="V469">
            <v>1.9550000000000001</v>
          </cell>
          <cell r="W469">
            <v>2.1789999999999998</v>
          </cell>
          <cell r="X469">
            <v>2.1829999999999998</v>
          </cell>
          <cell r="Y469">
            <v>2.1760000000000002</v>
          </cell>
          <cell r="Z469">
            <v>2.17</v>
          </cell>
          <cell r="AA469">
            <v>2.16</v>
          </cell>
          <cell r="AB469">
            <v>2.145</v>
          </cell>
          <cell r="AC469">
            <v>2.1240000000000001</v>
          </cell>
        </row>
        <row r="470">
          <cell r="A470" t="str">
            <v>Lever insulation (%)</v>
          </cell>
          <cell r="C470">
            <v>3.702</v>
          </cell>
          <cell r="D470">
            <v>3.581</v>
          </cell>
          <cell r="E470">
            <v>2.3109999999999999</v>
          </cell>
          <cell r="F470">
            <v>2.2290000000000001</v>
          </cell>
          <cell r="G470">
            <v>2.1970000000000001</v>
          </cell>
          <cell r="H470">
            <v>2.1819999999999999</v>
          </cell>
          <cell r="I470">
            <v>2.1469999999999998</v>
          </cell>
          <cell r="J470">
            <v>2.2909999999999999</v>
          </cell>
          <cell r="K470">
            <v>2.3260000000000001</v>
          </cell>
          <cell r="L470">
            <v>2.3839999999999999</v>
          </cell>
          <cell r="M470">
            <v>2.4750000000000001</v>
          </cell>
          <cell r="N470">
            <v>2.5299999999999998</v>
          </cell>
          <cell r="O470">
            <v>2.6219999999999999</v>
          </cell>
          <cell r="P470">
            <v>2.8919999999999999</v>
          </cell>
          <cell r="Q470">
            <v>2.9049999999999998</v>
          </cell>
          <cell r="R470">
            <v>2.9969999999999999</v>
          </cell>
          <cell r="S470">
            <v>3.1030000000000002</v>
          </cell>
          <cell r="T470">
            <v>3.0950000000000002</v>
          </cell>
          <cell r="U470">
            <v>3.129</v>
          </cell>
          <cell r="V470">
            <v>3.1139999999999999</v>
          </cell>
          <cell r="W470">
            <v>3.2130000000000001</v>
          </cell>
          <cell r="X470">
            <v>3.2410000000000001</v>
          </cell>
          <cell r="Y470">
            <v>3.2490000000000001</v>
          </cell>
          <cell r="Z470">
            <v>3.2759999999999998</v>
          </cell>
          <cell r="AA470">
            <v>3.2989999999999999</v>
          </cell>
          <cell r="AB470">
            <v>3.3039999999999998</v>
          </cell>
          <cell r="AC470">
            <v>3.2789999999999999</v>
          </cell>
        </row>
        <row r="471">
          <cell r="A471" t="str">
            <v>Loss thermal comfort (Billion euro)</v>
          </cell>
          <cell r="C471">
            <v>0.107</v>
          </cell>
          <cell r="D471">
            <v>3.3000000000000002E-2</v>
          </cell>
          <cell r="E471">
            <v>-0.16</v>
          </cell>
          <cell r="F471">
            <v>4.2000000000000003E-2</v>
          </cell>
          <cell r="G471">
            <v>-0.191</v>
          </cell>
          <cell r="H471">
            <v>-0.193</v>
          </cell>
          <cell r="I471">
            <v>-0.19700000000000001</v>
          </cell>
          <cell r="J471">
            <v>-0.161</v>
          </cell>
          <cell r="K471">
            <v>-0.16200000000000001</v>
          </cell>
          <cell r="L471">
            <v>-0.156</v>
          </cell>
          <cell r="M471">
            <v>-0.15</v>
          </cell>
          <cell r="N471">
            <v>-0.14099999999999999</v>
          </cell>
          <cell r="O471">
            <v>-0.12</v>
          </cell>
          <cell r="P471">
            <v>-0.125</v>
          </cell>
          <cell r="Q471">
            <v>-0.109</v>
          </cell>
          <cell r="R471">
            <v>-0.107</v>
          </cell>
          <cell r="S471">
            <v>1.5880000000000001</v>
          </cell>
          <cell r="T471">
            <v>-0.93300000000000005</v>
          </cell>
          <cell r="U471">
            <v>-9.6000000000000002E-2</v>
          </cell>
          <cell r="V471">
            <v>-8.5000000000000006E-2</v>
          </cell>
          <cell r="W471">
            <v>-5.2999999999999999E-2</v>
          </cell>
          <cell r="X471">
            <v>-4.7E-2</v>
          </cell>
          <cell r="Y471">
            <v>-5.7000000000000002E-2</v>
          </cell>
          <cell r="Z471">
            <v>-5.0999999999999997E-2</v>
          </cell>
          <cell r="AA471">
            <v>-4.9000000000000002E-2</v>
          </cell>
          <cell r="AB471">
            <v>-4.7E-2</v>
          </cell>
          <cell r="AC471">
            <v>-4.3999999999999997E-2</v>
          </cell>
        </row>
        <row r="472">
          <cell r="A472" t="str">
            <v>Mpr (Billion euro)</v>
          </cell>
          <cell r="C472">
            <v>1.607</v>
          </cell>
          <cell r="D472">
            <v>1.589</v>
          </cell>
        </row>
        <row r="473">
          <cell r="A473" t="str">
            <v>Mpr (Thousand households)</v>
          </cell>
          <cell r="C473">
            <v>1256.951</v>
          </cell>
          <cell r="D473">
            <v>1241.925</v>
          </cell>
        </row>
        <row r="474">
          <cell r="A474" t="str">
            <v>Mpr efficacite (Billion euro)</v>
          </cell>
          <cell r="E474">
            <v>1.6339999999999999</v>
          </cell>
          <cell r="F474">
            <v>1.6890000000000001</v>
          </cell>
          <cell r="G474">
            <v>1.6639999999999999</v>
          </cell>
          <cell r="H474">
            <v>1.649</v>
          </cell>
          <cell r="I474">
            <v>1.6240000000000001</v>
          </cell>
          <cell r="J474">
            <v>1.665</v>
          </cell>
          <cell r="K474">
            <v>1.643</v>
          </cell>
          <cell r="L474">
            <v>1.66</v>
          </cell>
          <cell r="M474">
            <v>1.679</v>
          </cell>
          <cell r="N474">
            <v>1.698</v>
          </cell>
          <cell r="O474">
            <v>1.359</v>
          </cell>
          <cell r="P474">
            <v>1.371</v>
          </cell>
          <cell r="Q474">
            <v>1.373</v>
          </cell>
          <cell r="R474">
            <v>1.2729999999999999</v>
          </cell>
          <cell r="S474">
            <v>1.306</v>
          </cell>
          <cell r="T474">
            <v>1.2030000000000001</v>
          </cell>
          <cell r="U474">
            <v>1.1870000000000001</v>
          </cell>
          <cell r="V474">
            <v>1.1279999999999999</v>
          </cell>
          <cell r="W474">
            <v>1.714</v>
          </cell>
          <cell r="X474">
            <v>1.722</v>
          </cell>
          <cell r="Y474">
            <v>1.7709999999999999</v>
          </cell>
          <cell r="Z474">
            <v>1.796</v>
          </cell>
          <cell r="AA474">
            <v>1.7330000000000001</v>
          </cell>
          <cell r="AB474">
            <v>1.667</v>
          </cell>
          <cell r="AC474">
            <v>1.6040000000000001</v>
          </cell>
        </row>
        <row r="475">
          <cell r="A475" t="str">
            <v>Mpr efficacite (Thousand households)</v>
          </cell>
          <cell r="E475">
            <v>977.14</v>
          </cell>
          <cell r="F475">
            <v>976.49300000000005</v>
          </cell>
          <cell r="G475">
            <v>973.71199999999999</v>
          </cell>
          <cell r="H475">
            <v>973.35599999999999</v>
          </cell>
          <cell r="I475">
            <v>973.11500000000001</v>
          </cell>
          <cell r="J475">
            <v>975.20899999999995</v>
          </cell>
          <cell r="K475">
            <v>975.18799999999999</v>
          </cell>
          <cell r="L475">
            <v>976.89200000000005</v>
          </cell>
          <cell r="M475">
            <v>977.73</v>
          </cell>
          <cell r="N475">
            <v>978.00199999999995</v>
          </cell>
          <cell r="O475">
            <v>806.43200000000002</v>
          </cell>
          <cell r="P475">
            <v>803.976</v>
          </cell>
          <cell r="Q475">
            <v>800.25699999999995</v>
          </cell>
          <cell r="R475">
            <v>715.78399999999999</v>
          </cell>
          <cell r="S475">
            <v>739.173</v>
          </cell>
          <cell r="T475">
            <v>671.23299999999995</v>
          </cell>
          <cell r="U475">
            <v>666.77599999999995</v>
          </cell>
          <cell r="V475">
            <v>624.11199999999997</v>
          </cell>
          <cell r="W475">
            <v>827.428</v>
          </cell>
          <cell r="X475">
            <v>783.41</v>
          </cell>
          <cell r="Y475">
            <v>862.803</v>
          </cell>
          <cell r="Z475">
            <v>833.43600000000004</v>
          </cell>
          <cell r="AA475">
            <v>846.93100000000004</v>
          </cell>
          <cell r="AB475">
            <v>865.37699999999995</v>
          </cell>
          <cell r="AC475">
            <v>879.62</v>
          </cell>
        </row>
        <row r="476">
          <cell r="A476" t="str">
            <v>Mpr efficacite heater (Billion euro)</v>
          </cell>
          <cell r="E476">
            <v>1.425</v>
          </cell>
          <cell r="F476">
            <v>1.4750000000000001</v>
          </cell>
          <cell r="G476">
            <v>1.4530000000000001</v>
          </cell>
          <cell r="H476">
            <v>1.4319999999999999</v>
          </cell>
          <cell r="I476">
            <v>1.4119999999999999</v>
          </cell>
          <cell r="J476">
            <v>1.4570000000000001</v>
          </cell>
          <cell r="K476">
            <v>1.4390000000000001</v>
          </cell>
          <cell r="L476">
            <v>1.458</v>
          </cell>
          <cell r="M476">
            <v>1.4790000000000001</v>
          </cell>
          <cell r="N476">
            <v>1.5</v>
          </cell>
          <cell r="O476">
            <v>1.23</v>
          </cell>
          <cell r="P476">
            <v>1.2430000000000001</v>
          </cell>
          <cell r="Q476">
            <v>1.244</v>
          </cell>
          <cell r="R476">
            <v>1.1579999999999999</v>
          </cell>
          <cell r="S476">
            <v>1.1870000000000001</v>
          </cell>
          <cell r="T476">
            <v>1.101</v>
          </cell>
          <cell r="U476">
            <v>1.0880000000000001</v>
          </cell>
          <cell r="V476">
            <v>1.0369999999999999</v>
          </cell>
          <cell r="W476">
            <v>1.6279999999999999</v>
          </cell>
          <cell r="X476">
            <v>1.641</v>
          </cell>
          <cell r="Y476">
            <v>1.6890000000000001</v>
          </cell>
          <cell r="Z476">
            <v>1.7190000000000001</v>
          </cell>
          <cell r="AA476">
            <v>1.659</v>
          </cell>
          <cell r="AB476">
            <v>1.597</v>
          </cell>
          <cell r="AC476">
            <v>1.534</v>
          </cell>
        </row>
        <row r="477">
          <cell r="A477" t="str">
            <v>Mpr efficacite heater (Thousand households)</v>
          </cell>
          <cell r="E477">
            <v>943.74</v>
          </cell>
          <cell r="F477">
            <v>942.51499999999999</v>
          </cell>
          <cell r="G477">
            <v>940.16200000000003</v>
          </cell>
          <cell r="H477">
            <v>939.06399999999996</v>
          </cell>
          <cell r="I477">
            <v>939.38099999999997</v>
          </cell>
          <cell r="J477">
            <v>941.78700000000003</v>
          </cell>
          <cell r="K477">
            <v>942.16800000000001</v>
          </cell>
          <cell r="L477">
            <v>944.06600000000003</v>
          </cell>
          <cell r="M477">
            <v>945.08799999999997</v>
          </cell>
          <cell r="N477">
            <v>945.53399999999999</v>
          </cell>
          <cell r="O477">
            <v>783.673</v>
          </cell>
          <cell r="P477">
            <v>781.49099999999999</v>
          </cell>
          <cell r="Q477">
            <v>777.67</v>
          </cell>
          <cell r="R477">
            <v>695.84</v>
          </cell>
          <cell r="S477">
            <v>718.23699999999997</v>
          </cell>
          <cell r="T477">
            <v>653.29</v>
          </cell>
          <cell r="U477">
            <v>649.30999999999995</v>
          </cell>
          <cell r="V477">
            <v>608.11599999999999</v>
          </cell>
          <cell r="W477">
            <v>812.67700000000002</v>
          </cell>
          <cell r="X477">
            <v>769.57399999999996</v>
          </cell>
          <cell r="Y477">
            <v>848.42600000000004</v>
          </cell>
          <cell r="Z477">
            <v>819.98500000000001</v>
          </cell>
          <cell r="AA477">
            <v>833.84100000000001</v>
          </cell>
          <cell r="AB477">
            <v>852.73900000000003</v>
          </cell>
          <cell r="AC477">
            <v>867.03599999999994</v>
          </cell>
        </row>
        <row r="478">
          <cell r="A478" t="str">
            <v>Mpr efficacite heater C1 (Thousand households)</v>
          </cell>
          <cell r="E478">
            <v>137.03399999999999</v>
          </cell>
          <cell r="F478">
            <v>137.25800000000001</v>
          </cell>
          <cell r="G478">
            <v>137.36199999999999</v>
          </cell>
          <cell r="H478">
            <v>137.62</v>
          </cell>
          <cell r="I478">
            <v>138.054</v>
          </cell>
          <cell r="J478">
            <v>138.77699999999999</v>
          </cell>
          <cell r="K478">
            <v>139.25899999999999</v>
          </cell>
          <cell r="L478">
            <v>139.94900000000001</v>
          </cell>
          <cell r="M478">
            <v>140.541</v>
          </cell>
          <cell r="N478">
            <v>141.08099999999999</v>
          </cell>
          <cell r="O478">
            <v>115.41800000000001</v>
          </cell>
          <cell r="P478">
            <v>115.441</v>
          </cell>
          <cell r="Q478">
            <v>115.256</v>
          </cell>
          <cell r="R478">
            <v>103.947</v>
          </cell>
          <cell r="S478">
            <v>107.419</v>
          </cell>
          <cell r="T478">
            <v>98.382999999999996</v>
          </cell>
          <cell r="U478">
            <v>98.015000000000001</v>
          </cell>
          <cell r="V478">
            <v>92.316000000000003</v>
          </cell>
          <cell r="W478">
            <v>114.599</v>
          </cell>
          <cell r="X478">
            <v>108.19499999999999</v>
          </cell>
          <cell r="Y478">
            <v>120.265</v>
          </cell>
          <cell r="Z478">
            <v>116.068</v>
          </cell>
          <cell r="AA478">
            <v>118.086</v>
          </cell>
          <cell r="AB478">
            <v>120.89400000000001</v>
          </cell>
          <cell r="AC478">
            <v>123.01300000000001</v>
          </cell>
        </row>
        <row r="479">
          <cell r="A479" t="str">
            <v>Mpr efficacite heater C2 (Thousand households)</v>
          </cell>
          <cell r="E479">
            <v>198.661</v>
          </cell>
          <cell r="F479">
            <v>198.626</v>
          </cell>
          <cell r="G479">
            <v>198.30500000000001</v>
          </cell>
          <cell r="H479">
            <v>198.23</v>
          </cell>
          <cell r="I479">
            <v>198.47399999999999</v>
          </cell>
          <cell r="J479">
            <v>199.21899999999999</v>
          </cell>
          <cell r="K479">
            <v>199.45</v>
          </cell>
          <cell r="L479">
            <v>200.05</v>
          </cell>
          <cell r="M479">
            <v>200.434</v>
          </cell>
          <cell r="N479">
            <v>200.65199999999999</v>
          </cell>
          <cell r="O479">
            <v>162.63800000000001</v>
          </cell>
          <cell r="P479">
            <v>162.08799999999999</v>
          </cell>
          <cell r="Q479">
            <v>161.13900000000001</v>
          </cell>
          <cell r="R479">
            <v>144.76400000000001</v>
          </cell>
          <cell r="S479">
            <v>148.86699999999999</v>
          </cell>
          <cell r="T479">
            <v>135.72800000000001</v>
          </cell>
          <cell r="U479">
            <v>134.58799999999999</v>
          </cell>
          <cell r="V479">
            <v>126.16</v>
          </cell>
          <cell r="W479">
            <v>168.52500000000001</v>
          </cell>
          <cell r="X479">
            <v>160.916</v>
          </cell>
          <cell r="Y479">
            <v>175.75200000000001</v>
          </cell>
          <cell r="Z479">
            <v>170.86500000000001</v>
          </cell>
          <cell r="AA479">
            <v>172.17</v>
          </cell>
          <cell r="AB479">
            <v>174.35599999999999</v>
          </cell>
          <cell r="AC479">
            <v>175.70500000000001</v>
          </cell>
        </row>
        <row r="480">
          <cell r="A480" t="str">
            <v>Mpr efficacite heater C3 (Thousand households)</v>
          </cell>
          <cell r="E480">
            <v>264.60700000000003</v>
          </cell>
          <cell r="F480">
            <v>264.005</v>
          </cell>
          <cell r="G480">
            <v>263.04399999999998</v>
          </cell>
          <cell r="H480">
            <v>262.50799999999998</v>
          </cell>
          <cell r="I480">
            <v>262.44400000000002</v>
          </cell>
          <cell r="J480">
            <v>263.04199999999997</v>
          </cell>
          <cell r="K480">
            <v>262.98200000000003</v>
          </cell>
          <cell r="L480">
            <v>263.40199999999999</v>
          </cell>
          <cell r="M480">
            <v>263.53199999999998</v>
          </cell>
          <cell r="N480">
            <v>263.44</v>
          </cell>
          <cell r="O480">
            <v>217.33799999999999</v>
          </cell>
          <cell r="P480">
            <v>216.46</v>
          </cell>
          <cell r="Q480">
            <v>215.05600000000001</v>
          </cell>
          <cell r="R480">
            <v>192.37299999999999</v>
          </cell>
          <cell r="S480">
            <v>198.154</v>
          </cell>
          <cell r="T480">
            <v>180.16900000000001</v>
          </cell>
          <cell r="U480">
            <v>178.809</v>
          </cell>
          <cell r="V480">
            <v>167.37100000000001</v>
          </cell>
          <cell r="W480">
            <v>230.98500000000001</v>
          </cell>
          <cell r="X480">
            <v>220.31700000000001</v>
          </cell>
          <cell r="Y480">
            <v>240.13300000000001</v>
          </cell>
          <cell r="Z480">
            <v>233.26</v>
          </cell>
          <cell r="AA480">
            <v>235.83799999999999</v>
          </cell>
          <cell r="AB480">
            <v>239.56399999999999</v>
          </cell>
          <cell r="AC480">
            <v>242.125</v>
          </cell>
        </row>
        <row r="481">
          <cell r="A481" t="str">
            <v>Mpr efficacite heater C4 (Thousand households)</v>
          </cell>
          <cell r="E481">
            <v>343.43799999999999</v>
          </cell>
          <cell r="F481">
            <v>342.62700000000001</v>
          </cell>
          <cell r="G481">
            <v>341.45</v>
          </cell>
          <cell r="H481">
            <v>340.70600000000002</v>
          </cell>
          <cell r="I481">
            <v>340.41</v>
          </cell>
          <cell r="J481">
            <v>340.74900000000002</v>
          </cell>
          <cell r="K481">
            <v>340.47699999999998</v>
          </cell>
          <cell r="L481">
            <v>340.66500000000002</v>
          </cell>
          <cell r="M481">
            <v>340.58100000000002</v>
          </cell>
          <cell r="N481">
            <v>340.36099999999999</v>
          </cell>
          <cell r="O481">
            <v>288.279</v>
          </cell>
          <cell r="P481">
            <v>287.50299999999999</v>
          </cell>
          <cell r="Q481">
            <v>286.21699999999998</v>
          </cell>
          <cell r="R481">
            <v>254.756</v>
          </cell>
          <cell r="S481">
            <v>263.798</v>
          </cell>
          <cell r="T481">
            <v>239.01</v>
          </cell>
          <cell r="U481">
            <v>237.898</v>
          </cell>
          <cell r="V481">
            <v>222.26900000000001</v>
          </cell>
          <cell r="W481">
            <v>298.56799999999998</v>
          </cell>
          <cell r="X481">
            <v>280.14499999999998</v>
          </cell>
          <cell r="Y481">
            <v>312.27600000000001</v>
          </cell>
          <cell r="Z481">
            <v>299.79199999999997</v>
          </cell>
          <cell r="AA481">
            <v>307.74799999999999</v>
          </cell>
          <cell r="AB481">
            <v>317.92500000000001</v>
          </cell>
          <cell r="AC481">
            <v>326.19299999999998</v>
          </cell>
        </row>
        <row r="482">
          <cell r="A482" t="str">
            <v>Mpr efficacite heater C5 (Thousand households)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</row>
        <row r="483">
          <cell r="A483" t="str">
            <v>Mpr efficacite heater Multi-family (Thousand households)</v>
          </cell>
          <cell r="E483">
            <v>272.33100000000002</v>
          </cell>
          <cell r="F483">
            <v>271.79199999999997</v>
          </cell>
          <cell r="G483">
            <v>271.40800000000002</v>
          </cell>
          <cell r="H483">
            <v>270.33199999999999</v>
          </cell>
          <cell r="I483">
            <v>268.06599999999997</v>
          </cell>
          <cell r="J483">
            <v>264.346</v>
          </cell>
          <cell r="K483">
            <v>262.09100000000001</v>
          </cell>
          <cell r="L483">
            <v>258.291</v>
          </cell>
          <cell r="M483">
            <v>254.66900000000001</v>
          </cell>
          <cell r="N483">
            <v>251.661</v>
          </cell>
          <cell r="O483">
            <v>230.768</v>
          </cell>
          <cell r="P483">
            <v>229.23599999999999</v>
          </cell>
          <cell r="Q483">
            <v>228.554</v>
          </cell>
          <cell r="R483">
            <v>201.22900000000001</v>
          </cell>
          <cell r="S483">
            <v>210.67699999999999</v>
          </cell>
          <cell r="T483">
            <v>190.04900000000001</v>
          </cell>
          <cell r="U483">
            <v>190.392</v>
          </cell>
          <cell r="V483">
            <v>177.27600000000001</v>
          </cell>
          <cell r="W483">
            <v>208.83600000000001</v>
          </cell>
          <cell r="X483">
            <v>169.35599999999999</v>
          </cell>
          <cell r="Y483">
            <v>231.86600000000001</v>
          </cell>
          <cell r="Z483">
            <v>205.79</v>
          </cell>
          <cell r="AA483">
            <v>240.01499999999999</v>
          </cell>
          <cell r="AB483">
            <v>280.64400000000001</v>
          </cell>
          <cell r="AC483">
            <v>317.654</v>
          </cell>
        </row>
        <row r="484">
          <cell r="A484" t="str">
            <v>Mpr efficacite heater Single-family (Thousand households)</v>
          </cell>
          <cell r="E484">
            <v>671.40899999999999</v>
          </cell>
          <cell r="F484">
            <v>670.72400000000005</v>
          </cell>
          <cell r="G484">
            <v>668.75400000000002</v>
          </cell>
          <cell r="H484">
            <v>668.73199999999997</v>
          </cell>
          <cell r="I484">
            <v>671.31500000000005</v>
          </cell>
          <cell r="J484">
            <v>677.44100000000003</v>
          </cell>
          <cell r="K484">
            <v>680.077</v>
          </cell>
          <cell r="L484">
            <v>685.77499999999998</v>
          </cell>
          <cell r="M484">
            <v>690.41899999999998</v>
          </cell>
          <cell r="N484">
            <v>693.87300000000005</v>
          </cell>
          <cell r="O484">
            <v>552.90499999999997</v>
          </cell>
          <cell r="P484">
            <v>552.25599999999997</v>
          </cell>
          <cell r="Q484">
            <v>549.11599999999999</v>
          </cell>
          <cell r="R484">
            <v>494.61099999999999</v>
          </cell>
          <cell r="S484">
            <v>507.56</v>
          </cell>
          <cell r="T484">
            <v>463.24099999999999</v>
          </cell>
          <cell r="U484">
            <v>458.91800000000001</v>
          </cell>
          <cell r="V484">
            <v>430.839</v>
          </cell>
          <cell r="W484">
            <v>603.84100000000001</v>
          </cell>
          <cell r="X484">
            <v>600.21799999999996</v>
          </cell>
          <cell r="Y484">
            <v>616.55899999999997</v>
          </cell>
          <cell r="Z484">
            <v>614.19399999999996</v>
          </cell>
          <cell r="AA484">
            <v>593.82600000000002</v>
          </cell>
          <cell r="AB484">
            <v>572.09500000000003</v>
          </cell>
          <cell r="AC484">
            <v>549.38099999999997</v>
          </cell>
        </row>
        <row r="485">
          <cell r="A485" t="str">
            <v>Mpr efficacite insulation (Billion euro)</v>
          </cell>
          <cell r="E485">
            <v>0.20899999999999999</v>
          </cell>
          <cell r="F485">
            <v>0.214</v>
          </cell>
          <cell r="G485">
            <v>0.21099999999999999</v>
          </cell>
          <cell r="H485">
            <v>0.218</v>
          </cell>
          <cell r="I485">
            <v>0.21199999999999999</v>
          </cell>
          <cell r="J485">
            <v>0.20799999999999999</v>
          </cell>
          <cell r="K485">
            <v>0.20399999999999999</v>
          </cell>
          <cell r="L485">
            <v>0.20200000000000001</v>
          </cell>
          <cell r="M485">
            <v>0.19900000000000001</v>
          </cell>
          <cell r="N485">
            <v>0.19700000000000001</v>
          </cell>
          <cell r="O485">
            <v>0.13</v>
          </cell>
          <cell r="P485">
            <v>0.128</v>
          </cell>
          <cell r="Q485">
            <v>0.129</v>
          </cell>
          <cell r="R485">
            <v>0.114</v>
          </cell>
          <cell r="S485">
            <v>0.11799999999999999</v>
          </cell>
          <cell r="T485">
            <v>0.10199999999999999</v>
          </cell>
          <cell r="U485">
            <v>9.9000000000000005E-2</v>
          </cell>
          <cell r="V485">
            <v>9.0999999999999998E-2</v>
          </cell>
          <cell r="W485">
            <v>8.5999999999999993E-2</v>
          </cell>
          <cell r="X485">
            <v>8.1000000000000003E-2</v>
          </cell>
          <cell r="Y485">
            <v>8.2000000000000003E-2</v>
          </cell>
          <cell r="Z485">
            <v>7.6999999999999999E-2</v>
          </cell>
          <cell r="AA485">
            <v>7.3999999999999996E-2</v>
          </cell>
          <cell r="AB485">
            <v>7.0000000000000007E-2</v>
          </cell>
          <cell r="AC485">
            <v>7.0000000000000007E-2</v>
          </cell>
        </row>
        <row r="486">
          <cell r="A486" t="str">
            <v>Mpr efficacite insulation (Thousand households)</v>
          </cell>
          <cell r="E486">
            <v>33.4</v>
          </cell>
          <cell r="F486">
            <v>33.978000000000002</v>
          </cell>
          <cell r="G486">
            <v>33.549999999999997</v>
          </cell>
          <cell r="H486">
            <v>34.292000000000002</v>
          </cell>
          <cell r="I486">
            <v>33.732999999999997</v>
          </cell>
          <cell r="J486">
            <v>33.421999999999997</v>
          </cell>
          <cell r="K486">
            <v>33.020000000000003</v>
          </cell>
          <cell r="L486">
            <v>32.826000000000001</v>
          </cell>
          <cell r="M486">
            <v>32.642000000000003</v>
          </cell>
          <cell r="N486">
            <v>32.468000000000004</v>
          </cell>
          <cell r="O486">
            <v>22.759</v>
          </cell>
          <cell r="P486">
            <v>22.484000000000002</v>
          </cell>
          <cell r="Q486">
            <v>22.587</v>
          </cell>
          <cell r="R486">
            <v>19.943999999999999</v>
          </cell>
          <cell r="S486">
            <v>20.936</v>
          </cell>
          <cell r="T486">
            <v>17.943000000000001</v>
          </cell>
          <cell r="U486">
            <v>17.466000000000001</v>
          </cell>
          <cell r="V486">
            <v>15.996</v>
          </cell>
          <cell r="W486">
            <v>14.750999999999999</v>
          </cell>
          <cell r="X486">
            <v>13.837</v>
          </cell>
          <cell r="Y486">
            <v>14.377000000000001</v>
          </cell>
          <cell r="Z486">
            <v>13.451000000000001</v>
          </cell>
          <cell r="AA486">
            <v>13.09</v>
          </cell>
          <cell r="AB486">
            <v>12.638</v>
          </cell>
          <cell r="AC486">
            <v>12.585000000000001</v>
          </cell>
        </row>
        <row r="487">
          <cell r="A487" t="str">
            <v>Mpr efficacite insulation C1 (Thousand households)</v>
          </cell>
          <cell r="E487">
            <v>10.346</v>
          </cell>
          <cell r="F487">
            <v>10.54</v>
          </cell>
          <cell r="G487">
            <v>10.417999999999999</v>
          </cell>
          <cell r="H487">
            <v>10.577</v>
          </cell>
          <cell r="I487">
            <v>10.467000000000001</v>
          </cell>
          <cell r="J487">
            <v>10.41</v>
          </cell>
          <cell r="K487">
            <v>10.324999999999999</v>
          </cell>
          <cell r="L487">
            <v>10.298999999999999</v>
          </cell>
          <cell r="M487">
            <v>10.276999999999999</v>
          </cell>
          <cell r="N487">
            <v>10.263</v>
          </cell>
          <cell r="O487">
            <v>6.7889999999999997</v>
          </cell>
          <cell r="P487">
            <v>6.7210000000000001</v>
          </cell>
          <cell r="Q487">
            <v>6.7309999999999999</v>
          </cell>
          <cell r="R487">
            <v>6.048</v>
          </cell>
          <cell r="S487">
            <v>6.1879999999999997</v>
          </cell>
          <cell r="T487">
            <v>5.5129999999999999</v>
          </cell>
          <cell r="U487">
            <v>5.383</v>
          </cell>
          <cell r="V487">
            <v>4.9710000000000001</v>
          </cell>
          <cell r="W487">
            <v>4.0519999999999996</v>
          </cell>
          <cell r="X487">
            <v>3.7749999999999999</v>
          </cell>
          <cell r="Y487">
            <v>3.9079999999999999</v>
          </cell>
          <cell r="Z487">
            <v>3.63</v>
          </cell>
          <cell r="AA487">
            <v>3.4809999999999999</v>
          </cell>
          <cell r="AB487">
            <v>3.335</v>
          </cell>
          <cell r="AC487">
            <v>3.234</v>
          </cell>
        </row>
        <row r="488">
          <cell r="A488" t="str">
            <v>Mpr efficacite insulation C2 (Thousand households)</v>
          </cell>
          <cell r="E488">
            <v>9.0090000000000003</v>
          </cell>
          <cell r="F488">
            <v>9.3889999999999993</v>
          </cell>
          <cell r="G488">
            <v>9.391</v>
          </cell>
          <cell r="H488">
            <v>9.6470000000000002</v>
          </cell>
          <cell r="I488">
            <v>9.4809999999999999</v>
          </cell>
          <cell r="J488">
            <v>9.3879999999999999</v>
          </cell>
          <cell r="K488">
            <v>9.2620000000000005</v>
          </cell>
          <cell r="L488">
            <v>9.1880000000000006</v>
          </cell>
          <cell r="M488">
            <v>9.1129999999999995</v>
          </cell>
          <cell r="N488">
            <v>9.0410000000000004</v>
          </cell>
          <cell r="O488">
            <v>6.2</v>
          </cell>
          <cell r="P488">
            <v>6.11</v>
          </cell>
          <cell r="Q488">
            <v>6.1429999999999998</v>
          </cell>
          <cell r="R488">
            <v>5.4210000000000003</v>
          </cell>
          <cell r="S488">
            <v>5.5510000000000002</v>
          </cell>
          <cell r="T488">
            <v>4.84</v>
          </cell>
          <cell r="U488">
            <v>4.6929999999999996</v>
          </cell>
          <cell r="V488">
            <v>4.2919999999999998</v>
          </cell>
          <cell r="W488">
            <v>4.08</v>
          </cell>
          <cell r="X488">
            <v>3.8439999999999999</v>
          </cell>
          <cell r="Y488">
            <v>3.964</v>
          </cell>
          <cell r="Z488">
            <v>3.7290000000000001</v>
          </cell>
          <cell r="AA488">
            <v>3.677</v>
          </cell>
          <cell r="AB488">
            <v>3.5270000000000001</v>
          </cell>
          <cell r="AC488">
            <v>3.613</v>
          </cell>
        </row>
        <row r="489">
          <cell r="A489" t="str">
            <v>Mpr efficacite insulation C3 (Thousand households)</v>
          </cell>
          <cell r="E489">
            <v>7.5990000000000002</v>
          </cell>
          <cell r="F489">
            <v>7.5860000000000003</v>
          </cell>
          <cell r="G489">
            <v>7.3970000000000002</v>
          </cell>
          <cell r="H489">
            <v>7.59</v>
          </cell>
          <cell r="I489">
            <v>7.41</v>
          </cell>
          <cell r="J489">
            <v>7.2889999999999997</v>
          </cell>
          <cell r="K489">
            <v>7.1680000000000001</v>
          </cell>
          <cell r="L489">
            <v>7.1059999999999999</v>
          </cell>
          <cell r="M489">
            <v>7.0519999999999996</v>
          </cell>
          <cell r="N489">
            <v>7.0010000000000003</v>
          </cell>
          <cell r="O489">
            <v>5.0839999999999996</v>
          </cell>
          <cell r="P489">
            <v>5.0140000000000002</v>
          </cell>
          <cell r="Q489">
            <v>5.0510000000000002</v>
          </cell>
          <cell r="R489">
            <v>4.4160000000000004</v>
          </cell>
          <cell r="S489">
            <v>4.7830000000000004</v>
          </cell>
          <cell r="T489">
            <v>3.9489999999999998</v>
          </cell>
          <cell r="U489">
            <v>3.8359999999999999</v>
          </cell>
          <cell r="V489">
            <v>3.496</v>
          </cell>
          <cell r="W489">
            <v>3.4129999999999998</v>
          </cell>
          <cell r="X489">
            <v>3.2040000000000002</v>
          </cell>
          <cell r="Y489">
            <v>3.3370000000000002</v>
          </cell>
          <cell r="Z489">
            <v>3.1259999999999999</v>
          </cell>
          <cell r="AA489">
            <v>3.0369999999999999</v>
          </cell>
          <cell r="AB489">
            <v>2.9489999999999998</v>
          </cell>
          <cell r="AC489">
            <v>2.931</v>
          </cell>
        </row>
        <row r="490">
          <cell r="A490" t="str">
            <v>Mpr efficacite insulation C4 (Thousand households)</v>
          </cell>
          <cell r="E490">
            <v>6.4459999999999997</v>
          </cell>
          <cell r="F490">
            <v>6.4630000000000001</v>
          </cell>
          <cell r="G490">
            <v>6.3440000000000003</v>
          </cell>
          <cell r="H490">
            <v>6.4779999999999998</v>
          </cell>
          <cell r="I490">
            <v>6.3760000000000003</v>
          </cell>
          <cell r="J490">
            <v>6.335</v>
          </cell>
          <cell r="K490">
            <v>6.2649999999999997</v>
          </cell>
          <cell r="L490">
            <v>6.234</v>
          </cell>
          <cell r="M490">
            <v>6.2</v>
          </cell>
          <cell r="N490">
            <v>6.1630000000000003</v>
          </cell>
          <cell r="O490">
            <v>4.6859999999999999</v>
          </cell>
          <cell r="P490">
            <v>4.6379999999999999</v>
          </cell>
          <cell r="Q490">
            <v>4.6609999999999996</v>
          </cell>
          <cell r="R490">
            <v>4.0590000000000002</v>
          </cell>
          <cell r="S490">
            <v>4.4130000000000003</v>
          </cell>
          <cell r="T490">
            <v>3.641</v>
          </cell>
          <cell r="U490">
            <v>3.5529999999999999</v>
          </cell>
          <cell r="V490">
            <v>3.2370000000000001</v>
          </cell>
          <cell r="W490">
            <v>3.206</v>
          </cell>
          <cell r="X490">
            <v>3.0139999999999998</v>
          </cell>
          <cell r="Y490">
            <v>3.169</v>
          </cell>
          <cell r="Z490">
            <v>2.9660000000000002</v>
          </cell>
          <cell r="AA490">
            <v>2.895</v>
          </cell>
          <cell r="AB490">
            <v>2.827</v>
          </cell>
          <cell r="AC490">
            <v>2.8069999999999999</v>
          </cell>
        </row>
        <row r="491">
          <cell r="A491" t="str">
            <v>Mpr efficacite insulation C5 (Thousand households)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</row>
        <row r="492">
          <cell r="A492" t="str">
            <v>Mpr efficacite insulation Multi-family (Thousand households)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</row>
        <row r="493">
          <cell r="A493" t="str">
            <v>Mpr efficacite insulation Single-family (Thousand households)</v>
          </cell>
          <cell r="E493">
            <v>33.4</v>
          </cell>
          <cell r="F493">
            <v>33.978000000000002</v>
          </cell>
          <cell r="G493">
            <v>33.549999999999997</v>
          </cell>
          <cell r="H493">
            <v>34.292000000000002</v>
          </cell>
          <cell r="I493">
            <v>33.732999999999997</v>
          </cell>
          <cell r="J493">
            <v>33.421999999999997</v>
          </cell>
          <cell r="K493">
            <v>33.020000000000003</v>
          </cell>
          <cell r="L493">
            <v>32.826000000000001</v>
          </cell>
          <cell r="M493">
            <v>32.642000000000003</v>
          </cell>
          <cell r="N493">
            <v>32.468000000000004</v>
          </cell>
          <cell r="O493">
            <v>22.759</v>
          </cell>
          <cell r="P493">
            <v>22.484000000000002</v>
          </cell>
          <cell r="Q493">
            <v>22.587</v>
          </cell>
          <cell r="R493">
            <v>19.943999999999999</v>
          </cell>
          <cell r="S493">
            <v>20.936</v>
          </cell>
          <cell r="T493">
            <v>17.943000000000001</v>
          </cell>
          <cell r="U493">
            <v>17.466000000000001</v>
          </cell>
          <cell r="V493">
            <v>15.996</v>
          </cell>
          <cell r="W493">
            <v>14.750999999999999</v>
          </cell>
          <cell r="X493">
            <v>13.837</v>
          </cell>
          <cell r="Y493">
            <v>14.377000000000001</v>
          </cell>
          <cell r="Z493">
            <v>13.451000000000001</v>
          </cell>
          <cell r="AA493">
            <v>13.09</v>
          </cell>
          <cell r="AB493">
            <v>12.638</v>
          </cell>
          <cell r="AC493">
            <v>12.585000000000001</v>
          </cell>
        </row>
        <row r="494">
          <cell r="A494" t="str">
            <v>Mpr efficacite Multi-family (Thousand households)</v>
          </cell>
          <cell r="E494">
            <v>272.33100000000002</v>
          </cell>
          <cell r="F494">
            <v>271.79199999999997</v>
          </cell>
          <cell r="G494">
            <v>271.40800000000002</v>
          </cell>
          <cell r="H494">
            <v>270.33199999999999</v>
          </cell>
          <cell r="I494">
            <v>268.06599999999997</v>
          </cell>
          <cell r="J494">
            <v>264.346</v>
          </cell>
          <cell r="K494">
            <v>262.09100000000001</v>
          </cell>
          <cell r="L494">
            <v>258.291</v>
          </cell>
          <cell r="M494">
            <v>254.66900000000001</v>
          </cell>
          <cell r="N494">
            <v>251.661</v>
          </cell>
          <cell r="O494">
            <v>230.768</v>
          </cell>
          <cell r="P494">
            <v>229.23599999999999</v>
          </cell>
          <cell r="Q494">
            <v>228.554</v>
          </cell>
          <cell r="R494">
            <v>201.22900000000001</v>
          </cell>
          <cell r="S494">
            <v>210.67699999999999</v>
          </cell>
          <cell r="T494">
            <v>190.04900000000001</v>
          </cell>
          <cell r="U494">
            <v>190.392</v>
          </cell>
          <cell r="V494">
            <v>177.27600000000001</v>
          </cell>
          <cell r="W494">
            <v>208.83600000000001</v>
          </cell>
          <cell r="X494">
            <v>169.35599999999999</v>
          </cell>
          <cell r="Y494">
            <v>231.86600000000001</v>
          </cell>
          <cell r="Z494">
            <v>205.79</v>
          </cell>
          <cell r="AA494">
            <v>240.01499999999999</v>
          </cell>
          <cell r="AB494">
            <v>280.64400000000001</v>
          </cell>
          <cell r="AC494">
            <v>317.654</v>
          </cell>
        </row>
        <row r="495">
          <cell r="A495" t="str">
            <v>Mpr efficacite Single-family (Thousand households)</v>
          </cell>
          <cell r="E495">
            <v>704.80799999999999</v>
          </cell>
          <cell r="F495">
            <v>704.70100000000002</v>
          </cell>
          <cell r="G495">
            <v>702.30399999999997</v>
          </cell>
          <cell r="H495">
            <v>703.024</v>
          </cell>
          <cell r="I495">
            <v>705.048</v>
          </cell>
          <cell r="J495">
            <v>710.86300000000006</v>
          </cell>
          <cell r="K495">
            <v>713.09699999999998</v>
          </cell>
          <cell r="L495">
            <v>718.601</v>
          </cell>
          <cell r="M495">
            <v>723.06100000000004</v>
          </cell>
          <cell r="N495">
            <v>726.34100000000001</v>
          </cell>
          <cell r="O495">
            <v>575.66399999999999</v>
          </cell>
          <cell r="P495">
            <v>574.74</v>
          </cell>
          <cell r="Q495">
            <v>571.70299999999997</v>
          </cell>
          <cell r="R495">
            <v>514.55499999999995</v>
          </cell>
          <cell r="S495">
            <v>528.49599999999998</v>
          </cell>
          <cell r="T495">
            <v>481.18400000000003</v>
          </cell>
          <cell r="U495">
            <v>476.38400000000001</v>
          </cell>
          <cell r="V495">
            <v>446.83499999999998</v>
          </cell>
          <cell r="W495">
            <v>618.59199999999998</v>
          </cell>
          <cell r="X495">
            <v>614.05499999999995</v>
          </cell>
          <cell r="Y495">
            <v>630.93700000000001</v>
          </cell>
          <cell r="Z495">
            <v>627.64499999999998</v>
          </cell>
          <cell r="AA495">
            <v>606.91600000000005</v>
          </cell>
          <cell r="AB495">
            <v>584.73299999999995</v>
          </cell>
          <cell r="AC495">
            <v>561.96600000000001</v>
          </cell>
        </row>
        <row r="496">
          <cell r="A496" t="str">
            <v>Mpr heater (Billion euro)</v>
          </cell>
          <cell r="C496">
            <v>0.91200000000000003</v>
          </cell>
          <cell r="D496">
            <v>0.95</v>
          </cell>
        </row>
        <row r="497">
          <cell r="A497" t="str">
            <v>Mpr heater (Thousand households)</v>
          </cell>
          <cell r="C497">
            <v>948.173</v>
          </cell>
          <cell r="D497">
            <v>946.43700000000001</v>
          </cell>
        </row>
        <row r="498">
          <cell r="A498" t="str">
            <v>Mpr heater C1 (Thousand households)</v>
          </cell>
          <cell r="C498">
            <v>136.89699999999999</v>
          </cell>
          <cell r="D498">
            <v>136.96700000000001</v>
          </cell>
        </row>
        <row r="499">
          <cell r="A499" t="str">
            <v>Mpr heater C2 (Thousand households)</v>
          </cell>
          <cell r="C499">
            <v>199.01900000000001</v>
          </cell>
          <cell r="D499">
            <v>198.934</v>
          </cell>
        </row>
        <row r="500">
          <cell r="A500" t="str">
            <v>Mpr heater C3 (Thousand households)</v>
          </cell>
          <cell r="C500">
            <v>266.392</v>
          </cell>
          <cell r="D500">
            <v>265.69600000000003</v>
          </cell>
        </row>
        <row r="501">
          <cell r="A501" t="str">
            <v>Mpr heater C4 (Thousand households)</v>
          </cell>
          <cell r="C501">
            <v>345.86500000000001</v>
          </cell>
          <cell r="D501">
            <v>344.84</v>
          </cell>
        </row>
        <row r="502">
          <cell r="A502" t="str">
            <v>Mpr heater C5 (Thousand households)</v>
          </cell>
          <cell r="C502">
            <v>0</v>
          </cell>
          <cell r="D502">
            <v>0</v>
          </cell>
        </row>
        <row r="503">
          <cell r="A503" t="str">
            <v>Mpr heater Multi-family (Thousand households)</v>
          </cell>
          <cell r="C503">
            <v>273.221</v>
          </cell>
          <cell r="D503">
            <v>272.589</v>
          </cell>
        </row>
        <row r="504">
          <cell r="A504" t="str">
            <v>Mpr heater Single-family (Thousand households)</v>
          </cell>
          <cell r="C504">
            <v>674.952</v>
          </cell>
          <cell r="D504">
            <v>673.84799999999996</v>
          </cell>
        </row>
        <row r="505">
          <cell r="A505" t="str">
            <v>Mpr insulation (Billion euro)</v>
          </cell>
          <cell r="C505">
            <v>0.69599999999999995</v>
          </cell>
          <cell r="D505">
            <v>0.63800000000000001</v>
          </cell>
        </row>
        <row r="506">
          <cell r="A506" t="str">
            <v>Mpr insulation (Thousand households)</v>
          </cell>
          <cell r="C506">
            <v>308.77699999999999</v>
          </cell>
          <cell r="D506">
            <v>295.488</v>
          </cell>
        </row>
        <row r="507">
          <cell r="A507" t="str">
            <v>Mpr insulation C1 (Thousand households)</v>
          </cell>
          <cell r="C507">
            <v>36.585000000000001</v>
          </cell>
          <cell r="D507">
            <v>35.634</v>
          </cell>
        </row>
        <row r="508">
          <cell r="A508" t="str">
            <v>Mpr insulation C2 (Thousand households)</v>
          </cell>
          <cell r="C508">
            <v>61.813000000000002</v>
          </cell>
          <cell r="D508">
            <v>60.302</v>
          </cell>
        </row>
        <row r="509">
          <cell r="A509" t="str">
            <v>Mpr insulation C3 (Thousand households)</v>
          </cell>
          <cell r="C509">
            <v>107.166</v>
          </cell>
          <cell r="D509">
            <v>101.44</v>
          </cell>
        </row>
        <row r="510">
          <cell r="A510" t="str">
            <v>Mpr insulation C4 (Thousand households)</v>
          </cell>
          <cell r="C510">
            <v>103.21299999999999</v>
          </cell>
          <cell r="D510">
            <v>98.111999999999995</v>
          </cell>
        </row>
        <row r="511">
          <cell r="A511" t="str">
            <v>Mpr insulation C5 (Thousand households)</v>
          </cell>
          <cell r="C511">
            <v>0</v>
          </cell>
          <cell r="D511">
            <v>0</v>
          </cell>
        </row>
        <row r="512">
          <cell r="A512" t="str">
            <v>Mpr insulation Multi-family (Thousand households)</v>
          </cell>
          <cell r="C512">
            <v>0</v>
          </cell>
          <cell r="D512">
            <v>0</v>
          </cell>
        </row>
        <row r="513">
          <cell r="A513" t="str">
            <v>Mpr insulation Single-family (Thousand households)</v>
          </cell>
          <cell r="C513">
            <v>308.77699999999999</v>
          </cell>
          <cell r="D513">
            <v>295.488</v>
          </cell>
        </row>
        <row r="514">
          <cell r="A514" t="str">
            <v>Mpr multifamily  C1 (Million euro)</v>
          </cell>
          <cell r="C514">
            <v>7.827</v>
          </cell>
        </row>
        <row r="515">
          <cell r="A515" t="str">
            <v>Mpr multifamily  C1 (Thousand households)</v>
          </cell>
          <cell r="C515">
            <v>6.9459999999999997</v>
          </cell>
        </row>
        <row r="516">
          <cell r="A516" t="str">
            <v>Mpr multifamily  C2 (Million euro)</v>
          </cell>
          <cell r="C516">
            <v>9.1319999999999997</v>
          </cell>
        </row>
        <row r="517">
          <cell r="A517" t="str">
            <v>Mpr multifamily  C2 (Thousand households)</v>
          </cell>
          <cell r="C517">
            <v>9.3719999999999999</v>
          </cell>
        </row>
        <row r="518">
          <cell r="A518" t="str">
            <v>Mpr multifamily  C3 (Million euro)</v>
          </cell>
          <cell r="C518">
            <v>25.719000000000001</v>
          </cell>
        </row>
        <row r="519">
          <cell r="A519" t="str">
            <v>Mpr multifamily  C3 (Thousand households)</v>
          </cell>
          <cell r="C519">
            <v>17.504999999999999</v>
          </cell>
        </row>
        <row r="520">
          <cell r="A520" t="str">
            <v>Mpr multifamily  C4 (Million euro)</v>
          </cell>
          <cell r="C520">
            <v>39.265000000000001</v>
          </cell>
        </row>
        <row r="521">
          <cell r="A521" t="str">
            <v>Mpr multifamily  C4 (Thousand households)</v>
          </cell>
          <cell r="C521">
            <v>26.721</v>
          </cell>
        </row>
        <row r="522">
          <cell r="A522" t="str">
            <v>Mpr multifamily  C5 (Million euro)</v>
          </cell>
          <cell r="C522">
            <v>155.93899999999999</v>
          </cell>
        </row>
        <row r="523">
          <cell r="A523" t="str">
            <v>Mpr multifamily  C5 (Thousand households)</v>
          </cell>
          <cell r="C523">
            <v>88.593000000000004</v>
          </cell>
        </row>
        <row r="524">
          <cell r="A524" t="str">
            <v>Mpr multifamily (Billion euro)</v>
          </cell>
          <cell r="C524">
            <v>0.23799999999999999</v>
          </cell>
        </row>
        <row r="525">
          <cell r="A525" t="str">
            <v>Mpr multifamily (Thousand households)</v>
          </cell>
          <cell r="C525">
            <v>149.137</v>
          </cell>
        </row>
        <row r="526">
          <cell r="A526" t="str">
            <v>Mpr Multi-family (Thousand households)</v>
          </cell>
          <cell r="C526">
            <v>273.221</v>
          </cell>
          <cell r="D526">
            <v>272.589</v>
          </cell>
        </row>
        <row r="527">
          <cell r="A527" t="str">
            <v>Mpr multifamily deep  C1 (Million euro)</v>
          </cell>
          <cell r="D527">
            <v>13.151</v>
          </cell>
          <cell r="E527">
            <v>23.988</v>
          </cell>
          <cell r="F527">
            <v>22.86</v>
          </cell>
          <cell r="G527">
            <v>18.649000000000001</v>
          </cell>
          <cell r="H527">
            <v>15.492000000000001</v>
          </cell>
          <cell r="I527">
            <v>17.184000000000001</v>
          </cell>
          <cell r="J527">
            <v>33.718000000000004</v>
          </cell>
          <cell r="K527">
            <v>26.948</v>
          </cell>
          <cell r="L527">
            <v>21.617000000000001</v>
          </cell>
          <cell r="M527">
            <v>17.395</v>
          </cell>
          <cell r="N527">
            <v>14.038</v>
          </cell>
          <cell r="O527">
            <v>21.18</v>
          </cell>
          <cell r="P527">
            <v>28.81</v>
          </cell>
          <cell r="Q527">
            <v>26.312000000000001</v>
          </cell>
          <cell r="R527">
            <v>23.574999999999999</v>
          </cell>
          <cell r="S527">
            <v>27.876000000000001</v>
          </cell>
          <cell r="T527">
            <v>22.129000000000001</v>
          </cell>
          <cell r="U527">
            <v>19.975000000000001</v>
          </cell>
          <cell r="V527">
            <v>18.024000000000001</v>
          </cell>
          <cell r="W527">
            <v>16.298999999999999</v>
          </cell>
          <cell r="X527">
            <v>14.84</v>
          </cell>
          <cell r="Y527">
            <v>13.366</v>
          </cell>
          <cell r="Z527">
            <v>11.99</v>
          </cell>
          <cell r="AA527">
            <v>10.965999999999999</v>
          </cell>
          <cell r="AB527">
            <v>10.336</v>
          </cell>
          <cell r="AC527">
            <v>9.9559999999999995</v>
          </cell>
        </row>
        <row r="528">
          <cell r="A528" t="str">
            <v>Mpr multifamily deep  C1 (Thousand households)</v>
          </cell>
          <cell r="D528">
            <v>5.6020000000000003</v>
          </cell>
          <cell r="E528">
            <v>8.0079999999999991</v>
          </cell>
          <cell r="F528">
            <v>7.484</v>
          </cell>
          <cell r="G528">
            <v>6.52</v>
          </cell>
          <cell r="H528">
            <v>5.8129999999999997</v>
          </cell>
          <cell r="I528">
            <v>5.9640000000000004</v>
          </cell>
          <cell r="J528">
            <v>16.2</v>
          </cell>
          <cell r="K528">
            <v>13.295999999999999</v>
          </cell>
          <cell r="L528">
            <v>10.994999999999999</v>
          </cell>
          <cell r="M528">
            <v>9.1620000000000008</v>
          </cell>
          <cell r="N528">
            <v>7.702</v>
          </cell>
          <cell r="O528">
            <v>10.544</v>
          </cell>
          <cell r="P528">
            <v>18.593</v>
          </cell>
          <cell r="Q528">
            <v>16.670999999999999</v>
          </cell>
          <cell r="R528">
            <v>14.978999999999999</v>
          </cell>
          <cell r="S528">
            <v>15.834</v>
          </cell>
          <cell r="T528">
            <v>14.227</v>
          </cell>
          <cell r="U528">
            <v>12.925000000000001</v>
          </cell>
          <cell r="V528">
            <v>11.755000000000001</v>
          </cell>
          <cell r="W528">
            <v>10.74</v>
          </cell>
          <cell r="X528">
            <v>9.8469999999999995</v>
          </cell>
          <cell r="Y528">
            <v>8.9890000000000008</v>
          </cell>
          <cell r="Z528">
            <v>8.1950000000000003</v>
          </cell>
          <cell r="AA528">
            <v>7.476</v>
          </cell>
          <cell r="AB528">
            <v>7.0270000000000001</v>
          </cell>
          <cell r="AC528">
            <v>6.6660000000000004</v>
          </cell>
        </row>
        <row r="529">
          <cell r="A529" t="str">
            <v>Mpr multifamily deep  C2 (Million euro)</v>
          </cell>
          <cell r="D529">
            <v>19.727</v>
          </cell>
          <cell r="E529">
            <v>32.984999999999999</v>
          </cell>
          <cell r="F529">
            <v>31.547000000000001</v>
          </cell>
          <cell r="G529">
            <v>26.792000000000002</v>
          </cell>
          <cell r="H529">
            <v>24.395</v>
          </cell>
          <cell r="I529">
            <v>23.349</v>
          </cell>
          <cell r="J529">
            <v>41.033000000000001</v>
          </cell>
          <cell r="K529">
            <v>33.737000000000002</v>
          </cell>
          <cell r="L529">
            <v>27.965</v>
          </cell>
          <cell r="M529">
            <v>23.366</v>
          </cell>
          <cell r="N529">
            <v>19.693999999999999</v>
          </cell>
          <cell r="O529">
            <v>29.093</v>
          </cell>
          <cell r="P529">
            <v>36.563000000000002</v>
          </cell>
          <cell r="Q529">
            <v>34.351999999999997</v>
          </cell>
          <cell r="R529">
            <v>30.795999999999999</v>
          </cell>
          <cell r="S529">
            <v>44.058999999999997</v>
          </cell>
          <cell r="T529">
            <v>28.494</v>
          </cell>
          <cell r="U529">
            <v>25.64</v>
          </cell>
          <cell r="V529">
            <v>23.074999999999999</v>
          </cell>
          <cell r="W529">
            <v>20.757000000000001</v>
          </cell>
          <cell r="X529">
            <v>18.748999999999999</v>
          </cell>
          <cell r="Y529">
            <v>16.806999999999999</v>
          </cell>
          <cell r="Z529">
            <v>15.019</v>
          </cell>
          <cell r="AA529">
            <v>13.346</v>
          </cell>
          <cell r="AB529">
            <v>12.547000000000001</v>
          </cell>
          <cell r="AC529">
            <v>12.313000000000001</v>
          </cell>
        </row>
        <row r="530">
          <cell r="A530" t="str">
            <v>Mpr multifamily deep  C2 (Thousand households)</v>
          </cell>
          <cell r="D530">
            <v>7.6719999999999997</v>
          </cell>
          <cell r="E530">
            <v>10.444000000000001</v>
          </cell>
          <cell r="F530">
            <v>9.84</v>
          </cell>
          <cell r="G530">
            <v>8.7669999999999995</v>
          </cell>
          <cell r="H530">
            <v>8.202</v>
          </cell>
          <cell r="I530">
            <v>7.7919999999999998</v>
          </cell>
          <cell r="J530">
            <v>17.795999999999999</v>
          </cell>
          <cell r="K530">
            <v>14.833</v>
          </cell>
          <cell r="L530">
            <v>12.478</v>
          </cell>
          <cell r="M530">
            <v>10.593999999999999</v>
          </cell>
          <cell r="N530">
            <v>9.0830000000000002</v>
          </cell>
          <cell r="O530">
            <v>12.147</v>
          </cell>
          <cell r="P530">
            <v>19.47</v>
          </cell>
          <cell r="Q530">
            <v>17.513999999999999</v>
          </cell>
          <cell r="R530">
            <v>15.663</v>
          </cell>
          <cell r="S530">
            <v>17.655999999999999</v>
          </cell>
          <cell r="T530">
            <v>14.592000000000001</v>
          </cell>
          <cell r="U530">
            <v>13.170999999999999</v>
          </cell>
          <cell r="V530">
            <v>11.903</v>
          </cell>
          <cell r="W530">
            <v>10.795</v>
          </cell>
          <cell r="X530">
            <v>9.827</v>
          </cell>
          <cell r="Y530">
            <v>8.9139999999999997</v>
          </cell>
          <cell r="Z530">
            <v>8.077</v>
          </cell>
          <cell r="AA530">
            <v>7.2949999999999999</v>
          </cell>
          <cell r="AB530">
            <v>6.8339999999999996</v>
          </cell>
          <cell r="AC530">
            <v>6.4569999999999999</v>
          </cell>
        </row>
        <row r="531">
          <cell r="A531" t="str">
            <v>Mpr multifamily deep  C3 (Million euro)</v>
          </cell>
          <cell r="D531">
            <v>45.454000000000001</v>
          </cell>
          <cell r="E531">
            <v>56.277999999999999</v>
          </cell>
          <cell r="F531">
            <v>54.631999999999998</v>
          </cell>
          <cell r="G531">
            <v>47.235999999999997</v>
          </cell>
          <cell r="H531">
            <v>47.491999999999997</v>
          </cell>
          <cell r="I531">
            <v>44.975999999999999</v>
          </cell>
          <cell r="J531">
            <v>72.39</v>
          </cell>
          <cell r="K531">
            <v>60.162999999999997</v>
          </cell>
          <cell r="L531">
            <v>50.305</v>
          </cell>
          <cell r="M531">
            <v>42.332000000000001</v>
          </cell>
          <cell r="N531">
            <v>35.896999999999998</v>
          </cell>
          <cell r="O531">
            <v>48.198999999999998</v>
          </cell>
          <cell r="P531">
            <v>62.27</v>
          </cell>
          <cell r="Q531">
            <v>59.807000000000002</v>
          </cell>
          <cell r="R531">
            <v>52.735999999999997</v>
          </cell>
          <cell r="S531">
            <v>107.322</v>
          </cell>
          <cell r="T531">
            <v>45.491999999999997</v>
          </cell>
          <cell r="U531">
            <v>40.405000000000001</v>
          </cell>
          <cell r="V531">
            <v>35.962000000000003</v>
          </cell>
          <cell r="W531">
            <v>32.069000000000003</v>
          </cell>
          <cell r="X531">
            <v>28.741</v>
          </cell>
          <cell r="Y531">
            <v>25.576000000000001</v>
          </cell>
          <cell r="Z531">
            <v>22.74</v>
          </cell>
          <cell r="AA531">
            <v>20.149999999999999</v>
          </cell>
          <cell r="AB531">
            <v>18.756</v>
          </cell>
          <cell r="AC531">
            <v>18.710999999999999</v>
          </cell>
        </row>
        <row r="532">
          <cell r="A532" t="str">
            <v>Mpr multifamily deep  C3 (Thousand households)</v>
          </cell>
          <cell r="D532">
            <v>14.334</v>
          </cell>
          <cell r="E532">
            <v>16.556999999999999</v>
          </cell>
          <cell r="F532">
            <v>15.765000000000001</v>
          </cell>
          <cell r="G532">
            <v>14.141</v>
          </cell>
          <cell r="H532">
            <v>13.973000000000001</v>
          </cell>
          <cell r="I532">
            <v>13.194000000000001</v>
          </cell>
          <cell r="J532">
            <v>26.151</v>
          </cell>
          <cell r="K532">
            <v>21.963000000000001</v>
          </cell>
          <cell r="L532">
            <v>18.59</v>
          </cell>
          <cell r="M532">
            <v>15.865</v>
          </cell>
          <cell r="N532">
            <v>13.664</v>
          </cell>
          <cell r="O532">
            <v>16.89</v>
          </cell>
          <cell r="P532">
            <v>28.763000000000002</v>
          </cell>
          <cell r="Q532">
            <v>25.768000000000001</v>
          </cell>
          <cell r="R532">
            <v>22.658999999999999</v>
          </cell>
          <cell r="S532">
            <v>29.838999999999999</v>
          </cell>
          <cell r="T532">
            <v>19.774000000000001</v>
          </cell>
          <cell r="U532">
            <v>17.599</v>
          </cell>
          <cell r="V532">
            <v>15.706</v>
          </cell>
          <cell r="W532">
            <v>14.089</v>
          </cell>
          <cell r="X532">
            <v>12.706</v>
          </cell>
          <cell r="Y532">
            <v>11.429</v>
          </cell>
          <cell r="Z532">
            <v>10.287000000000001</v>
          </cell>
          <cell r="AA532">
            <v>9.2449999999999992</v>
          </cell>
          <cell r="AB532">
            <v>8.577</v>
          </cell>
          <cell r="AC532">
            <v>8.1080000000000005</v>
          </cell>
        </row>
        <row r="533">
          <cell r="A533" t="str">
            <v>Mpr multifamily deep  C4 (Million euro)</v>
          </cell>
          <cell r="D533">
            <v>59.363</v>
          </cell>
          <cell r="E533">
            <v>72.128</v>
          </cell>
          <cell r="F533">
            <v>67.114999999999995</v>
          </cell>
          <cell r="G533">
            <v>57.271000000000001</v>
          </cell>
          <cell r="H533">
            <v>56.19</v>
          </cell>
          <cell r="I533">
            <v>53.658000000000001</v>
          </cell>
          <cell r="J533">
            <v>111.04300000000001</v>
          </cell>
          <cell r="K533">
            <v>90.753</v>
          </cell>
          <cell r="L533">
            <v>74.551000000000002</v>
          </cell>
          <cell r="M533">
            <v>61.582000000000001</v>
          </cell>
          <cell r="N533">
            <v>51.22</v>
          </cell>
          <cell r="O533">
            <v>63.448999999999998</v>
          </cell>
          <cell r="P533">
            <v>87.409000000000006</v>
          </cell>
          <cell r="Q533">
            <v>83.188999999999993</v>
          </cell>
          <cell r="R533">
            <v>73.203999999999994</v>
          </cell>
          <cell r="S533">
            <v>137.18</v>
          </cell>
          <cell r="T533">
            <v>61.084000000000003</v>
          </cell>
          <cell r="U533">
            <v>54.034999999999997</v>
          </cell>
          <cell r="V533">
            <v>47.904000000000003</v>
          </cell>
          <cell r="W533">
            <v>42.594999999999999</v>
          </cell>
          <cell r="X533">
            <v>38.051000000000002</v>
          </cell>
          <cell r="Y533">
            <v>33.756999999999998</v>
          </cell>
          <cell r="Z533">
            <v>29.922999999999998</v>
          </cell>
          <cell r="AA533">
            <v>26.436</v>
          </cell>
          <cell r="AB533">
            <v>24.463000000000001</v>
          </cell>
          <cell r="AC533">
            <v>24.184000000000001</v>
          </cell>
        </row>
        <row r="534">
          <cell r="A534" t="str">
            <v>Mpr multifamily deep  C4 (Thousand households)</v>
          </cell>
          <cell r="D534">
            <v>20.95</v>
          </cell>
          <cell r="E534">
            <v>24.477</v>
          </cell>
          <cell r="F534">
            <v>22.744</v>
          </cell>
          <cell r="G534">
            <v>20.254000000000001</v>
          </cell>
          <cell r="H534">
            <v>19.707999999999998</v>
          </cell>
          <cell r="I534">
            <v>18.643000000000001</v>
          </cell>
          <cell r="J534">
            <v>50.517000000000003</v>
          </cell>
          <cell r="K534">
            <v>41.706000000000003</v>
          </cell>
          <cell r="L534">
            <v>34.637999999999998</v>
          </cell>
          <cell r="M534">
            <v>28.954999999999998</v>
          </cell>
          <cell r="N534">
            <v>24.387</v>
          </cell>
          <cell r="O534">
            <v>27.523</v>
          </cell>
          <cell r="P534">
            <v>52.073999999999998</v>
          </cell>
          <cell r="Q534">
            <v>46.024000000000001</v>
          </cell>
          <cell r="R534">
            <v>40.201999999999998</v>
          </cell>
          <cell r="S534">
            <v>47.908000000000001</v>
          </cell>
          <cell r="T534">
            <v>33.493000000000002</v>
          </cell>
          <cell r="U534">
            <v>29.591999999999999</v>
          </cell>
          <cell r="V534">
            <v>26.228999999999999</v>
          </cell>
          <cell r="W534">
            <v>23.41</v>
          </cell>
          <cell r="X534">
            <v>21.004000000000001</v>
          </cell>
          <cell r="Y534">
            <v>18.809999999999999</v>
          </cell>
          <cell r="Z534">
            <v>16.861000000000001</v>
          </cell>
          <cell r="AA534">
            <v>15.099</v>
          </cell>
          <cell r="AB534">
            <v>13.911</v>
          </cell>
          <cell r="AC534">
            <v>13.006</v>
          </cell>
        </row>
        <row r="535">
          <cell r="A535" t="str">
            <v>Mpr multifamily deep  C5 (Million euro)</v>
          </cell>
          <cell r="D535">
            <v>195.624</v>
          </cell>
          <cell r="E535">
            <v>253.73699999999999</v>
          </cell>
          <cell r="F535">
            <v>244.94200000000001</v>
          </cell>
          <cell r="G535">
            <v>225.28700000000001</v>
          </cell>
          <cell r="H535">
            <v>226.834</v>
          </cell>
          <cell r="I535">
            <v>218.45500000000001</v>
          </cell>
          <cell r="J535">
            <v>379.93200000000002</v>
          </cell>
          <cell r="K535">
            <v>336.05599999999998</v>
          </cell>
          <cell r="L535">
            <v>298.27499999999998</v>
          </cell>
          <cell r="M535">
            <v>256.03500000000003</v>
          </cell>
          <cell r="N535">
            <v>223.72900000000001</v>
          </cell>
          <cell r="O535">
            <v>224.97300000000001</v>
          </cell>
          <cell r="P535">
            <v>270.40800000000002</v>
          </cell>
          <cell r="Q535">
            <v>254.083</v>
          </cell>
          <cell r="R535">
            <v>220.08600000000001</v>
          </cell>
          <cell r="S535">
            <v>372.43</v>
          </cell>
          <cell r="T535">
            <v>163.679</v>
          </cell>
          <cell r="U535">
            <v>143.57</v>
          </cell>
          <cell r="V535">
            <v>98.161000000000001</v>
          </cell>
          <cell r="W535">
            <v>87.004999999999995</v>
          </cell>
          <cell r="X535">
            <v>77.27</v>
          </cell>
          <cell r="Y535">
            <v>69.366</v>
          </cell>
          <cell r="Z535">
            <v>61.408999999999999</v>
          </cell>
          <cell r="AA535">
            <v>54.85</v>
          </cell>
          <cell r="AB535">
            <v>50.292999999999999</v>
          </cell>
          <cell r="AC535">
            <v>49.396999999999998</v>
          </cell>
        </row>
        <row r="536">
          <cell r="A536" t="str">
            <v>Mpr multifamily deep  C5 (Thousand households)</v>
          </cell>
          <cell r="D536">
            <v>95.844999999999999</v>
          </cell>
          <cell r="E536">
            <v>128.50800000000001</v>
          </cell>
          <cell r="F536">
            <v>130.00700000000001</v>
          </cell>
          <cell r="G536">
            <v>130.31399999999999</v>
          </cell>
          <cell r="H536">
            <v>128.41999999999999</v>
          </cell>
          <cell r="I536">
            <v>126.002</v>
          </cell>
          <cell r="J536">
            <v>241.72</v>
          </cell>
          <cell r="K536">
            <v>215.24199999999999</v>
          </cell>
          <cell r="L536">
            <v>192.90799999999999</v>
          </cell>
          <cell r="M536">
            <v>168.65700000000001</v>
          </cell>
          <cell r="N536">
            <v>150.25899999999999</v>
          </cell>
          <cell r="O536">
            <v>145.77799999999999</v>
          </cell>
          <cell r="P536">
            <v>213.90100000000001</v>
          </cell>
          <cell r="Q536">
            <v>187.70099999999999</v>
          </cell>
          <cell r="R536">
            <v>164.53700000000001</v>
          </cell>
          <cell r="S536">
            <v>179.49600000000001</v>
          </cell>
          <cell r="T536">
            <v>126.53700000000001</v>
          </cell>
          <cell r="U536">
            <v>111.851</v>
          </cell>
          <cell r="V536">
            <v>81.997</v>
          </cell>
          <cell r="W536">
            <v>73.498999999999995</v>
          </cell>
          <cell r="X536">
            <v>65.119</v>
          </cell>
          <cell r="Y536">
            <v>58.469000000000001</v>
          </cell>
          <cell r="Z536">
            <v>51.94</v>
          </cell>
          <cell r="AA536">
            <v>46.555</v>
          </cell>
          <cell r="AB536">
            <v>42.392000000000003</v>
          </cell>
          <cell r="AC536">
            <v>39.04</v>
          </cell>
        </row>
        <row r="537">
          <cell r="A537" t="str">
            <v>Mpr multifamily deep (Billion euro)</v>
          </cell>
          <cell r="D537">
            <v>0.33300000000000002</v>
          </cell>
          <cell r="E537">
            <v>0.439</v>
          </cell>
          <cell r="F537">
            <v>0.42099999999999999</v>
          </cell>
          <cell r="G537">
            <v>0.375</v>
          </cell>
          <cell r="H537">
            <v>0.37</v>
          </cell>
          <cell r="I537">
            <v>0.35799999999999998</v>
          </cell>
          <cell r="J537">
            <v>0.63800000000000001</v>
          </cell>
          <cell r="K537">
            <v>0.54800000000000004</v>
          </cell>
          <cell r="L537">
            <v>0.47299999999999998</v>
          </cell>
          <cell r="M537">
            <v>0.40100000000000002</v>
          </cell>
          <cell r="N537">
            <v>0.34499999999999997</v>
          </cell>
          <cell r="O537">
            <v>0.38700000000000001</v>
          </cell>
          <cell r="P537">
            <v>0.48499999999999999</v>
          </cell>
          <cell r="Q537">
            <v>0.45800000000000002</v>
          </cell>
          <cell r="R537">
            <v>0.4</v>
          </cell>
          <cell r="S537">
            <v>0.68899999999999995</v>
          </cell>
          <cell r="T537">
            <v>0.32100000000000001</v>
          </cell>
          <cell r="U537">
            <v>0.28399999999999997</v>
          </cell>
          <cell r="V537">
            <v>0.223</v>
          </cell>
          <cell r="W537">
            <v>0.19900000000000001</v>
          </cell>
          <cell r="X537">
            <v>0.17799999999999999</v>
          </cell>
          <cell r="Y537">
            <v>0.159</v>
          </cell>
          <cell r="Z537">
            <v>0.14099999999999999</v>
          </cell>
          <cell r="AA537">
            <v>0.126</v>
          </cell>
          <cell r="AB537">
            <v>0.11600000000000001</v>
          </cell>
          <cell r="AC537">
            <v>0.115</v>
          </cell>
        </row>
        <row r="538">
          <cell r="A538" t="str">
            <v>Mpr multifamily deep (Thousand households)</v>
          </cell>
          <cell r="D538">
            <v>144.40299999999999</v>
          </cell>
          <cell r="E538">
            <v>187.994</v>
          </cell>
          <cell r="F538">
            <v>185.84</v>
          </cell>
          <cell r="G538">
            <v>179.99700000000001</v>
          </cell>
          <cell r="H538">
            <v>176.11600000000001</v>
          </cell>
          <cell r="I538">
            <v>171.595</v>
          </cell>
          <cell r="J538">
            <v>352.38299999999998</v>
          </cell>
          <cell r="K538">
            <v>307.04000000000002</v>
          </cell>
          <cell r="L538">
            <v>269.608</v>
          </cell>
          <cell r="M538">
            <v>233.233</v>
          </cell>
          <cell r="N538">
            <v>205.09399999999999</v>
          </cell>
          <cell r="O538">
            <v>212.88200000000001</v>
          </cell>
          <cell r="P538">
            <v>332.80099999999999</v>
          </cell>
          <cell r="Q538">
            <v>293.67700000000002</v>
          </cell>
          <cell r="R538">
            <v>258.03899999999999</v>
          </cell>
          <cell r="S538">
            <v>290.73200000000003</v>
          </cell>
          <cell r="T538">
            <v>208.62200000000001</v>
          </cell>
          <cell r="U538">
            <v>185.137</v>
          </cell>
          <cell r="V538">
            <v>147.59</v>
          </cell>
          <cell r="W538">
            <v>132.53299999999999</v>
          </cell>
          <cell r="X538">
            <v>118.503</v>
          </cell>
          <cell r="Y538">
            <v>106.61199999999999</v>
          </cell>
          <cell r="Z538">
            <v>95.36</v>
          </cell>
          <cell r="AA538">
            <v>85.67</v>
          </cell>
          <cell r="AB538">
            <v>78.742000000000004</v>
          </cell>
          <cell r="AC538">
            <v>73.278000000000006</v>
          </cell>
        </row>
        <row r="539">
          <cell r="A539" t="str">
            <v>Mpr multifamily deep insulation (Billion euro)</v>
          </cell>
          <cell r="D539">
            <v>0.33300000000000002</v>
          </cell>
          <cell r="E539">
            <v>0.439</v>
          </cell>
          <cell r="F539">
            <v>0.42099999999999999</v>
          </cell>
          <cell r="G539">
            <v>0.375</v>
          </cell>
          <cell r="H539">
            <v>0.37</v>
          </cell>
          <cell r="I539">
            <v>0.35799999999999998</v>
          </cell>
          <cell r="J539">
            <v>0.63800000000000001</v>
          </cell>
          <cell r="K539">
            <v>0.54800000000000004</v>
          </cell>
          <cell r="L539">
            <v>0.47299999999999998</v>
          </cell>
          <cell r="M539">
            <v>0.40100000000000002</v>
          </cell>
          <cell r="N539">
            <v>0.34499999999999997</v>
          </cell>
          <cell r="O539">
            <v>0.38700000000000001</v>
          </cell>
          <cell r="P539">
            <v>0.48499999999999999</v>
          </cell>
          <cell r="Q539">
            <v>0.45800000000000002</v>
          </cell>
          <cell r="R539">
            <v>0.4</v>
          </cell>
          <cell r="S539">
            <v>0.68899999999999995</v>
          </cell>
          <cell r="T539">
            <v>0.32100000000000001</v>
          </cell>
          <cell r="U539">
            <v>0.28399999999999997</v>
          </cell>
          <cell r="V539">
            <v>0.223</v>
          </cell>
          <cell r="W539">
            <v>0.19900000000000001</v>
          </cell>
          <cell r="X539">
            <v>0.17799999999999999</v>
          </cell>
          <cell r="Y539">
            <v>0.159</v>
          </cell>
          <cell r="Z539">
            <v>0.14099999999999999</v>
          </cell>
          <cell r="AA539">
            <v>0.126</v>
          </cell>
          <cell r="AB539">
            <v>0.11600000000000001</v>
          </cell>
          <cell r="AC539">
            <v>0.115</v>
          </cell>
        </row>
        <row r="540">
          <cell r="A540" t="str">
            <v>Mpr multifamily deep insulation (Thousand households)</v>
          </cell>
          <cell r="D540">
            <v>144.40299999999999</v>
          </cell>
          <cell r="E540">
            <v>187.994</v>
          </cell>
          <cell r="F540">
            <v>185.84</v>
          </cell>
          <cell r="G540">
            <v>179.99700000000001</v>
          </cell>
          <cell r="H540">
            <v>176.11600000000001</v>
          </cell>
          <cell r="I540">
            <v>171.595</v>
          </cell>
          <cell r="J540">
            <v>352.38299999999998</v>
          </cell>
          <cell r="K540">
            <v>307.04000000000002</v>
          </cell>
          <cell r="L540">
            <v>269.608</v>
          </cell>
          <cell r="M540">
            <v>233.233</v>
          </cell>
          <cell r="N540">
            <v>205.09399999999999</v>
          </cell>
          <cell r="O540">
            <v>212.88200000000001</v>
          </cell>
          <cell r="P540">
            <v>332.80099999999999</v>
          </cell>
          <cell r="Q540">
            <v>293.67700000000002</v>
          </cell>
          <cell r="R540">
            <v>258.03899999999999</v>
          </cell>
          <cell r="S540">
            <v>290.73200000000003</v>
          </cell>
          <cell r="T540">
            <v>208.62200000000001</v>
          </cell>
          <cell r="U540">
            <v>185.137</v>
          </cell>
          <cell r="V540">
            <v>147.59</v>
          </cell>
          <cell r="W540">
            <v>132.53299999999999</v>
          </cell>
          <cell r="X540">
            <v>118.503</v>
          </cell>
          <cell r="Y540">
            <v>106.61199999999999</v>
          </cell>
          <cell r="Z540">
            <v>95.36</v>
          </cell>
          <cell r="AA540">
            <v>85.67</v>
          </cell>
          <cell r="AB540">
            <v>78.742000000000004</v>
          </cell>
          <cell r="AC540">
            <v>73.278000000000006</v>
          </cell>
        </row>
        <row r="541">
          <cell r="A541" t="str">
            <v>Mpr multifamily deep insulation C1 (Thousand households)</v>
          </cell>
          <cell r="D541">
            <v>5.6020000000000003</v>
          </cell>
          <cell r="E541">
            <v>8.0079999999999991</v>
          </cell>
          <cell r="F541">
            <v>7.484</v>
          </cell>
          <cell r="G541">
            <v>6.52</v>
          </cell>
          <cell r="H541">
            <v>5.8129999999999997</v>
          </cell>
          <cell r="I541">
            <v>5.9640000000000004</v>
          </cell>
          <cell r="J541">
            <v>16.2</v>
          </cell>
          <cell r="K541">
            <v>13.295999999999999</v>
          </cell>
          <cell r="L541">
            <v>10.994999999999999</v>
          </cell>
          <cell r="M541">
            <v>9.1620000000000008</v>
          </cell>
          <cell r="N541">
            <v>7.702</v>
          </cell>
          <cell r="O541">
            <v>10.544</v>
          </cell>
          <cell r="P541">
            <v>18.593</v>
          </cell>
          <cell r="Q541">
            <v>16.670999999999999</v>
          </cell>
          <cell r="R541">
            <v>14.978999999999999</v>
          </cell>
          <cell r="S541">
            <v>15.834</v>
          </cell>
          <cell r="T541">
            <v>14.227</v>
          </cell>
          <cell r="U541">
            <v>12.925000000000001</v>
          </cell>
          <cell r="V541">
            <v>11.755000000000001</v>
          </cell>
          <cell r="W541">
            <v>10.74</v>
          </cell>
          <cell r="X541">
            <v>9.8469999999999995</v>
          </cell>
          <cell r="Y541">
            <v>8.9890000000000008</v>
          </cell>
          <cell r="Z541">
            <v>8.1950000000000003</v>
          </cell>
          <cell r="AA541">
            <v>7.476</v>
          </cell>
          <cell r="AB541">
            <v>7.0270000000000001</v>
          </cell>
          <cell r="AC541">
            <v>6.6660000000000004</v>
          </cell>
        </row>
        <row r="542">
          <cell r="A542" t="str">
            <v>Mpr multifamily deep insulation C2 (Thousand households)</v>
          </cell>
          <cell r="D542">
            <v>7.6719999999999997</v>
          </cell>
          <cell r="E542">
            <v>10.444000000000001</v>
          </cell>
          <cell r="F542">
            <v>9.84</v>
          </cell>
          <cell r="G542">
            <v>8.7669999999999995</v>
          </cell>
          <cell r="H542">
            <v>8.202</v>
          </cell>
          <cell r="I542">
            <v>7.7919999999999998</v>
          </cell>
          <cell r="J542">
            <v>17.795999999999999</v>
          </cell>
          <cell r="K542">
            <v>14.833</v>
          </cell>
          <cell r="L542">
            <v>12.478</v>
          </cell>
          <cell r="M542">
            <v>10.593999999999999</v>
          </cell>
          <cell r="N542">
            <v>9.0830000000000002</v>
          </cell>
          <cell r="O542">
            <v>12.147</v>
          </cell>
          <cell r="P542">
            <v>19.47</v>
          </cell>
          <cell r="Q542">
            <v>17.513999999999999</v>
          </cell>
          <cell r="R542">
            <v>15.663</v>
          </cell>
          <cell r="S542">
            <v>17.655999999999999</v>
          </cell>
          <cell r="T542">
            <v>14.592000000000001</v>
          </cell>
          <cell r="U542">
            <v>13.170999999999999</v>
          </cell>
          <cell r="V542">
            <v>11.903</v>
          </cell>
          <cell r="W542">
            <v>10.795</v>
          </cell>
          <cell r="X542">
            <v>9.827</v>
          </cell>
          <cell r="Y542">
            <v>8.9139999999999997</v>
          </cell>
          <cell r="Z542">
            <v>8.077</v>
          </cell>
          <cell r="AA542">
            <v>7.2949999999999999</v>
          </cell>
          <cell r="AB542">
            <v>6.8339999999999996</v>
          </cell>
          <cell r="AC542">
            <v>6.4569999999999999</v>
          </cell>
        </row>
        <row r="543">
          <cell r="A543" t="str">
            <v>Mpr multifamily deep insulation C3 (Thousand households)</v>
          </cell>
          <cell r="D543">
            <v>14.334</v>
          </cell>
          <cell r="E543">
            <v>16.556999999999999</v>
          </cell>
          <cell r="F543">
            <v>15.765000000000001</v>
          </cell>
          <cell r="G543">
            <v>14.141</v>
          </cell>
          <cell r="H543">
            <v>13.973000000000001</v>
          </cell>
          <cell r="I543">
            <v>13.194000000000001</v>
          </cell>
          <cell r="J543">
            <v>26.151</v>
          </cell>
          <cell r="K543">
            <v>21.963000000000001</v>
          </cell>
          <cell r="L543">
            <v>18.59</v>
          </cell>
          <cell r="M543">
            <v>15.865</v>
          </cell>
          <cell r="N543">
            <v>13.664</v>
          </cell>
          <cell r="O543">
            <v>16.89</v>
          </cell>
          <cell r="P543">
            <v>28.763000000000002</v>
          </cell>
          <cell r="Q543">
            <v>25.768000000000001</v>
          </cell>
          <cell r="R543">
            <v>22.658999999999999</v>
          </cell>
          <cell r="S543">
            <v>29.838999999999999</v>
          </cell>
          <cell r="T543">
            <v>19.774000000000001</v>
          </cell>
          <cell r="U543">
            <v>17.599</v>
          </cell>
          <cell r="V543">
            <v>15.706</v>
          </cell>
          <cell r="W543">
            <v>14.089</v>
          </cell>
          <cell r="X543">
            <v>12.706</v>
          </cell>
          <cell r="Y543">
            <v>11.429</v>
          </cell>
          <cell r="Z543">
            <v>10.287000000000001</v>
          </cell>
          <cell r="AA543">
            <v>9.2449999999999992</v>
          </cell>
          <cell r="AB543">
            <v>8.577</v>
          </cell>
          <cell r="AC543">
            <v>8.1080000000000005</v>
          </cell>
        </row>
        <row r="544">
          <cell r="A544" t="str">
            <v>Mpr multifamily deep insulation C4 (Thousand households)</v>
          </cell>
          <cell r="D544">
            <v>20.95</v>
          </cell>
          <cell r="E544">
            <v>24.477</v>
          </cell>
          <cell r="F544">
            <v>22.744</v>
          </cell>
          <cell r="G544">
            <v>20.254000000000001</v>
          </cell>
          <cell r="H544">
            <v>19.707999999999998</v>
          </cell>
          <cell r="I544">
            <v>18.643000000000001</v>
          </cell>
          <cell r="J544">
            <v>50.517000000000003</v>
          </cell>
          <cell r="K544">
            <v>41.706000000000003</v>
          </cell>
          <cell r="L544">
            <v>34.637999999999998</v>
          </cell>
          <cell r="M544">
            <v>28.954999999999998</v>
          </cell>
          <cell r="N544">
            <v>24.387</v>
          </cell>
          <cell r="O544">
            <v>27.523</v>
          </cell>
          <cell r="P544">
            <v>52.073999999999998</v>
          </cell>
          <cell r="Q544">
            <v>46.024000000000001</v>
          </cell>
          <cell r="R544">
            <v>40.201999999999998</v>
          </cell>
          <cell r="S544">
            <v>47.908000000000001</v>
          </cell>
          <cell r="T544">
            <v>33.493000000000002</v>
          </cell>
          <cell r="U544">
            <v>29.591999999999999</v>
          </cell>
          <cell r="V544">
            <v>26.228999999999999</v>
          </cell>
          <cell r="W544">
            <v>23.41</v>
          </cell>
          <cell r="X544">
            <v>21.004000000000001</v>
          </cell>
          <cell r="Y544">
            <v>18.809999999999999</v>
          </cell>
          <cell r="Z544">
            <v>16.861000000000001</v>
          </cell>
          <cell r="AA544">
            <v>15.099</v>
          </cell>
          <cell r="AB544">
            <v>13.911</v>
          </cell>
          <cell r="AC544">
            <v>13.006</v>
          </cell>
        </row>
        <row r="545">
          <cell r="A545" t="str">
            <v>Mpr multifamily deep insulation C5 (Thousand households)</v>
          </cell>
          <cell r="D545">
            <v>95.844999999999999</v>
          </cell>
          <cell r="E545">
            <v>128.50800000000001</v>
          </cell>
          <cell r="F545">
            <v>130.00700000000001</v>
          </cell>
          <cell r="G545">
            <v>130.31399999999999</v>
          </cell>
          <cell r="H545">
            <v>128.41999999999999</v>
          </cell>
          <cell r="I545">
            <v>126.002</v>
          </cell>
          <cell r="J545">
            <v>241.72</v>
          </cell>
          <cell r="K545">
            <v>215.24199999999999</v>
          </cell>
          <cell r="L545">
            <v>192.90799999999999</v>
          </cell>
          <cell r="M545">
            <v>168.65700000000001</v>
          </cell>
          <cell r="N545">
            <v>150.25899999999999</v>
          </cell>
          <cell r="O545">
            <v>145.77799999999999</v>
          </cell>
          <cell r="P545">
            <v>213.90100000000001</v>
          </cell>
          <cell r="Q545">
            <v>187.70099999999999</v>
          </cell>
          <cell r="R545">
            <v>164.53700000000001</v>
          </cell>
          <cell r="S545">
            <v>179.49600000000001</v>
          </cell>
          <cell r="T545">
            <v>126.53700000000001</v>
          </cell>
          <cell r="U545">
            <v>111.851</v>
          </cell>
          <cell r="V545">
            <v>81.997</v>
          </cell>
          <cell r="W545">
            <v>73.498999999999995</v>
          </cell>
          <cell r="X545">
            <v>65.119</v>
          </cell>
          <cell r="Y545">
            <v>58.469000000000001</v>
          </cell>
          <cell r="Z545">
            <v>51.94</v>
          </cell>
          <cell r="AA545">
            <v>46.555</v>
          </cell>
          <cell r="AB545">
            <v>42.392000000000003</v>
          </cell>
          <cell r="AC545">
            <v>39.04</v>
          </cell>
        </row>
        <row r="546">
          <cell r="A546" t="str">
            <v>Mpr multifamily deep insulation Multi-family (Thousand households)</v>
          </cell>
          <cell r="D546">
            <v>144.40299999999999</v>
          </cell>
          <cell r="E546">
            <v>187.994</v>
          </cell>
          <cell r="F546">
            <v>185.84</v>
          </cell>
          <cell r="G546">
            <v>179.99700000000001</v>
          </cell>
          <cell r="H546">
            <v>176.11600000000001</v>
          </cell>
          <cell r="I546">
            <v>171.595</v>
          </cell>
          <cell r="J546">
            <v>352.38299999999998</v>
          </cell>
          <cell r="K546">
            <v>307.04000000000002</v>
          </cell>
          <cell r="L546">
            <v>269.608</v>
          </cell>
          <cell r="M546">
            <v>233.233</v>
          </cell>
          <cell r="N546">
            <v>205.09399999999999</v>
          </cell>
          <cell r="O546">
            <v>212.88200000000001</v>
          </cell>
          <cell r="P546">
            <v>332.80099999999999</v>
          </cell>
          <cell r="Q546">
            <v>293.67700000000002</v>
          </cell>
          <cell r="R546">
            <v>258.03899999999999</v>
          </cell>
          <cell r="S546">
            <v>290.73200000000003</v>
          </cell>
          <cell r="T546">
            <v>208.62200000000001</v>
          </cell>
          <cell r="U546">
            <v>185.137</v>
          </cell>
          <cell r="V546">
            <v>147.59</v>
          </cell>
          <cell r="W546">
            <v>132.53299999999999</v>
          </cell>
          <cell r="X546">
            <v>118.503</v>
          </cell>
          <cell r="Y546">
            <v>106.61199999999999</v>
          </cell>
          <cell r="Z546">
            <v>95.36</v>
          </cell>
          <cell r="AA546">
            <v>85.67</v>
          </cell>
          <cell r="AB546">
            <v>78.742000000000004</v>
          </cell>
          <cell r="AC546">
            <v>73.278000000000006</v>
          </cell>
        </row>
        <row r="547">
          <cell r="A547" t="str">
            <v>Mpr multifamily deep insulation Single-family (Thousand households)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</row>
        <row r="548">
          <cell r="A548" t="str">
            <v>Mpr multifamily deep Multi-family (Thousand households)</v>
          </cell>
          <cell r="D548">
            <v>144.40299999999999</v>
          </cell>
          <cell r="E548">
            <v>187.994</v>
          </cell>
          <cell r="F548">
            <v>185.84</v>
          </cell>
          <cell r="G548">
            <v>179.99700000000001</v>
          </cell>
          <cell r="H548">
            <v>176.11600000000001</v>
          </cell>
          <cell r="I548">
            <v>171.595</v>
          </cell>
          <cell r="J548">
            <v>352.38299999999998</v>
          </cell>
          <cell r="K548">
            <v>307.04000000000002</v>
          </cell>
          <cell r="L548">
            <v>269.608</v>
          </cell>
          <cell r="M548">
            <v>233.233</v>
          </cell>
          <cell r="N548">
            <v>205.09399999999999</v>
          </cell>
          <cell r="O548">
            <v>212.88200000000001</v>
          </cell>
          <cell r="P548">
            <v>332.80099999999999</v>
          </cell>
          <cell r="Q548">
            <v>293.67700000000002</v>
          </cell>
          <cell r="R548">
            <v>258.03899999999999</v>
          </cell>
          <cell r="S548">
            <v>290.73200000000003</v>
          </cell>
          <cell r="T548">
            <v>208.62200000000001</v>
          </cell>
          <cell r="U548">
            <v>185.137</v>
          </cell>
          <cell r="V548">
            <v>147.59</v>
          </cell>
          <cell r="W548">
            <v>132.53299999999999</v>
          </cell>
          <cell r="X548">
            <v>118.503</v>
          </cell>
          <cell r="Y548">
            <v>106.61199999999999</v>
          </cell>
          <cell r="Z548">
            <v>95.36</v>
          </cell>
          <cell r="AA548">
            <v>85.67</v>
          </cell>
          <cell r="AB548">
            <v>78.742000000000004</v>
          </cell>
          <cell r="AC548">
            <v>73.278000000000006</v>
          </cell>
        </row>
        <row r="549">
          <cell r="A549" t="str">
            <v>Mpr multifamily deep Single-family (Thousand households)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</row>
        <row r="550">
          <cell r="A550" t="str">
            <v>Mpr multifamily insulation (Billion euro)</v>
          </cell>
          <cell r="C550">
            <v>0.23799999999999999</v>
          </cell>
        </row>
        <row r="551">
          <cell r="A551" t="str">
            <v>Mpr multifamily insulation (Thousand households)</v>
          </cell>
          <cell r="C551">
            <v>149.137</v>
          </cell>
        </row>
        <row r="552">
          <cell r="A552" t="str">
            <v>Mpr multifamily insulation C1 (Thousand households)</v>
          </cell>
          <cell r="C552">
            <v>6.9459999999999997</v>
          </cell>
        </row>
        <row r="553">
          <cell r="A553" t="str">
            <v>Mpr multifamily insulation C2 (Thousand households)</v>
          </cell>
          <cell r="C553">
            <v>9.3719999999999999</v>
          </cell>
        </row>
        <row r="554">
          <cell r="A554" t="str">
            <v>Mpr multifamily insulation C3 (Thousand households)</v>
          </cell>
          <cell r="C554">
            <v>17.504999999999999</v>
          </cell>
        </row>
        <row r="555">
          <cell r="A555" t="str">
            <v>Mpr multifamily insulation C4 (Thousand households)</v>
          </cell>
          <cell r="C555">
            <v>26.721</v>
          </cell>
        </row>
        <row r="556">
          <cell r="A556" t="str">
            <v>Mpr multifamily insulation C5 (Thousand households)</v>
          </cell>
          <cell r="C556">
            <v>88.593000000000004</v>
          </cell>
        </row>
        <row r="557">
          <cell r="A557" t="str">
            <v>Mpr multifamily insulation Multi-family (Thousand households)</v>
          </cell>
          <cell r="C557">
            <v>149.137</v>
          </cell>
        </row>
        <row r="558">
          <cell r="A558" t="str">
            <v>Mpr multifamily insulation Single-family (Thousand households)</v>
          </cell>
          <cell r="C558">
            <v>0</v>
          </cell>
        </row>
        <row r="559">
          <cell r="A559" t="str">
            <v>Mpr multifamily Multi-family (Thousand households)</v>
          </cell>
          <cell r="C559">
            <v>149.137</v>
          </cell>
        </row>
        <row r="560">
          <cell r="A560" t="str">
            <v>Mpr multifamily Single-family (Thousand households)</v>
          </cell>
          <cell r="C560">
            <v>0</v>
          </cell>
        </row>
        <row r="561">
          <cell r="A561" t="str">
            <v>Mpr performance  C1 (Million euro)</v>
          </cell>
          <cell r="E561">
            <v>1109.481</v>
          </cell>
          <cell r="F561">
            <v>1388.7550000000001</v>
          </cell>
          <cell r="G561">
            <v>1343.3420000000001</v>
          </cell>
          <cell r="H561">
            <v>1365.5540000000001</v>
          </cell>
          <cell r="I561">
            <v>1491.903</v>
          </cell>
          <cell r="J561">
            <v>1322.0940000000001</v>
          </cell>
          <cell r="K561">
            <v>1139.1600000000001</v>
          </cell>
          <cell r="L561">
            <v>995.57899999999995</v>
          </cell>
          <cell r="M561">
            <v>882.42399999999998</v>
          </cell>
          <cell r="N561">
            <v>793.55399999999997</v>
          </cell>
          <cell r="O561">
            <v>686.17899999999997</v>
          </cell>
          <cell r="P561">
            <v>665.57500000000005</v>
          </cell>
          <cell r="Q561">
            <v>628.44799999999998</v>
          </cell>
          <cell r="R561">
            <v>559.51499999999999</v>
          </cell>
          <cell r="S561">
            <v>653.101</v>
          </cell>
          <cell r="T561">
            <v>560.99300000000005</v>
          </cell>
          <cell r="U561">
            <v>519.19200000000001</v>
          </cell>
          <cell r="V561">
            <v>477.78</v>
          </cell>
          <cell r="W561">
            <v>429.726</v>
          </cell>
          <cell r="X561">
            <v>400.375</v>
          </cell>
          <cell r="Y561">
            <v>380.68099999999998</v>
          </cell>
          <cell r="Z561">
            <v>356.39100000000002</v>
          </cell>
          <cell r="AA561">
            <v>335.64699999999999</v>
          </cell>
          <cell r="AB561">
            <v>319.95800000000003</v>
          </cell>
          <cell r="AC561">
            <v>313.13200000000001</v>
          </cell>
        </row>
        <row r="562">
          <cell r="A562" t="str">
            <v>Mpr performance  C1 (Thousand households)</v>
          </cell>
          <cell r="E562">
            <v>52.914000000000001</v>
          </cell>
          <cell r="F562">
            <v>59.594999999999999</v>
          </cell>
          <cell r="G562">
            <v>56.176000000000002</v>
          </cell>
          <cell r="H562">
            <v>55.506</v>
          </cell>
          <cell r="I562">
            <v>57.866</v>
          </cell>
          <cell r="J562">
            <v>52.133000000000003</v>
          </cell>
          <cell r="K562">
            <v>45.81</v>
          </cell>
          <cell r="L562">
            <v>40.847000000000001</v>
          </cell>
          <cell r="M562">
            <v>36.929000000000002</v>
          </cell>
          <cell r="N562">
            <v>33.844999999999999</v>
          </cell>
          <cell r="O562">
            <v>29.343</v>
          </cell>
          <cell r="P562">
            <v>29.154</v>
          </cell>
          <cell r="Q562">
            <v>27.593</v>
          </cell>
          <cell r="R562">
            <v>24.917000000000002</v>
          </cell>
          <cell r="S562">
            <v>30.064</v>
          </cell>
          <cell r="T562">
            <v>26.582000000000001</v>
          </cell>
          <cell r="U562">
            <v>24.84</v>
          </cell>
          <cell r="V562">
            <v>23.074000000000002</v>
          </cell>
          <cell r="W562">
            <v>20.747</v>
          </cell>
          <cell r="X562">
            <v>19.452000000000002</v>
          </cell>
          <cell r="Y562">
            <v>18.579000000000001</v>
          </cell>
          <cell r="Z562">
            <v>17.486000000000001</v>
          </cell>
          <cell r="AA562">
            <v>16.558</v>
          </cell>
          <cell r="AB562">
            <v>15.782999999999999</v>
          </cell>
          <cell r="AC562">
            <v>15.254</v>
          </cell>
        </row>
        <row r="563">
          <cell r="A563" t="str">
            <v>Mpr performance  C2 (Million euro)</v>
          </cell>
          <cell r="E563">
            <v>690.34299999999996</v>
          </cell>
          <cell r="F563">
            <v>797.03200000000004</v>
          </cell>
          <cell r="G563">
            <v>901.98500000000001</v>
          </cell>
          <cell r="H563">
            <v>951.50800000000004</v>
          </cell>
          <cell r="I563">
            <v>1037.9960000000001</v>
          </cell>
          <cell r="J563">
            <v>911.95899999999995</v>
          </cell>
          <cell r="K563">
            <v>770.62800000000004</v>
          </cell>
          <cell r="L563">
            <v>657.81299999999999</v>
          </cell>
          <cell r="M563">
            <v>567.40499999999997</v>
          </cell>
          <cell r="N563">
            <v>495.339</v>
          </cell>
          <cell r="O563">
            <v>445.89699999999999</v>
          </cell>
          <cell r="P563">
            <v>429.86900000000003</v>
          </cell>
          <cell r="Q563">
            <v>415.49799999999999</v>
          </cell>
          <cell r="R563">
            <v>365.34899999999999</v>
          </cell>
          <cell r="S563">
            <v>553.58199999999999</v>
          </cell>
          <cell r="T563">
            <v>421.22300000000001</v>
          </cell>
          <cell r="U563">
            <v>385.81599999999997</v>
          </cell>
          <cell r="V563">
            <v>352.18200000000002</v>
          </cell>
          <cell r="W563">
            <v>323.8</v>
          </cell>
          <cell r="X563">
            <v>300.43200000000002</v>
          </cell>
          <cell r="Y563">
            <v>282.45</v>
          </cell>
          <cell r="Z563">
            <v>262.846</v>
          </cell>
          <cell r="AA563">
            <v>245.191</v>
          </cell>
          <cell r="AB563">
            <v>233.18299999999999</v>
          </cell>
          <cell r="AC563">
            <v>246.53899999999999</v>
          </cell>
        </row>
        <row r="564">
          <cell r="A564" t="str">
            <v>Mpr performance  C2 (Thousand households)</v>
          </cell>
          <cell r="E564">
            <v>56.774999999999999</v>
          </cell>
          <cell r="F564">
            <v>59.843000000000004</v>
          </cell>
          <cell r="G564">
            <v>61.439</v>
          </cell>
          <cell r="H564">
            <v>62.280999999999999</v>
          </cell>
          <cell r="I564">
            <v>64.397000000000006</v>
          </cell>
          <cell r="J564">
            <v>59.761000000000003</v>
          </cell>
          <cell r="K564">
            <v>52.694000000000003</v>
          </cell>
          <cell r="L564">
            <v>47.058</v>
          </cell>
          <cell r="M564">
            <v>42.54</v>
          </cell>
          <cell r="N564">
            <v>38.933999999999997</v>
          </cell>
          <cell r="O564">
            <v>35.951000000000001</v>
          </cell>
          <cell r="P564">
            <v>36.927999999999997</v>
          </cell>
          <cell r="Q564">
            <v>35.612000000000002</v>
          </cell>
          <cell r="R564">
            <v>32.558</v>
          </cell>
          <cell r="S564">
            <v>47.095999999999997</v>
          </cell>
          <cell r="T564">
            <v>40.341999999999999</v>
          </cell>
          <cell r="U564">
            <v>37.957999999999998</v>
          </cell>
          <cell r="V564">
            <v>35.637</v>
          </cell>
          <cell r="W564">
            <v>33.302999999999997</v>
          </cell>
          <cell r="X564">
            <v>31.603999999999999</v>
          </cell>
          <cell r="Y564">
            <v>30.263000000000002</v>
          </cell>
          <cell r="Z564">
            <v>28.788</v>
          </cell>
          <cell r="AA564">
            <v>27.513999999999999</v>
          </cell>
          <cell r="AB564">
            <v>26.388999999999999</v>
          </cell>
          <cell r="AC564">
            <v>26.645</v>
          </cell>
        </row>
        <row r="565">
          <cell r="A565" t="str">
            <v>Mpr performance  C3 (Million euro)</v>
          </cell>
          <cell r="E565">
            <v>1123.5609999999999</v>
          </cell>
          <cell r="F565">
            <v>1088.4269999999999</v>
          </cell>
          <cell r="G565">
            <v>895.06700000000001</v>
          </cell>
          <cell r="H565">
            <v>941.01599999999996</v>
          </cell>
          <cell r="I565">
            <v>907.75199999999995</v>
          </cell>
          <cell r="J565">
            <v>741.29499999999996</v>
          </cell>
          <cell r="K565">
            <v>585.053</v>
          </cell>
          <cell r="L565">
            <v>473.03699999999998</v>
          </cell>
          <cell r="M565">
            <v>391.82400000000001</v>
          </cell>
          <cell r="N565">
            <v>332.30399999999997</v>
          </cell>
          <cell r="O565">
            <v>299.30099999999999</v>
          </cell>
          <cell r="P565">
            <v>292.37</v>
          </cell>
          <cell r="Q565">
            <v>293.77100000000002</v>
          </cell>
          <cell r="R565">
            <v>255.435</v>
          </cell>
          <cell r="S565">
            <v>286.81900000000002</v>
          </cell>
          <cell r="T565">
            <v>240.35499999999999</v>
          </cell>
          <cell r="U565">
            <v>217.548</v>
          </cell>
          <cell r="V565">
            <v>197.16300000000001</v>
          </cell>
          <cell r="W565">
            <v>177.63499999999999</v>
          </cell>
          <cell r="X565">
            <v>164.245</v>
          </cell>
          <cell r="Y565">
            <v>153.953</v>
          </cell>
          <cell r="Z565">
            <v>143.15600000000001</v>
          </cell>
          <cell r="AA565">
            <v>134.07599999999999</v>
          </cell>
          <cell r="AB565">
            <v>127.102</v>
          </cell>
          <cell r="AC565">
            <v>132.97800000000001</v>
          </cell>
        </row>
        <row r="566">
          <cell r="A566" t="str">
            <v>Mpr performance  C3 (Thousand households)</v>
          </cell>
          <cell r="E566">
            <v>92.165999999999997</v>
          </cell>
          <cell r="F566">
            <v>86.314999999999998</v>
          </cell>
          <cell r="G566">
            <v>72.465000000000003</v>
          </cell>
          <cell r="H566">
            <v>72.986999999999995</v>
          </cell>
          <cell r="I566">
            <v>69.245000000000005</v>
          </cell>
          <cell r="J566">
            <v>60.774999999999999</v>
          </cell>
          <cell r="K566">
            <v>51.341000000000001</v>
          </cell>
          <cell r="L566">
            <v>44.524000000000001</v>
          </cell>
          <cell r="M566">
            <v>39.533000000000001</v>
          </cell>
          <cell r="N566">
            <v>35.840000000000003</v>
          </cell>
          <cell r="O566">
            <v>33.764000000000003</v>
          </cell>
          <cell r="P566">
            <v>36.689</v>
          </cell>
          <cell r="Q566">
            <v>35.822000000000003</v>
          </cell>
          <cell r="R566">
            <v>32.659999999999997</v>
          </cell>
          <cell r="S566">
            <v>43.003</v>
          </cell>
          <cell r="T566">
            <v>39.319000000000003</v>
          </cell>
          <cell r="U566">
            <v>37.110999999999997</v>
          </cell>
          <cell r="V566">
            <v>35.029000000000003</v>
          </cell>
          <cell r="W566">
            <v>32.847000000000001</v>
          </cell>
          <cell r="X566">
            <v>31.37</v>
          </cell>
          <cell r="Y566">
            <v>30.207999999999998</v>
          </cell>
          <cell r="Z566">
            <v>28.945</v>
          </cell>
          <cell r="AA566">
            <v>27.847999999999999</v>
          </cell>
          <cell r="AB566">
            <v>26.763000000000002</v>
          </cell>
          <cell r="AC566">
            <v>26.331</v>
          </cell>
        </row>
        <row r="567">
          <cell r="A567" t="str">
            <v>Mpr performance  C4 (Million euro)</v>
          </cell>
          <cell r="E567">
            <v>885.14200000000005</v>
          </cell>
          <cell r="F567">
            <v>859.89599999999996</v>
          </cell>
          <cell r="G567">
            <v>709.00599999999997</v>
          </cell>
          <cell r="H567">
            <v>729.65599999999995</v>
          </cell>
          <cell r="I567">
            <v>703.08100000000002</v>
          </cell>
          <cell r="J567">
            <v>608.12800000000004</v>
          </cell>
          <cell r="K567">
            <v>489.14800000000002</v>
          </cell>
          <cell r="L567">
            <v>397.50299999999999</v>
          </cell>
          <cell r="M567">
            <v>326.88200000000001</v>
          </cell>
          <cell r="N567">
            <v>272.83300000000003</v>
          </cell>
          <cell r="O567">
            <v>244.23400000000001</v>
          </cell>
          <cell r="P567">
            <v>239.08099999999999</v>
          </cell>
          <cell r="Q567">
            <v>238.048</v>
          </cell>
          <cell r="R567">
            <v>204.56100000000001</v>
          </cell>
          <cell r="S567">
            <v>243.33</v>
          </cell>
          <cell r="T567">
            <v>185.66800000000001</v>
          </cell>
          <cell r="U567">
            <v>167.30600000000001</v>
          </cell>
          <cell r="V567">
            <v>150.87100000000001</v>
          </cell>
          <cell r="W567">
            <v>134.85599999999999</v>
          </cell>
          <cell r="X567">
            <v>123.846</v>
          </cell>
          <cell r="Y567">
            <v>115.07899999999999</v>
          </cell>
          <cell r="Z567">
            <v>106.018</v>
          </cell>
          <cell r="AA567">
            <v>98.277000000000001</v>
          </cell>
          <cell r="AB567">
            <v>93.13</v>
          </cell>
          <cell r="AC567">
            <v>98.379000000000005</v>
          </cell>
        </row>
        <row r="568">
          <cell r="A568" t="str">
            <v>Mpr performance  C4 (Thousand households)</v>
          </cell>
          <cell r="E568">
            <v>91.433000000000007</v>
          </cell>
          <cell r="F568">
            <v>85.787000000000006</v>
          </cell>
          <cell r="G568">
            <v>72.706000000000003</v>
          </cell>
          <cell r="H568">
            <v>72.603999999999999</v>
          </cell>
          <cell r="I568">
            <v>69.399000000000001</v>
          </cell>
          <cell r="J568">
            <v>64.835999999999999</v>
          </cell>
          <cell r="K568">
            <v>55.604999999999997</v>
          </cell>
          <cell r="L568">
            <v>48.475999999999999</v>
          </cell>
          <cell r="M568">
            <v>42.957000000000001</v>
          </cell>
          <cell r="N568">
            <v>38.704000000000001</v>
          </cell>
          <cell r="O568">
            <v>36.957999999999998</v>
          </cell>
          <cell r="P568">
            <v>41.972000000000001</v>
          </cell>
          <cell r="Q568">
            <v>40.707000000000001</v>
          </cell>
          <cell r="R568">
            <v>37.173000000000002</v>
          </cell>
          <cell r="S568">
            <v>49.222999999999999</v>
          </cell>
          <cell r="T568">
            <v>44.094000000000001</v>
          </cell>
          <cell r="U568">
            <v>41.709000000000003</v>
          </cell>
          <cell r="V568">
            <v>39.466000000000001</v>
          </cell>
          <cell r="W568">
            <v>37.113</v>
          </cell>
          <cell r="X568">
            <v>35.487000000000002</v>
          </cell>
          <cell r="Y568">
            <v>34.17</v>
          </cell>
          <cell r="Z568">
            <v>32.765000000000001</v>
          </cell>
          <cell r="AA568">
            <v>31.533999999999999</v>
          </cell>
          <cell r="AB568">
            <v>30.382000000000001</v>
          </cell>
          <cell r="AC568">
            <v>29.867000000000001</v>
          </cell>
        </row>
        <row r="569">
          <cell r="A569" t="str">
            <v>Mpr performance  C5 (Million euro)</v>
          </cell>
          <cell r="E569">
            <v>850.36699999999996</v>
          </cell>
          <cell r="F569">
            <v>774.846</v>
          </cell>
          <cell r="G569">
            <v>587.43299999999999</v>
          </cell>
          <cell r="H569">
            <v>602.93799999999999</v>
          </cell>
          <cell r="I569">
            <v>533.61400000000003</v>
          </cell>
          <cell r="J569">
            <v>453.44400000000002</v>
          </cell>
          <cell r="K569">
            <v>365.33199999999999</v>
          </cell>
          <cell r="L569">
            <v>305.84300000000002</v>
          </cell>
          <cell r="M569">
            <v>243.797</v>
          </cell>
          <cell r="N569">
            <v>173.48</v>
          </cell>
          <cell r="O569">
            <v>153.98099999999999</v>
          </cell>
          <cell r="P569">
            <v>158.738</v>
          </cell>
          <cell r="Q569">
            <v>161.38399999999999</v>
          </cell>
          <cell r="R569">
            <v>138.084</v>
          </cell>
          <cell r="S569">
            <v>163.89400000000001</v>
          </cell>
          <cell r="T569">
            <v>126</v>
          </cell>
          <cell r="U569">
            <v>114.116</v>
          </cell>
          <cell r="V569">
            <v>93.777000000000001</v>
          </cell>
          <cell r="W569">
            <v>84.356999999999999</v>
          </cell>
          <cell r="X569">
            <v>77.263000000000005</v>
          </cell>
          <cell r="Y569">
            <v>71.808000000000007</v>
          </cell>
          <cell r="Z569">
            <v>65.995000000000005</v>
          </cell>
          <cell r="AA569">
            <v>61.180999999999997</v>
          </cell>
          <cell r="AB569">
            <v>57.555</v>
          </cell>
          <cell r="AC569">
            <v>62.741</v>
          </cell>
        </row>
        <row r="570">
          <cell r="A570" t="str">
            <v>Mpr performance  C5 (Thousand households)</v>
          </cell>
          <cell r="E570">
            <v>128.768</v>
          </cell>
          <cell r="F570">
            <v>116.136</v>
          </cell>
          <cell r="G570">
            <v>91.528999999999996</v>
          </cell>
          <cell r="H570">
            <v>88.06</v>
          </cell>
          <cell r="I570">
            <v>80.378</v>
          </cell>
          <cell r="J570">
            <v>78.864999999999995</v>
          </cell>
          <cell r="K570">
            <v>70.372</v>
          </cell>
          <cell r="L570">
            <v>65.495999999999995</v>
          </cell>
          <cell r="M570">
            <v>55.712000000000003</v>
          </cell>
          <cell r="N570">
            <v>41.387</v>
          </cell>
          <cell r="O570">
            <v>39.942</v>
          </cell>
          <cell r="P570">
            <v>49.290999999999997</v>
          </cell>
          <cell r="Q570">
            <v>47.805</v>
          </cell>
          <cell r="R570">
            <v>43.698999999999998</v>
          </cell>
          <cell r="S570">
            <v>54.243000000000002</v>
          </cell>
          <cell r="T570">
            <v>48.731000000000002</v>
          </cell>
          <cell r="U570">
            <v>46.094999999999999</v>
          </cell>
          <cell r="V570">
            <v>39.863999999999997</v>
          </cell>
          <cell r="W570">
            <v>37.664000000000001</v>
          </cell>
          <cell r="X570">
            <v>35.804000000000002</v>
          </cell>
          <cell r="Y570">
            <v>34.372999999999998</v>
          </cell>
          <cell r="Z570">
            <v>32.777000000000001</v>
          </cell>
          <cell r="AA570">
            <v>31.437000000000001</v>
          </cell>
          <cell r="AB570">
            <v>30.117999999999999</v>
          </cell>
          <cell r="AC570">
            <v>29.524999999999999</v>
          </cell>
        </row>
        <row r="571">
          <cell r="A571" t="str">
            <v>Mpr performance (Billion euro)</v>
          </cell>
          <cell r="E571">
            <v>4.6589999999999998</v>
          </cell>
          <cell r="F571">
            <v>4.9089999999999998</v>
          </cell>
          <cell r="G571">
            <v>4.4370000000000003</v>
          </cell>
          <cell r="H571">
            <v>4.5910000000000002</v>
          </cell>
          <cell r="I571">
            <v>4.6740000000000004</v>
          </cell>
          <cell r="J571">
            <v>4.0369999999999999</v>
          </cell>
          <cell r="K571">
            <v>3.3490000000000002</v>
          </cell>
          <cell r="L571">
            <v>2.83</v>
          </cell>
          <cell r="M571">
            <v>2.4119999999999999</v>
          </cell>
          <cell r="N571">
            <v>2.0680000000000001</v>
          </cell>
          <cell r="O571">
            <v>1.83</v>
          </cell>
          <cell r="P571">
            <v>1.786</v>
          </cell>
          <cell r="Q571">
            <v>1.7370000000000001</v>
          </cell>
          <cell r="R571">
            <v>1.5229999999999999</v>
          </cell>
          <cell r="S571">
            <v>1.901</v>
          </cell>
          <cell r="T571">
            <v>1.534</v>
          </cell>
          <cell r="U571">
            <v>1.4039999999999999</v>
          </cell>
          <cell r="V571">
            <v>1.272</v>
          </cell>
          <cell r="W571">
            <v>1.1499999999999999</v>
          </cell>
          <cell r="X571">
            <v>1.0660000000000001</v>
          </cell>
          <cell r="Y571">
            <v>1.004</v>
          </cell>
          <cell r="Z571">
            <v>0.93400000000000005</v>
          </cell>
          <cell r="AA571">
            <v>0.874</v>
          </cell>
          <cell r="AB571">
            <v>0.83099999999999996</v>
          </cell>
          <cell r="AC571">
            <v>0.85399999999999998</v>
          </cell>
        </row>
        <row r="572">
          <cell r="A572" t="str">
            <v>Mpr performance (Thousand households)</v>
          </cell>
          <cell r="E572">
            <v>422.05700000000002</v>
          </cell>
          <cell r="F572">
            <v>407.67700000000002</v>
          </cell>
          <cell r="G572">
            <v>354.31400000000002</v>
          </cell>
          <cell r="H572">
            <v>351.43799999999999</v>
          </cell>
          <cell r="I572">
            <v>341.28500000000003</v>
          </cell>
          <cell r="J572">
            <v>316.37099999999998</v>
          </cell>
          <cell r="K572">
            <v>275.822</v>
          </cell>
          <cell r="L572">
            <v>246.40100000000001</v>
          </cell>
          <cell r="M572">
            <v>217.67</v>
          </cell>
          <cell r="N572">
            <v>188.71</v>
          </cell>
          <cell r="O572">
            <v>175.958</v>
          </cell>
          <cell r="P572">
            <v>194.03399999999999</v>
          </cell>
          <cell r="Q572">
            <v>187.541</v>
          </cell>
          <cell r="R572">
            <v>171.00700000000001</v>
          </cell>
          <cell r="S572">
            <v>223.63</v>
          </cell>
          <cell r="T572">
            <v>199.06899999999999</v>
          </cell>
          <cell r="U572">
            <v>187.71299999999999</v>
          </cell>
          <cell r="V572">
            <v>173.07</v>
          </cell>
          <cell r="W572">
            <v>161.67400000000001</v>
          </cell>
          <cell r="X572">
            <v>153.71799999999999</v>
          </cell>
          <cell r="Y572">
            <v>147.59399999999999</v>
          </cell>
          <cell r="Z572">
            <v>140.761</v>
          </cell>
          <cell r="AA572">
            <v>134.89099999999999</v>
          </cell>
          <cell r="AB572">
            <v>129.435</v>
          </cell>
          <cell r="AC572">
            <v>127.622</v>
          </cell>
        </row>
        <row r="573">
          <cell r="A573" t="str">
            <v>Mpr performance insulation (Billion euro)</v>
          </cell>
          <cell r="E573">
            <v>4.6589999999999998</v>
          </cell>
          <cell r="F573">
            <v>4.9089999999999998</v>
          </cell>
          <cell r="G573">
            <v>4.4370000000000003</v>
          </cell>
          <cell r="H573">
            <v>4.5910000000000002</v>
          </cell>
          <cell r="I573">
            <v>4.6740000000000004</v>
          </cell>
          <cell r="J573">
            <v>4.0369999999999999</v>
          </cell>
          <cell r="K573">
            <v>3.3490000000000002</v>
          </cell>
          <cell r="L573">
            <v>2.83</v>
          </cell>
          <cell r="M573">
            <v>2.4119999999999999</v>
          </cell>
          <cell r="N573">
            <v>2.0680000000000001</v>
          </cell>
          <cell r="O573">
            <v>1.83</v>
          </cell>
          <cell r="P573">
            <v>1.786</v>
          </cell>
          <cell r="Q573">
            <v>1.7370000000000001</v>
          </cell>
          <cell r="R573">
            <v>1.5229999999999999</v>
          </cell>
          <cell r="S573">
            <v>1.901</v>
          </cell>
          <cell r="T573">
            <v>1.534</v>
          </cell>
          <cell r="U573">
            <v>1.4039999999999999</v>
          </cell>
          <cell r="V573">
            <v>1.272</v>
          </cell>
          <cell r="W573">
            <v>1.1499999999999999</v>
          </cell>
          <cell r="X573">
            <v>1.0660000000000001</v>
          </cell>
          <cell r="Y573">
            <v>1.004</v>
          </cell>
          <cell r="Z573">
            <v>0.93400000000000005</v>
          </cell>
          <cell r="AA573">
            <v>0.874</v>
          </cell>
          <cell r="AB573">
            <v>0.83099999999999996</v>
          </cell>
          <cell r="AC573">
            <v>0.85399999999999998</v>
          </cell>
        </row>
        <row r="574">
          <cell r="A574" t="str">
            <v>Mpr performance insulation (Thousand households)</v>
          </cell>
          <cell r="E574">
            <v>422.05700000000002</v>
          </cell>
          <cell r="F574">
            <v>407.67700000000002</v>
          </cell>
          <cell r="G574">
            <v>354.31400000000002</v>
          </cell>
          <cell r="H574">
            <v>351.43799999999999</v>
          </cell>
          <cell r="I574">
            <v>341.28500000000003</v>
          </cell>
          <cell r="J574">
            <v>316.37099999999998</v>
          </cell>
          <cell r="K574">
            <v>275.822</v>
          </cell>
          <cell r="L574">
            <v>246.40100000000001</v>
          </cell>
          <cell r="M574">
            <v>217.67</v>
          </cell>
          <cell r="N574">
            <v>188.71</v>
          </cell>
          <cell r="O574">
            <v>175.958</v>
          </cell>
          <cell r="P574">
            <v>194.03399999999999</v>
          </cell>
          <cell r="Q574">
            <v>187.541</v>
          </cell>
          <cell r="R574">
            <v>171.00700000000001</v>
          </cell>
          <cell r="S574">
            <v>223.63</v>
          </cell>
          <cell r="T574">
            <v>199.06899999999999</v>
          </cell>
          <cell r="U574">
            <v>187.71299999999999</v>
          </cell>
          <cell r="V574">
            <v>173.07</v>
          </cell>
          <cell r="W574">
            <v>161.67400000000001</v>
          </cell>
          <cell r="X574">
            <v>153.71799999999999</v>
          </cell>
          <cell r="Y574">
            <v>147.59399999999999</v>
          </cell>
          <cell r="Z574">
            <v>140.761</v>
          </cell>
          <cell r="AA574">
            <v>134.89099999999999</v>
          </cell>
          <cell r="AB574">
            <v>129.435</v>
          </cell>
          <cell r="AC574">
            <v>127.622</v>
          </cell>
        </row>
        <row r="575">
          <cell r="A575" t="str">
            <v>Mpr performance insulation C1 (Thousand households)</v>
          </cell>
          <cell r="E575">
            <v>52.914000000000001</v>
          </cell>
          <cell r="F575">
            <v>59.594999999999999</v>
          </cell>
          <cell r="G575">
            <v>56.176000000000002</v>
          </cell>
          <cell r="H575">
            <v>55.506</v>
          </cell>
          <cell r="I575">
            <v>57.866</v>
          </cell>
          <cell r="J575">
            <v>52.133000000000003</v>
          </cell>
          <cell r="K575">
            <v>45.81</v>
          </cell>
          <cell r="L575">
            <v>40.847000000000001</v>
          </cell>
          <cell r="M575">
            <v>36.929000000000002</v>
          </cell>
          <cell r="N575">
            <v>33.844999999999999</v>
          </cell>
          <cell r="O575">
            <v>29.343</v>
          </cell>
          <cell r="P575">
            <v>29.154</v>
          </cell>
          <cell r="Q575">
            <v>27.593</v>
          </cell>
          <cell r="R575">
            <v>24.917000000000002</v>
          </cell>
          <cell r="S575">
            <v>30.064</v>
          </cell>
          <cell r="T575">
            <v>26.582000000000001</v>
          </cell>
          <cell r="U575">
            <v>24.84</v>
          </cell>
          <cell r="V575">
            <v>23.074000000000002</v>
          </cell>
          <cell r="W575">
            <v>20.747</v>
          </cell>
          <cell r="X575">
            <v>19.452000000000002</v>
          </cell>
          <cell r="Y575">
            <v>18.579000000000001</v>
          </cell>
          <cell r="Z575">
            <v>17.486000000000001</v>
          </cell>
          <cell r="AA575">
            <v>16.558</v>
          </cell>
          <cell r="AB575">
            <v>15.782999999999999</v>
          </cell>
          <cell r="AC575">
            <v>15.254</v>
          </cell>
        </row>
        <row r="576">
          <cell r="A576" t="str">
            <v>Mpr performance insulation C2 (Thousand households)</v>
          </cell>
          <cell r="E576">
            <v>56.774999999999999</v>
          </cell>
          <cell r="F576">
            <v>59.843000000000004</v>
          </cell>
          <cell r="G576">
            <v>61.439</v>
          </cell>
          <cell r="H576">
            <v>62.280999999999999</v>
          </cell>
          <cell r="I576">
            <v>64.397000000000006</v>
          </cell>
          <cell r="J576">
            <v>59.761000000000003</v>
          </cell>
          <cell r="K576">
            <v>52.694000000000003</v>
          </cell>
          <cell r="L576">
            <v>47.058</v>
          </cell>
          <cell r="M576">
            <v>42.54</v>
          </cell>
          <cell r="N576">
            <v>38.933999999999997</v>
          </cell>
          <cell r="O576">
            <v>35.951000000000001</v>
          </cell>
          <cell r="P576">
            <v>36.927999999999997</v>
          </cell>
          <cell r="Q576">
            <v>35.612000000000002</v>
          </cell>
          <cell r="R576">
            <v>32.558</v>
          </cell>
          <cell r="S576">
            <v>47.095999999999997</v>
          </cell>
          <cell r="T576">
            <v>40.341999999999999</v>
          </cell>
          <cell r="U576">
            <v>37.957999999999998</v>
          </cell>
          <cell r="V576">
            <v>35.637</v>
          </cell>
          <cell r="W576">
            <v>33.302999999999997</v>
          </cell>
          <cell r="X576">
            <v>31.603999999999999</v>
          </cell>
          <cell r="Y576">
            <v>30.263000000000002</v>
          </cell>
          <cell r="Z576">
            <v>28.788</v>
          </cell>
          <cell r="AA576">
            <v>27.513999999999999</v>
          </cell>
          <cell r="AB576">
            <v>26.388999999999999</v>
          </cell>
          <cell r="AC576">
            <v>26.645</v>
          </cell>
        </row>
        <row r="577">
          <cell r="A577" t="str">
            <v>Mpr performance insulation C3 (Thousand households)</v>
          </cell>
          <cell r="E577">
            <v>92.165999999999997</v>
          </cell>
          <cell r="F577">
            <v>86.314999999999998</v>
          </cell>
          <cell r="G577">
            <v>72.465000000000003</v>
          </cell>
          <cell r="H577">
            <v>72.986999999999995</v>
          </cell>
          <cell r="I577">
            <v>69.245000000000005</v>
          </cell>
          <cell r="J577">
            <v>60.774999999999999</v>
          </cell>
          <cell r="K577">
            <v>51.341000000000001</v>
          </cell>
          <cell r="L577">
            <v>44.524000000000001</v>
          </cell>
          <cell r="M577">
            <v>39.533000000000001</v>
          </cell>
          <cell r="N577">
            <v>35.840000000000003</v>
          </cell>
          <cell r="O577">
            <v>33.764000000000003</v>
          </cell>
          <cell r="P577">
            <v>36.689</v>
          </cell>
          <cell r="Q577">
            <v>35.822000000000003</v>
          </cell>
          <cell r="R577">
            <v>32.659999999999997</v>
          </cell>
          <cell r="S577">
            <v>43.003</v>
          </cell>
          <cell r="T577">
            <v>39.319000000000003</v>
          </cell>
          <cell r="U577">
            <v>37.110999999999997</v>
          </cell>
          <cell r="V577">
            <v>35.029000000000003</v>
          </cell>
          <cell r="W577">
            <v>32.847000000000001</v>
          </cell>
          <cell r="X577">
            <v>31.37</v>
          </cell>
          <cell r="Y577">
            <v>30.207999999999998</v>
          </cell>
          <cell r="Z577">
            <v>28.945</v>
          </cell>
          <cell r="AA577">
            <v>27.847999999999999</v>
          </cell>
          <cell r="AB577">
            <v>26.763000000000002</v>
          </cell>
          <cell r="AC577">
            <v>26.331</v>
          </cell>
        </row>
        <row r="578">
          <cell r="A578" t="str">
            <v>Mpr performance insulation C4 (Thousand households)</v>
          </cell>
          <cell r="E578">
            <v>91.433000000000007</v>
          </cell>
          <cell r="F578">
            <v>85.787000000000006</v>
          </cell>
          <cell r="G578">
            <v>72.706000000000003</v>
          </cell>
          <cell r="H578">
            <v>72.603999999999999</v>
          </cell>
          <cell r="I578">
            <v>69.399000000000001</v>
          </cell>
          <cell r="J578">
            <v>64.835999999999999</v>
          </cell>
          <cell r="K578">
            <v>55.604999999999997</v>
          </cell>
          <cell r="L578">
            <v>48.475999999999999</v>
          </cell>
          <cell r="M578">
            <v>42.957000000000001</v>
          </cell>
          <cell r="N578">
            <v>38.704000000000001</v>
          </cell>
          <cell r="O578">
            <v>36.957999999999998</v>
          </cell>
          <cell r="P578">
            <v>41.972000000000001</v>
          </cell>
          <cell r="Q578">
            <v>40.707000000000001</v>
          </cell>
          <cell r="R578">
            <v>37.173000000000002</v>
          </cell>
          <cell r="S578">
            <v>49.222999999999999</v>
          </cell>
          <cell r="T578">
            <v>44.094000000000001</v>
          </cell>
          <cell r="U578">
            <v>41.709000000000003</v>
          </cell>
          <cell r="V578">
            <v>39.466000000000001</v>
          </cell>
          <cell r="W578">
            <v>37.113</v>
          </cell>
          <cell r="X578">
            <v>35.487000000000002</v>
          </cell>
          <cell r="Y578">
            <v>34.17</v>
          </cell>
          <cell r="Z578">
            <v>32.765000000000001</v>
          </cell>
          <cell r="AA578">
            <v>31.533999999999999</v>
          </cell>
          <cell r="AB578">
            <v>30.382000000000001</v>
          </cell>
          <cell r="AC578">
            <v>29.867000000000001</v>
          </cell>
        </row>
        <row r="579">
          <cell r="A579" t="str">
            <v>Mpr performance insulation C5 (Thousand households)</v>
          </cell>
          <cell r="E579">
            <v>128.768</v>
          </cell>
          <cell r="F579">
            <v>116.136</v>
          </cell>
          <cell r="G579">
            <v>91.528999999999996</v>
          </cell>
          <cell r="H579">
            <v>88.06</v>
          </cell>
          <cell r="I579">
            <v>80.378</v>
          </cell>
          <cell r="J579">
            <v>78.864999999999995</v>
          </cell>
          <cell r="K579">
            <v>70.372</v>
          </cell>
          <cell r="L579">
            <v>65.495999999999995</v>
          </cell>
          <cell r="M579">
            <v>55.712000000000003</v>
          </cell>
          <cell r="N579">
            <v>41.387</v>
          </cell>
          <cell r="O579">
            <v>39.942</v>
          </cell>
          <cell r="P579">
            <v>49.290999999999997</v>
          </cell>
          <cell r="Q579">
            <v>47.805</v>
          </cell>
          <cell r="R579">
            <v>43.698999999999998</v>
          </cell>
          <cell r="S579">
            <v>54.243000000000002</v>
          </cell>
          <cell r="T579">
            <v>48.731000000000002</v>
          </cell>
          <cell r="U579">
            <v>46.094999999999999</v>
          </cell>
          <cell r="V579">
            <v>39.863999999999997</v>
          </cell>
          <cell r="W579">
            <v>37.664000000000001</v>
          </cell>
          <cell r="X579">
            <v>35.804000000000002</v>
          </cell>
          <cell r="Y579">
            <v>34.372999999999998</v>
          </cell>
          <cell r="Z579">
            <v>32.777000000000001</v>
          </cell>
          <cell r="AA579">
            <v>31.437000000000001</v>
          </cell>
          <cell r="AB579">
            <v>30.117999999999999</v>
          </cell>
          <cell r="AC579">
            <v>29.524999999999999</v>
          </cell>
        </row>
        <row r="580">
          <cell r="A580" t="str">
            <v>Mpr performance insulation Multi-family (Thousand households)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</row>
        <row r="581">
          <cell r="A581" t="str">
            <v>Mpr performance insulation Single-family (Thousand households)</v>
          </cell>
          <cell r="E581">
            <v>422.05700000000002</v>
          </cell>
          <cell r="F581">
            <v>407.67700000000002</v>
          </cell>
          <cell r="G581">
            <v>354.31400000000002</v>
          </cell>
          <cell r="H581">
            <v>351.43799999999999</v>
          </cell>
          <cell r="I581">
            <v>341.28500000000003</v>
          </cell>
          <cell r="J581">
            <v>316.37099999999998</v>
          </cell>
          <cell r="K581">
            <v>275.822</v>
          </cell>
          <cell r="L581">
            <v>246.40100000000001</v>
          </cell>
          <cell r="M581">
            <v>217.67</v>
          </cell>
          <cell r="N581">
            <v>188.71</v>
          </cell>
          <cell r="O581">
            <v>175.958</v>
          </cell>
          <cell r="P581">
            <v>194.03399999999999</v>
          </cell>
          <cell r="Q581">
            <v>187.541</v>
          </cell>
          <cell r="R581">
            <v>171.00700000000001</v>
          </cell>
          <cell r="S581">
            <v>223.63</v>
          </cell>
          <cell r="T581">
            <v>199.06899999999999</v>
          </cell>
          <cell r="U581">
            <v>187.71299999999999</v>
          </cell>
          <cell r="V581">
            <v>173.07</v>
          </cell>
          <cell r="W581">
            <v>161.67400000000001</v>
          </cell>
          <cell r="X581">
            <v>153.71799999999999</v>
          </cell>
          <cell r="Y581">
            <v>147.59399999999999</v>
          </cell>
          <cell r="Z581">
            <v>140.761</v>
          </cell>
          <cell r="AA581">
            <v>134.89099999999999</v>
          </cell>
          <cell r="AB581">
            <v>129.435</v>
          </cell>
          <cell r="AC581">
            <v>127.622</v>
          </cell>
        </row>
        <row r="582">
          <cell r="A582" t="str">
            <v>Mpr performance Multi-family (Thousand households)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</row>
        <row r="583">
          <cell r="A583" t="str">
            <v>Mpr performance Single-family (Thousand households)</v>
          </cell>
          <cell r="E583">
            <v>422.05700000000002</v>
          </cell>
          <cell r="F583">
            <v>407.67700000000002</v>
          </cell>
          <cell r="G583">
            <v>354.31400000000002</v>
          </cell>
          <cell r="H583">
            <v>351.43799999999999</v>
          </cell>
          <cell r="I583">
            <v>341.28500000000003</v>
          </cell>
          <cell r="J583">
            <v>316.37099999999998</v>
          </cell>
          <cell r="K583">
            <v>275.822</v>
          </cell>
          <cell r="L583">
            <v>246.40100000000001</v>
          </cell>
          <cell r="M583">
            <v>217.67</v>
          </cell>
          <cell r="N583">
            <v>188.71</v>
          </cell>
          <cell r="O583">
            <v>175.958</v>
          </cell>
          <cell r="P583">
            <v>194.03399999999999</v>
          </cell>
          <cell r="Q583">
            <v>187.541</v>
          </cell>
          <cell r="R583">
            <v>171.00700000000001</v>
          </cell>
          <cell r="S583">
            <v>223.63</v>
          </cell>
          <cell r="T583">
            <v>199.06899999999999</v>
          </cell>
          <cell r="U583">
            <v>187.71299999999999</v>
          </cell>
          <cell r="V583">
            <v>173.07</v>
          </cell>
          <cell r="W583">
            <v>161.67400000000001</v>
          </cell>
          <cell r="X583">
            <v>153.71799999999999</v>
          </cell>
          <cell r="Y583">
            <v>147.59399999999999</v>
          </cell>
          <cell r="Z583">
            <v>140.761</v>
          </cell>
          <cell r="AA583">
            <v>134.89099999999999</v>
          </cell>
          <cell r="AB583">
            <v>129.435</v>
          </cell>
          <cell r="AC583">
            <v>127.622</v>
          </cell>
        </row>
        <row r="584">
          <cell r="A584" t="str">
            <v>Mpr serenite (Billion euro)</v>
          </cell>
          <cell r="C584">
            <v>7.0000000000000001E-3</v>
          </cell>
          <cell r="D584">
            <v>6.0000000000000001E-3</v>
          </cell>
        </row>
        <row r="585">
          <cell r="A585" t="str">
            <v>Mpr serenite (Thousand households)</v>
          </cell>
          <cell r="C585">
            <v>53.749000000000002</v>
          </cell>
          <cell r="D585">
            <v>52.073999999999998</v>
          </cell>
        </row>
        <row r="586">
          <cell r="A586" t="str">
            <v>Mpr serenite insulation (Billion euro)</v>
          </cell>
          <cell r="C586">
            <v>7.0000000000000001E-3</v>
          </cell>
          <cell r="D586">
            <v>6.0000000000000001E-3</v>
          </cell>
        </row>
        <row r="587">
          <cell r="A587" t="str">
            <v>Mpr serenite insulation (Thousand households)</v>
          </cell>
          <cell r="C587">
            <v>53.749000000000002</v>
          </cell>
          <cell r="D587">
            <v>52.073999999999998</v>
          </cell>
        </row>
        <row r="588">
          <cell r="A588" t="str">
            <v>Mpr serenite insulation C1 (Thousand households)</v>
          </cell>
          <cell r="C588">
            <v>20.532</v>
          </cell>
          <cell r="D588">
            <v>19.876999999999999</v>
          </cell>
        </row>
        <row r="589">
          <cell r="A589" t="str">
            <v>Mpr serenite insulation C2 (Thousand households)</v>
          </cell>
          <cell r="C589">
            <v>33.216999999999999</v>
          </cell>
          <cell r="D589">
            <v>32.197000000000003</v>
          </cell>
        </row>
        <row r="590">
          <cell r="A590" t="str">
            <v>Mpr serenite insulation C3 (Thousand households)</v>
          </cell>
          <cell r="C590">
            <v>0</v>
          </cell>
          <cell r="D590">
            <v>0</v>
          </cell>
        </row>
        <row r="591">
          <cell r="A591" t="str">
            <v>Mpr serenite insulation C4 (Thousand households)</v>
          </cell>
          <cell r="C591">
            <v>0</v>
          </cell>
          <cell r="D591">
            <v>0</v>
          </cell>
        </row>
        <row r="592">
          <cell r="A592" t="str">
            <v>Mpr serenite insulation C5 (Thousand households)</v>
          </cell>
          <cell r="C592">
            <v>0</v>
          </cell>
          <cell r="D592">
            <v>0</v>
          </cell>
        </row>
        <row r="593">
          <cell r="A593" t="str">
            <v>Mpr serenite insulation Multi-family (Thousand households)</v>
          </cell>
          <cell r="C593">
            <v>0</v>
          </cell>
          <cell r="D593">
            <v>0</v>
          </cell>
        </row>
        <row r="594">
          <cell r="A594" t="str">
            <v>Mpr serenite insulation Single-family (Thousand households)</v>
          </cell>
          <cell r="C594">
            <v>53.749000000000002</v>
          </cell>
          <cell r="D594">
            <v>52.073999999999998</v>
          </cell>
        </row>
        <row r="595">
          <cell r="A595" t="str">
            <v>Mpr serenite Multi-family (Thousand households)</v>
          </cell>
          <cell r="C595">
            <v>0</v>
          </cell>
          <cell r="D595">
            <v>0</v>
          </cell>
        </row>
        <row r="596">
          <cell r="A596" t="str">
            <v>Mpr serenite Single-family (Thousand households)</v>
          </cell>
          <cell r="C596">
            <v>53.749000000000002</v>
          </cell>
          <cell r="D596">
            <v>52.073999999999998</v>
          </cell>
        </row>
        <row r="597">
          <cell r="A597" t="str">
            <v>Mpr Single-family (Thousand households)</v>
          </cell>
          <cell r="C597">
            <v>983.72900000000004</v>
          </cell>
          <cell r="D597">
            <v>969.33600000000001</v>
          </cell>
        </row>
        <row r="598">
          <cell r="A598" t="str">
            <v>Obligatory High-performance renovation (Thousand households)</v>
          </cell>
          <cell r="C598">
            <v>33.993000000000002</v>
          </cell>
          <cell r="D598">
            <v>27.27</v>
          </cell>
          <cell r="E598">
            <v>72.534999999999997</v>
          </cell>
          <cell r="F598">
            <v>55.558</v>
          </cell>
          <cell r="G598">
            <v>42.328000000000003</v>
          </cell>
          <cell r="H598">
            <v>32.302</v>
          </cell>
          <cell r="I598">
            <v>24.152000000000001</v>
          </cell>
          <cell r="J598">
            <v>27.1</v>
          </cell>
          <cell r="K598">
            <v>21.783000000000001</v>
          </cell>
          <cell r="L598">
            <v>17.404</v>
          </cell>
          <cell r="M598">
            <v>13.802</v>
          </cell>
          <cell r="N598">
            <v>10.872</v>
          </cell>
          <cell r="O598">
            <v>8.5809999999999995</v>
          </cell>
          <cell r="P598">
            <v>33.451000000000001</v>
          </cell>
          <cell r="Q598">
            <v>32.264000000000003</v>
          </cell>
          <cell r="R598">
            <v>29.398</v>
          </cell>
          <cell r="S598">
            <v>26.614999999999998</v>
          </cell>
          <cell r="T598">
            <v>24.245000000000001</v>
          </cell>
          <cell r="U598">
            <v>22.122</v>
          </cell>
          <cell r="V598">
            <v>20.202999999999999</v>
          </cell>
          <cell r="W598">
            <v>18.512</v>
          </cell>
          <cell r="X598">
            <v>16.965</v>
          </cell>
          <cell r="Y598">
            <v>15.573</v>
          </cell>
          <cell r="Z598">
            <v>14.295999999999999</v>
          </cell>
          <cell r="AA598">
            <v>13.132</v>
          </cell>
          <cell r="AB598">
            <v>11.987</v>
          </cell>
          <cell r="AC598">
            <v>11.454000000000001</v>
          </cell>
        </row>
        <row r="599">
          <cell r="A599" t="str">
            <v>Obligatory renovation from D to A (Thousand households)</v>
          </cell>
          <cell r="P599">
            <v>1.8069999999999999</v>
          </cell>
          <cell r="Q599">
            <v>1.7010000000000001</v>
          </cell>
          <cell r="R599">
            <v>1.4750000000000001</v>
          </cell>
          <cell r="S599">
            <v>1.2769999999999999</v>
          </cell>
          <cell r="T599">
            <v>1.1040000000000001</v>
          </cell>
          <cell r="U599">
            <v>0.95399999999999996</v>
          </cell>
          <cell r="V599">
            <v>0.82299999999999995</v>
          </cell>
          <cell r="W599">
            <v>0.71499999999999997</v>
          </cell>
          <cell r="X599">
            <v>0.62</v>
          </cell>
          <cell r="Y599">
            <v>0.53700000000000003</v>
          </cell>
          <cell r="Z599">
            <v>0.46400000000000002</v>
          </cell>
          <cell r="AA599">
            <v>0.40200000000000002</v>
          </cell>
          <cell r="AB599">
            <v>0.34200000000000003</v>
          </cell>
          <cell r="AC599">
            <v>0.311</v>
          </cell>
        </row>
        <row r="600">
          <cell r="A600" t="str">
            <v>Obligatory renovation from D to B (Thousand households)</v>
          </cell>
          <cell r="P600">
            <v>24.928000000000001</v>
          </cell>
          <cell r="Q600">
            <v>25.140999999999998</v>
          </cell>
          <cell r="R600">
            <v>23.754999999999999</v>
          </cell>
          <cell r="S600">
            <v>22.28</v>
          </cell>
          <cell r="T600">
            <v>20.878</v>
          </cell>
          <cell r="U600">
            <v>19.516999999999999</v>
          </cell>
          <cell r="V600">
            <v>18.204000000000001</v>
          </cell>
          <cell r="W600">
            <v>16.962</v>
          </cell>
          <cell r="X600">
            <v>15.776999999999999</v>
          </cell>
          <cell r="Y600">
            <v>14.667</v>
          </cell>
          <cell r="Z600">
            <v>13.618</v>
          </cell>
          <cell r="AA600">
            <v>12.635</v>
          </cell>
          <cell r="AB600">
            <v>11.56</v>
          </cell>
          <cell r="AC600">
            <v>11.066000000000001</v>
          </cell>
        </row>
        <row r="601">
          <cell r="A601" t="str">
            <v>Obligatory renovation from D to C (Thousand households)</v>
          </cell>
          <cell r="P601">
            <v>158.80600000000001</v>
          </cell>
          <cell r="Q601">
            <v>137.31200000000001</v>
          </cell>
          <cell r="R601">
            <v>116.492</v>
          </cell>
          <cell r="S601">
            <v>114.26600000000001</v>
          </cell>
          <cell r="T601">
            <v>82.596000000000004</v>
          </cell>
          <cell r="U601">
            <v>69.861999999999995</v>
          </cell>
          <cell r="V601">
            <v>59.066000000000003</v>
          </cell>
          <cell r="W601">
            <v>51.807000000000002</v>
          </cell>
          <cell r="X601">
            <v>45.6</v>
          </cell>
          <cell r="Y601">
            <v>40.146999999999998</v>
          </cell>
          <cell r="Z601">
            <v>35.46</v>
          </cell>
          <cell r="AA601">
            <v>31.419</v>
          </cell>
          <cell r="AB601">
            <v>27.568000000000001</v>
          </cell>
          <cell r="AC601">
            <v>25.082000000000001</v>
          </cell>
        </row>
        <row r="602">
          <cell r="A602" t="str">
            <v>Obligatory renovation from D to D (Thousand households)</v>
          </cell>
          <cell r="P602">
            <v>259.14</v>
          </cell>
          <cell r="Q602">
            <v>229.893</v>
          </cell>
          <cell r="R602">
            <v>207.33099999999999</v>
          </cell>
          <cell r="S602">
            <v>170.29300000000001</v>
          </cell>
          <cell r="T602">
            <v>164.27600000000001</v>
          </cell>
          <cell r="U602">
            <v>145.994</v>
          </cell>
          <cell r="V602">
            <v>129.09100000000001</v>
          </cell>
          <cell r="W602">
            <v>119.568</v>
          </cell>
          <cell r="X602">
            <v>110.699</v>
          </cell>
          <cell r="Y602">
            <v>102.66800000000001</v>
          </cell>
          <cell r="Z602">
            <v>95.186000000000007</v>
          </cell>
          <cell r="AA602">
            <v>88.355000000000004</v>
          </cell>
          <cell r="AB602">
            <v>81.064999999999998</v>
          </cell>
          <cell r="AC602">
            <v>72.951999999999998</v>
          </cell>
        </row>
        <row r="603">
          <cell r="A603" t="str">
            <v>Obligatory renovation from D to E (Thousand households)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</row>
        <row r="604">
          <cell r="A604" t="str">
            <v>Obligatory renovation from E to A (Thousand households)</v>
          </cell>
          <cell r="J604">
            <v>8.6999999999999994E-2</v>
          </cell>
          <cell r="K604">
            <v>7.0000000000000007E-2</v>
          </cell>
          <cell r="L604">
            <v>5.6000000000000001E-2</v>
          </cell>
          <cell r="M604">
            <v>4.4999999999999998E-2</v>
          </cell>
          <cell r="N604">
            <v>3.5000000000000003E-2</v>
          </cell>
          <cell r="O604">
            <v>2.8000000000000001E-2</v>
          </cell>
          <cell r="P604">
            <v>2.1000000000000001E-2</v>
          </cell>
          <cell r="Q604">
            <v>1.7999999999999999E-2</v>
          </cell>
          <cell r="R604">
            <v>1.4E-2</v>
          </cell>
          <cell r="S604">
            <v>0.01</v>
          </cell>
          <cell r="T604">
            <v>7.0000000000000001E-3</v>
          </cell>
          <cell r="U604">
            <v>5.0000000000000001E-3</v>
          </cell>
          <cell r="V604">
            <v>4.0000000000000001E-3</v>
          </cell>
          <cell r="W604">
            <v>3.0000000000000001E-3</v>
          </cell>
          <cell r="X604">
            <v>2E-3</v>
          </cell>
          <cell r="Y604">
            <v>1E-3</v>
          </cell>
          <cell r="Z604">
            <v>1E-3</v>
          </cell>
          <cell r="AA604">
            <v>0</v>
          </cell>
          <cell r="AB604">
            <v>0</v>
          </cell>
          <cell r="AC604">
            <v>0</v>
          </cell>
        </row>
        <row r="605">
          <cell r="A605" t="str">
            <v>Obligatory renovation from E to B (Thousand households)</v>
          </cell>
          <cell r="J605">
            <v>8.99</v>
          </cell>
          <cell r="K605">
            <v>8.3689999999999998</v>
          </cell>
          <cell r="L605">
            <v>7.5170000000000003</v>
          </cell>
          <cell r="M605">
            <v>6.5490000000000004</v>
          </cell>
          <cell r="N605">
            <v>5.5750000000000002</v>
          </cell>
          <cell r="O605">
            <v>4.6669999999999998</v>
          </cell>
          <cell r="P605">
            <v>3.8149999999999999</v>
          </cell>
          <cell r="Q605">
            <v>3.2589999999999999</v>
          </cell>
          <cell r="R605">
            <v>2.5870000000000002</v>
          </cell>
          <cell r="S605">
            <v>1.988</v>
          </cell>
          <cell r="T605">
            <v>1.51</v>
          </cell>
          <cell r="U605">
            <v>1.1279999999999999</v>
          </cell>
          <cell r="V605">
            <v>0.82299999999999995</v>
          </cell>
          <cell r="W605">
            <v>0.58199999999999996</v>
          </cell>
          <cell r="X605">
            <v>0.39500000000000002</v>
          </cell>
          <cell r="Y605">
            <v>0.251</v>
          </cell>
          <cell r="Z605">
            <v>0.14099999999999999</v>
          </cell>
          <cell r="AA605">
            <v>5.8000000000000003E-2</v>
          </cell>
          <cell r="AB605">
            <v>4.7E-2</v>
          </cell>
          <cell r="AC605">
            <v>0.04</v>
          </cell>
        </row>
        <row r="606">
          <cell r="A606" t="str">
            <v>Obligatory renovation from E to C (Thousand households)</v>
          </cell>
          <cell r="J606">
            <v>83.507000000000005</v>
          </cell>
          <cell r="K606">
            <v>63.720999999999997</v>
          </cell>
          <cell r="L606">
            <v>48.503999999999998</v>
          </cell>
          <cell r="M606">
            <v>36.853000000000002</v>
          </cell>
          <cell r="N606">
            <v>27.946000000000002</v>
          </cell>
          <cell r="O606">
            <v>21.146000000000001</v>
          </cell>
          <cell r="P606">
            <v>16.001000000000001</v>
          </cell>
          <cell r="Q606">
            <v>12.573</v>
          </cell>
          <cell r="R606">
            <v>9.49</v>
          </cell>
          <cell r="S606">
            <v>8.5150000000000006</v>
          </cell>
          <cell r="T606">
            <v>4.93</v>
          </cell>
          <cell r="U606">
            <v>3.516</v>
          </cell>
          <cell r="V606">
            <v>2.4590000000000001</v>
          </cell>
          <cell r="W606">
            <v>1.708</v>
          </cell>
          <cell r="X606">
            <v>1.143</v>
          </cell>
          <cell r="Y606">
            <v>0.72699999999999998</v>
          </cell>
          <cell r="Z606">
            <v>0.41399999999999998</v>
          </cell>
          <cell r="AA606">
            <v>0.188</v>
          </cell>
          <cell r="AB606">
            <v>0.17</v>
          </cell>
          <cell r="AC606">
            <v>0.161</v>
          </cell>
        </row>
        <row r="607">
          <cell r="A607" t="str">
            <v>Obligatory renovation from E to D (Thousand households)</v>
          </cell>
          <cell r="J607">
            <v>124.54</v>
          </cell>
          <cell r="K607">
            <v>96.317999999999998</v>
          </cell>
          <cell r="L607">
            <v>74.156000000000006</v>
          </cell>
          <cell r="M607">
            <v>56.768000000000001</v>
          </cell>
          <cell r="N607">
            <v>43.16</v>
          </cell>
          <cell r="O607">
            <v>33.564</v>
          </cell>
          <cell r="P607">
            <v>25.943999999999999</v>
          </cell>
          <cell r="Q607">
            <v>19.22</v>
          </cell>
          <cell r="R607">
            <v>14.696</v>
          </cell>
          <cell r="S607">
            <v>9.0739999999999998</v>
          </cell>
          <cell r="T607">
            <v>7.9260000000000002</v>
          </cell>
          <cell r="U607">
            <v>5.7240000000000002</v>
          </cell>
          <cell r="V607">
            <v>4.0419999999999998</v>
          </cell>
          <cell r="W607">
            <v>2.8220000000000001</v>
          </cell>
          <cell r="X607">
            <v>1.891</v>
          </cell>
          <cell r="Y607">
            <v>1.1910000000000001</v>
          </cell>
          <cell r="Z607">
            <v>0.66500000000000004</v>
          </cell>
          <cell r="AA607">
            <v>0.27700000000000002</v>
          </cell>
          <cell r="AB607">
            <v>0.22700000000000001</v>
          </cell>
          <cell r="AC607">
            <v>0.18</v>
          </cell>
        </row>
        <row r="608">
          <cell r="A608" t="str">
            <v>Obligatory renovation from E to E (Thousand households)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</row>
        <row r="609">
          <cell r="A609" t="str">
            <v>Obligatory renovation from E to F (Thousand households)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</row>
        <row r="610">
          <cell r="A610" t="str">
            <v>Obligatory renovation from F to B (Thousand households)</v>
          </cell>
          <cell r="E610">
            <v>0.88500000000000001</v>
          </cell>
          <cell r="F610">
            <v>0.74199999999999999</v>
          </cell>
          <cell r="G610">
            <v>0.622</v>
          </cell>
          <cell r="H610">
            <v>0.52400000000000002</v>
          </cell>
          <cell r="I610">
            <v>0.43</v>
          </cell>
          <cell r="J610">
            <v>0.34799999999999998</v>
          </cell>
          <cell r="K610">
            <v>0.28199999999999997</v>
          </cell>
          <cell r="L610">
            <v>0.22700000000000001</v>
          </cell>
          <cell r="M610">
            <v>0.182</v>
          </cell>
          <cell r="N610">
            <v>0.14599999999999999</v>
          </cell>
          <cell r="O610">
            <v>0.11600000000000001</v>
          </cell>
          <cell r="P610">
            <v>9.1999999999999998E-2</v>
          </cell>
          <cell r="Q610">
            <v>7.3999999999999996E-2</v>
          </cell>
          <cell r="R610">
            <v>5.8000000000000003E-2</v>
          </cell>
          <cell r="S610">
            <v>4.3999999999999997E-2</v>
          </cell>
          <cell r="T610">
            <v>3.3000000000000002E-2</v>
          </cell>
          <cell r="U610">
            <v>2.5000000000000001E-2</v>
          </cell>
          <cell r="V610">
            <v>1.7999999999999999E-2</v>
          </cell>
          <cell r="W610">
            <v>1.2E-2</v>
          </cell>
          <cell r="X610">
            <v>8.0000000000000002E-3</v>
          </cell>
          <cell r="Y610">
            <v>5.0000000000000001E-3</v>
          </cell>
          <cell r="Z610">
            <v>3.0000000000000001E-3</v>
          </cell>
          <cell r="AA610">
            <v>1E-3</v>
          </cell>
          <cell r="AB610">
            <v>1E-3</v>
          </cell>
          <cell r="AC610">
            <v>1E-3</v>
          </cell>
        </row>
        <row r="611">
          <cell r="A611" t="str">
            <v>Obligatory renovation from F to C (Thousand households)</v>
          </cell>
          <cell r="E611">
            <v>50.481000000000002</v>
          </cell>
          <cell r="F611">
            <v>38.9</v>
          </cell>
          <cell r="G611">
            <v>29.768000000000001</v>
          </cell>
          <cell r="H611">
            <v>22.817</v>
          </cell>
          <cell r="I611">
            <v>17.122</v>
          </cell>
          <cell r="J611">
            <v>12.782999999999999</v>
          </cell>
          <cell r="K611">
            <v>9.4640000000000004</v>
          </cell>
          <cell r="L611">
            <v>6.9610000000000003</v>
          </cell>
          <cell r="M611">
            <v>5.0890000000000004</v>
          </cell>
          <cell r="N611">
            <v>3.698</v>
          </cell>
          <cell r="O611">
            <v>2.74</v>
          </cell>
          <cell r="P611">
            <v>2.0390000000000001</v>
          </cell>
          <cell r="Q611">
            <v>1.526</v>
          </cell>
          <cell r="R611">
            <v>1.1240000000000001</v>
          </cell>
          <cell r="S611">
            <v>0.75</v>
          </cell>
          <cell r="T611">
            <v>0.53500000000000003</v>
          </cell>
          <cell r="U611">
            <v>0.378</v>
          </cell>
          <cell r="V611">
            <v>0.25900000000000001</v>
          </cell>
          <cell r="W611">
            <v>0.189</v>
          </cell>
          <cell r="X611">
            <v>0.13200000000000001</v>
          </cell>
          <cell r="Y611">
            <v>9.2999999999999999E-2</v>
          </cell>
          <cell r="Z611">
            <v>5.8999999999999997E-2</v>
          </cell>
          <cell r="AA611">
            <v>3.2000000000000001E-2</v>
          </cell>
          <cell r="AB611">
            <v>3.4000000000000002E-2</v>
          </cell>
          <cell r="AC611">
            <v>3.5000000000000003E-2</v>
          </cell>
        </row>
        <row r="612">
          <cell r="A612" t="str">
            <v>Obligatory renovation from F to D (Thousand households)</v>
          </cell>
          <cell r="E612">
            <v>40.439</v>
          </cell>
          <cell r="F612">
            <v>30.067</v>
          </cell>
          <cell r="G612">
            <v>22.28</v>
          </cell>
          <cell r="H612">
            <v>16.053999999999998</v>
          </cell>
          <cell r="I612">
            <v>11.731</v>
          </cell>
          <cell r="J612">
            <v>8.5370000000000008</v>
          </cell>
          <cell r="K612">
            <v>6.15</v>
          </cell>
          <cell r="L612">
            <v>4.3810000000000002</v>
          </cell>
          <cell r="M612">
            <v>3.081</v>
          </cell>
          <cell r="N612">
            <v>2.1320000000000001</v>
          </cell>
          <cell r="O612">
            <v>1.5589999999999999</v>
          </cell>
          <cell r="P612">
            <v>1.137</v>
          </cell>
          <cell r="Q612">
            <v>0.80200000000000005</v>
          </cell>
          <cell r="R612">
            <v>0.56899999999999995</v>
          </cell>
          <cell r="S612">
            <v>0.378</v>
          </cell>
          <cell r="T612">
            <v>0.25600000000000001</v>
          </cell>
          <cell r="U612">
            <v>0.16900000000000001</v>
          </cell>
          <cell r="V612">
            <v>0.108</v>
          </cell>
          <cell r="W612">
            <v>7.5999999999999998E-2</v>
          </cell>
          <cell r="X612">
            <v>5.0999999999999997E-2</v>
          </cell>
          <cell r="Y612">
            <v>3.4000000000000002E-2</v>
          </cell>
          <cell r="Z612">
            <v>2.1000000000000001E-2</v>
          </cell>
          <cell r="AA612">
            <v>1.0999999999999999E-2</v>
          </cell>
          <cell r="AB612">
            <v>1.0999999999999999E-2</v>
          </cell>
          <cell r="AC612">
            <v>1.0999999999999999E-2</v>
          </cell>
        </row>
        <row r="613">
          <cell r="A613" t="str">
            <v>Obligatory renovation from F to E (Thousand households)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</row>
        <row r="614">
          <cell r="A614" t="str">
            <v>Obligatory renovation from F to F (Thousand households)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</row>
        <row r="615">
          <cell r="A615" t="str">
            <v>Obligatory renovation from F to G (Thousand households)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</row>
        <row r="616">
          <cell r="A616" t="str">
            <v>Obligatory renovation from G to B (Thousand households)</v>
          </cell>
          <cell r="C616">
            <v>0.39200000000000002</v>
          </cell>
          <cell r="D616">
            <v>0.318</v>
          </cell>
          <cell r="E616">
            <v>0.40400000000000003</v>
          </cell>
          <cell r="F616">
            <v>0.32900000000000001</v>
          </cell>
          <cell r="G616">
            <v>0.26700000000000002</v>
          </cell>
          <cell r="H616">
            <v>0.221</v>
          </cell>
          <cell r="I616">
            <v>0.17599999999999999</v>
          </cell>
          <cell r="J616">
            <v>0.13800000000000001</v>
          </cell>
          <cell r="K616">
            <v>0.108</v>
          </cell>
          <cell r="L616">
            <v>8.5000000000000006E-2</v>
          </cell>
          <cell r="M616">
            <v>6.6000000000000003E-2</v>
          </cell>
          <cell r="N616">
            <v>5.1999999999999998E-2</v>
          </cell>
          <cell r="O616">
            <v>0.04</v>
          </cell>
          <cell r="P616">
            <v>3.1E-2</v>
          </cell>
          <cell r="Q616">
            <v>2.4E-2</v>
          </cell>
          <cell r="R616">
            <v>1.9E-2</v>
          </cell>
          <cell r="S616">
            <v>1.4E-2</v>
          </cell>
          <cell r="T616">
            <v>0.01</v>
          </cell>
          <cell r="U616">
            <v>7.0000000000000001E-3</v>
          </cell>
          <cell r="V616">
            <v>5.0000000000000001E-3</v>
          </cell>
          <cell r="W616">
            <v>3.0000000000000001E-3</v>
          </cell>
          <cell r="X616">
            <v>2E-3</v>
          </cell>
          <cell r="Y616">
            <v>1E-3</v>
          </cell>
          <cell r="Z616">
            <v>1E-3</v>
          </cell>
          <cell r="AA616">
            <v>0</v>
          </cell>
          <cell r="AB616">
            <v>0</v>
          </cell>
          <cell r="AC616">
            <v>0</v>
          </cell>
        </row>
        <row r="617">
          <cell r="A617" t="str">
            <v>Obligatory renovation from G to C (Thousand households)</v>
          </cell>
          <cell r="C617">
            <v>33.600999999999999</v>
          </cell>
          <cell r="D617">
            <v>26.952000000000002</v>
          </cell>
          <cell r="E617">
            <v>20.765000000000001</v>
          </cell>
          <cell r="F617">
            <v>15.586</v>
          </cell>
          <cell r="G617">
            <v>11.670999999999999</v>
          </cell>
          <cell r="H617">
            <v>8.7390000000000008</v>
          </cell>
          <cell r="I617">
            <v>6.4240000000000004</v>
          </cell>
          <cell r="J617">
            <v>4.7530000000000001</v>
          </cell>
          <cell r="K617">
            <v>3.4889999999999999</v>
          </cell>
          <cell r="L617">
            <v>2.5569999999999999</v>
          </cell>
          <cell r="M617">
            <v>1.871</v>
          </cell>
          <cell r="N617">
            <v>1.3660000000000001</v>
          </cell>
          <cell r="O617">
            <v>0.99</v>
          </cell>
          <cell r="P617">
            <v>0.71699999999999997</v>
          </cell>
          <cell r="Q617">
            <v>0.52</v>
          </cell>
          <cell r="R617">
            <v>0.36699999999999999</v>
          </cell>
          <cell r="S617">
            <v>0.251</v>
          </cell>
          <cell r="T617">
            <v>0.16700000000000001</v>
          </cell>
          <cell r="U617">
            <v>0.108</v>
          </cell>
          <cell r="V617">
            <v>6.7000000000000004E-2</v>
          </cell>
          <cell r="W617">
            <v>4.4999999999999998E-2</v>
          </cell>
          <cell r="X617">
            <v>2.9000000000000001E-2</v>
          </cell>
          <cell r="Y617">
            <v>1.7999999999999999E-2</v>
          </cell>
          <cell r="Z617">
            <v>8.9999999999999993E-3</v>
          </cell>
          <cell r="AA617">
            <v>4.0000000000000001E-3</v>
          </cell>
          <cell r="AB617">
            <v>3.0000000000000001E-3</v>
          </cell>
          <cell r="AC617">
            <v>2E-3</v>
          </cell>
        </row>
        <row r="618">
          <cell r="A618" t="str">
            <v>Obligatory renovation from G to D (Thousand households)</v>
          </cell>
          <cell r="C618">
            <v>34.076999999999998</v>
          </cell>
          <cell r="D618">
            <v>24.013000000000002</v>
          </cell>
          <cell r="E618">
            <v>16.385999999999999</v>
          </cell>
          <cell r="F618">
            <v>11.539</v>
          </cell>
          <cell r="G618">
            <v>8.0960000000000001</v>
          </cell>
          <cell r="H618">
            <v>5.3369999999999997</v>
          </cell>
          <cell r="I618">
            <v>3.613</v>
          </cell>
          <cell r="J618">
            <v>2.4510000000000001</v>
          </cell>
          <cell r="K618">
            <v>1.647</v>
          </cell>
          <cell r="L618">
            <v>1.0980000000000001</v>
          </cell>
          <cell r="M618">
            <v>0.72699999999999998</v>
          </cell>
          <cell r="N618">
            <v>0.47599999999999998</v>
          </cell>
          <cell r="O618">
            <v>0.34499999999999997</v>
          </cell>
          <cell r="P618">
            <v>0.249</v>
          </cell>
          <cell r="Q618">
            <v>0.17</v>
          </cell>
          <cell r="R618">
            <v>0.12</v>
          </cell>
          <cell r="S618">
            <v>8.2000000000000003E-2</v>
          </cell>
          <cell r="T618">
            <v>5.5E-2</v>
          </cell>
          <cell r="U618">
            <v>3.5999999999999997E-2</v>
          </cell>
          <cell r="V618">
            <v>2.1999999999999999E-2</v>
          </cell>
          <cell r="W618">
            <v>1.4999999999999999E-2</v>
          </cell>
          <cell r="X618">
            <v>0.01</v>
          </cell>
          <cell r="Y618">
            <v>6.0000000000000001E-3</v>
          </cell>
          <cell r="Z618">
            <v>3.0000000000000001E-3</v>
          </cell>
          <cell r="AA618">
            <v>1E-3</v>
          </cell>
          <cell r="AB618">
            <v>1E-3</v>
          </cell>
          <cell r="AC618">
            <v>1E-3</v>
          </cell>
        </row>
        <row r="619">
          <cell r="A619" t="str">
            <v>Obligatory renovation from G to E (Thousand households)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</row>
        <row r="620">
          <cell r="A620" t="str">
            <v>Obligatory renovation from G to F (Thousand households)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</row>
        <row r="621">
          <cell r="A621" t="str">
            <v>Obligatory renovation from G to G (Thousand households)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</row>
        <row r="622">
          <cell r="A622" t="str">
            <v>Over cap (Billion euro)</v>
          </cell>
          <cell r="C622">
            <v>0</v>
          </cell>
          <cell r="D622">
            <v>9.0999999999999998E-2</v>
          </cell>
          <cell r="E622">
            <v>0.19900000000000001</v>
          </cell>
          <cell r="F622">
            <v>0.20599999999999999</v>
          </cell>
          <cell r="G622">
            <v>0.20699999999999999</v>
          </cell>
          <cell r="H622">
            <v>0.22600000000000001</v>
          </cell>
          <cell r="I622">
            <v>0.22900000000000001</v>
          </cell>
          <cell r="J622">
            <v>0.316</v>
          </cell>
          <cell r="K622">
            <v>0.28999999999999998</v>
          </cell>
          <cell r="L622">
            <v>0.27200000000000002</v>
          </cell>
          <cell r="M622">
            <v>0.253</v>
          </cell>
          <cell r="N622">
            <v>0.24</v>
          </cell>
          <cell r="O622">
            <v>0.20200000000000001</v>
          </cell>
          <cell r="P622">
            <v>0.22600000000000001</v>
          </cell>
          <cell r="Q622">
            <v>0.218</v>
          </cell>
          <cell r="R622">
            <v>0.19</v>
          </cell>
          <cell r="S622">
            <v>0.27100000000000002</v>
          </cell>
          <cell r="T622">
            <v>0.153</v>
          </cell>
          <cell r="U622">
            <v>0.14000000000000001</v>
          </cell>
          <cell r="V622">
            <v>0.112</v>
          </cell>
          <cell r="W622">
            <v>0.111</v>
          </cell>
          <cell r="X622">
            <v>0.104</v>
          </cell>
          <cell r="Y622">
            <v>0.1</v>
          </cell>
          <cell r="Z622">
            <v>9.4E-2</v>
          </cell>
          <cell r="AA622">
            <v>8.6999999999999994E-2</v>
          </cell>
          <cell r="AB622">
            <v>8.1000000000000003E-2</v>
          </cell>
          <cell r="AC622">
            <v>7.8E-2</v>
          </cell>
        </row>
        <row r="623">
          <cell r="A623" t="str">
            <v>Over cap (Thousand households)</v>
          </cell>
          <cell r="C623">
            <v>0.41199999999999998</v>
          </cell>
          <cell r="D623">
            <v>116.91500000000001</v>
          </cell>
          <cell r="E623">
            <v>182.11199999999999</v>
          </cell>
          <cell r="F623">
            <v>182.554</v>
          </cell>
          <cell r="G623">
            <v>234.166</v>
          </cell>
          <cell r="H623">
            <v>236.226</v>
          </cell>
          <cell r="I623">
            <v>282.75</v>
          </cell>
          <cell r="J623">
            <v>416.29199999999997</v>
          </cell>
          <cell r="K623">
            <v>558.88</v>
          </cell>
          <cell r="L623">
            <v>517.64400000000001</v>
          </cell>
          <cell r="M623">
            <v>478.89400000000001</v>
          </cell>
          <cell r="N623">
            <v>449.22</v>
          </cell>
          <cell r="O623">
            <v>390.74299999999999</v>
          </cell>
          <cell r="P623">
            <v>488.59500000000003</v>
          </cell>
          <cell r="Q623">
            <v>454.32400000000001</v>
          </cell>
          <cell r="R623">
            <v>399.04399999999998</v>
          </cell>
          <cell r="S623">
            <v>430.58300000000003</v>
          </cell>
          <cell r="T623">
            <v>338.74099999999999</v>
          </cell>
          <cell r="U623">
            <v>315.24599999999998</v>
          </cell>
          <cell r="V623">
            <v>268.12799999999999</v>
          </cell>
          <cell r="W623">
            <v>308.77300000000002</v>
          </cell>
          <cell r="X623">
            <v>295.04199999999997</v>
          </cell>
          <cell r="Y623">
            <v>288.04700000000003</v>
          </cell>
          <cell r="Z623">
            <v>276.84399999999999</v>
          </cell>
          <cell r="AA623">
            <v>259.26600000000002</v>
          </cell>
          <cell r="AB623">
            <v>243.09700000000001</v>
          </cell>
          <cell r="AC623">
            <v>229.17400000000001</v>
          </cell>
        </row>
        <row r="624">
          <cell r="A624" t="str">
            <v>Over cap heater (Billion euro)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5.0000000000000001E-3</v>
          </cell>
          <cell r="L624">
            <v>1.2E-2</v>
          </cell>
          <cell r="M624">
            <v>1.9E-2</v>
          </cell>
          <cell r="N624">
            <v>2.5999999999999999E-2</v>
          </cell>
          <cell r="O624">
            <v>0.02</v>
          </cell>
          <cell r="P624">
            <v>0.02</v>
          </cell>
          <cell r="Q624">
            <v>0.02</v>
          </cell>
          <cell r="R624">
            <v>1.7999999999999999E-2</v>
          </cell>
          <cell r="S624">
            <v>1.9E-2</v>
          </cell>
          <cell r="T624">
            <v>1.7000000000000001E-2</v>
          </cell>
          <cell r="U624">
            <v>1.7000000000000001E-2</v>
          </cell>
          <cell r="V624">
            <v>1.6E-2</v>
          </cell>
          <cell r="W624">
            <v>2.8000000000000001E-2</v>
          </cell>
          <cell r="X624">
            <v>2.9000000000000001E-2</v>
          </cell>
          <cell r="Y624">
            <v>2.9000000000000001E-2</v>
          </cell>
          <cell r="Z624">
            <v>0.03</v>
          </cell>
          <cell r="AA624">
            <v>2.8000000000000001E-2</v>
          </cell>
          <cell r="AB624">
            <v>2.5999999999999999E-2</v>
          </cell>
          <cell r="AC624">
            <v>2.4E-2</v>
          </cell>
        </row>
        <row r="625">
          <cell r="A625" t="str">
            <v>Over cap heater (Thousand households)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196.553</v>
          </cell>
          <cell r="L625">
            <v>198.53800000000001</v>
          </cell>
          <cell r="M625">
            <v>200.10599999999999</v>
          </cell>
          <cell r="N625">
            <v>201.20699999999999</v>
          </cell>
          <cell r="O625">
            <v>157.416</v>
          </cell>
          <cell r="P625">
            <v>157.24799999999999</v>
          </cell>
          <cell r="Q625">
            <v>156.161</v>
          </cell>
          <cell r="R625">
            <v>136.333</v>
          </cell>
          <cell r="S625">
            <v>141.13499999999999</v>
          </cell>
          <cell r="T625">
            <v>125.068</v>
          </cell>
          <cell r="U625">
            <v>123.59699999999999</v>
          </cell>
          <cell r="V625">
            <v>113.46299999999999</v>
          </cell>
          <cell r="W625">
            <v>169.946</v>
          </cell>
          <cell r="X625">
            <v>169.57</v>
          </cell>
          <cell r="Y625">
            <v>172.9</v>
          </cell>
          <cell r="Z625">
            <v>172.41800000000001</v>
          </cell>
          <cell r="AA625">
            <v>163.827</v>
          </cell>
          <cell r="AB625">
            <v>154.626</v>
          </cell>
          <cell r="AC625">
            <v>145.31800000000001</v>
          </cell>
        </row>
        <row r="626">
          <cell r="A626" t="str">
            <v>Over cap heater C1 (Thousand households)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</row>
        <row r="627">
          <cell r="A627" t="str">
            <v>Over cap heater C2 (Thousand households)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</row>
        <row r="628">
          <cell r="A628" t="str">
            <v>Over cap heater C3 (Thousand households)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</row>
        <row r="629">
          <cell r="A629" t="str">
            <v>Over cap heater C4 (Thousand households)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196.553</v>
          </cell>
          <cell r="L629">
            <v>198.53800000000001</v>
          </cell>
          <cell r="M629">
            <v>200.10599999999999</v>
          </cell>
          <cell r="N629">
            <v>201.20699999999999</v>
          </cell>
          <cell r="O629">
            <v>157.416</v>
          </cell>
          <cell r="P629">
            <v>157.24799999999999</v>
          </cell>
          <cell r="Q629">
            <v>156.161</v>
          </cell>
          <cell r="R629">
            <v>136.333</v>
          </cell>
          <cell r="S629">
            <v>141.13499999999999</v>
          </cell>
          <cell r="T629">
            <v>125.068</v>
          </cell>
          <cell r="U629">
            <v>123.59699999999999</v>
          </cell>
          <cell r="V629">
            <v>113.46299999999999</v>
          </cell>
          <cell r="W629">
            <v>169.946</v>
          </cell>
          <cell r="X629">
            <v>169.57</v>
          </cell>
          <cell r="Y629">
            <v>172.9</v>
          </cell>
          <cell r="Z629">
            <v>172.41800000000001</v>
          </cell>
          <cell r="AA629">
            <v>163.827</v>
          </cell>
          <cell r="AB629">
            <v>154.626</v>
          </cell>
          <cell r="AC629">
            <v>145.31800000000001</v>
          </cell>
        </row>
        <row r="630">
          <cell r="A630" t="str">
            <v>Over cap heater C5 (Thousand households)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</row>
        <row r="631">
          <cell r="A631" t="str">
            <v>Over cap heater Multi-family (Thousand households)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</row>
        <row r="632">
          <cell r="A632" t="str">
            <v>Over cap heater Single-family (Thousand households)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196.553</v>
          </cell>
          <cell r="L632">
            <v>198.53800000000001</v>
          </cell>
          <cell r="M632">
            <v>200.10599999999999</v>
          </cell>
          <cell r="N632">
            <v>201.20699999999999</v>
          </cell>
          <cell r="O632">
            <v>157.416</v>
          </cell>
          <cell r="P632">
            <v>157.24799999999999</v>
          </cell>
          <cell r="Q632">
            <v>156.161</v>
          </cell>
          <cell r="R632">
            <v>136.333</v>
          </cell>
          <cell r="S632">
            <v>141.13499999999999</v>
          </cell>
          <cell r="T632">
            <v>125.068</v>
          </cell>
          <cell r="U632">
            <v>123.59699999999999</v>
          </cell>
          <cell r="V632">
            <v>113.46299999999999</v>
          </cell>
          <cell r="W632">
            <v>169.946</v>
          </cell>
          <cell r="X632">
            <v>169.57</v>
          </cell>
          <cell r="Y632">
            <v>172.9</v>
          </cell>
          <cell r="Z632">
            <v>172.41800000000001</v>
          </cell>
          <cell r="AA632">
            <v>163.827</v>
          </cell>
          <cell r="AB632">
            <v>154.626</v>
          </cell>
          <cell r="AC632">
            <v>145.31800000000001</v>
          </cell>
        </row>
        <row r="633">
          <cell r="A633" t="str">
            <v>Over cap insulation (Billion euro)</v>
          </cell>
          <cell r="C633">
            <v>0</v>
          </cell>
          <cell r="D633">
            <v>9.0999999999999998E-2</v>
          </cell>
          <cell r="E633">
            <v>0.19900000000000001</v>
          </cell>
          <cell r="F633">
            <v>0.20599999999999999</v>
          </cell>
          <cell r="G633">
            <v>0.20699999999999999</v>
          </cell>
          <cell r="H633">
            <v>0.22600000000000001</v>
          </cell>
          <cell r="I633">
            <v>0.22900000000000001</v>
          </cell>
          <cell r="J633">
            <v>0.316</v>
          </cell>
          <cell r="K633">
            <v>0.28499999999999998</v>
          </cell>
          <cell r="L633">
            <v>0.26</v>
          </cell>
          <cell r="M633">
            <v>0.23400000000000001</v>
          </cell>
          <cell r="N633">
            <v>0.214</v>
          </cell>
          <cell r="O633">
            <v>0.182</v>
          </cell>
          <cell r="P633">
            <v>0.20599999999999999</v>
          </cell>
          <cell r="Q633">
            <v>0.19800000000000001</v>
          </cell>
          <cell r="R633">
            <v>0.17199999999999999</v>
          </cell>
          <cell r="S633">
            <v>0.253</v>
          </cell>
          <cell r="T633">
            <v>0.13600000000000001</v>
          </cell>
          <cell r="U633">
            <v>0.124</v>
          </cell>
          <cell r="V633">
            <v>9.6000000000000002E-2</v>
          </cell>
          <cell r="W633">
            <v>8.3000000000000004E-2</v>
          </cell>
          <cell r="X633">
            <v>7.4999999999999997E-2</v>
          </cell>
          <cell r="Y633">
            <v>7.0999999999999994E-2</v>
          </cell>
          <cell r="Z633">
            <v>6.4000000000000001E-2</v>
          </cell>
          <cell r="AA633">
            <v>5.8999999999999997E-2</v>
          </cell>
          <cell r="AB633">
            <v>5.5E-2</v>
          </cell>
          <cell r="AC633">
            <v>5.2999999999999999E-2</v>
          </cell>
        </row>
        <row r="634">
          <cell r="A634" t="str">
            <v>Over cap insulation (Thousand households)</v>
          </cell>
          <cell r="C634">
            <v>0.41199999999999998</v>
          </cell>
          <cell r="D634">
            <v>116.91500000000001</v>
          </cell>
          <cell r="E634">
            <v>182.11199999999999</v>
          </cell>
          <cell r="F634">
            <v>182.554</v>
          </cell>
          <cell r="G634">
            <v>234.166</v>
          </cell>
          <cell r="H634">
            <v>236.226</v>
          </cell>
          <cell r="I634">
            <v>282.75</v>
          </cell>
          <cell r="J634">
            <v>416.29199999999997</v>
          </cell>
          <cell r="K634">
            <v>362.327</v>
          </cell>
          <cell r="L634">
            <v>319.10599999999999</v>
          </cell>
          <cell r="M634">
            <v>278.78800000000001</v>
          </cell>
          <cell r="N634">
            <v>248.012</v>
          </cell>
          <cell r="O634">
            <v>233.328</v>
          </cell>
          <cell r="P634">
            <v>331.34699999999998</v>
          </cell>
          <cell r="Q634">
            <v>298.16300000000001</v>
          </cell>
          <cell r="R634">
            <v>262.71100000000001</v>
          </cell>
          <cell r="S634">
            <v>289.44799999999998</v>
          </cell>
          <cell r="T634">
            <v>213.67400000000001</v>
          </cell>
          <cell r="U634">
            <v>191.649</v>
          </cell>
          <cell r="V634">
            <v>154.66499999999999</v>
          </cell>
          <cell r="W634">
            <v>138.827</v>
          </cell>
          <cell r="X634">
            <v>125.47199999999999</v>
          </cell>
          <cell r="Y634">
            <v>115.14700000000001</v>
          </cell>
          <cell r="Z634">
            <v>104.426</v>
          </cell>
          <cell r="AA634">
            <v>95.438999999999993</v>
          </cell>
          <cell r="AB634">
            <v>88.471000000000004</v>
          </cell>
          <cell r="AC634">
            <v>83.856999999999999</v>
          </cell>
        </row>
        <row r="635">
          <cell r="A635" t="str">
            <v>Over cap insulation C1 (Thousand households)</v>
          </cell>
          <cell r="C635">
            <v>0</v>
          </cell>
          <cell r="D635">
            <v>0</v>
          </cell>
          <cell r="E635">
            <v>9.8409999999999993</v>
          </cell>
          <cell r="F635">
            <v>10.028</v>
          </cell>
          <cell r="G635">
            <v>9.8819999999999997</v>
          </cell>
          <cell r="H635">
            <v>10.015000000000001</v>
          </cell>
          <cell r="I635">
            <v>9.8770000000000007</v>
          </cell>
          <cell r="J635">
            <v>9.7899999999999991</v>
          </cell>
          <cell r="K635">
            <v>9.6820000000000004</v>
          </cell>
          <cell r="L635">
            <v>9.6340000000000003</v>
          </cell>
          <cell r="M635">
            <v>9.5939999999999994</v>
          </cell>
          <cell r="N635">
            <v>9.5670000000000002</v>
          </cell>
          <cell r="O635">
            <v>6.1589999999999998</v>
          </cell>
          <cell r="P635">
            <v>6.0839999999999996</v>
          </cell>
          <cell r="Q635">
            <v>6.0890000000000004</v>
          </cell>
          <cell r="R635">
            <v>5.4589999999999996</v>
          </cell>
          <cell r="S635">
            <v>5.5519999999999996</v>
          </cell>
          <cell r="T635">
            <v>4.9610000000000003</v>
          </cell>
          <cell r="U635">
            <v>4.8289999999999997</v>
          </cell>
          <cell r="V635">
            <v>4.4589999999999996</v>
          </cell>
          <cell r="W635">
            <v>3.5859999999999999</v>
          </cell>
          <cell r="X635">
            <v>3.3519999999999999</v>
          </cell>
          <cell r="Y635">
            <v>3.427</v>
          </cell>
          <cell r="Z635">
            <v>3.1949999999999998</v>
          </cell>
          <cell r="AA635">
            <v>3.0329999999999999</v>
          </cell>
          <cell r="AB635">
            <v>2.8719999999999999</v>
          </cell>
          <cell r="AC635">
            <v>2.7610000000000001</v>
          </cell>
        </row>
        <row r="636">
          <cell r="A636" t="str">
            <v>Over cap insulation C2 (Thousand households)</v>
          </cell>
          <cell r="C636">
            <v>0</v>
          </cell>
          <cell r="D636">
            <v>0</v>
          </cell>
          <cell r="E636">
            <v>8.1839999999999993</v>
          </cell>
          <cell r="F636">
            <v>8.59</v>
          </cell>
          <cell r="G636">
            <v>8.5890000000000004</v>
          </cell>
          <cell r="H636">
            <v>8.798</v>
          </cell>
          <cell r="I636">
            <v>8.5839999999999996</v>
          </cell>
          <cell r="J636">
            <v>8.4860000000000007</v>
          </cell>
          <cell r="K636">
            <v>8.3190000000000008</v>
          </cell>
          <cell r="L636">
            <v>8.2289999999999992</v>
          </cell>
          <cell r="M636">
            <v>8.1440000000000001</v>
          </cell>
          <cell r="N636">
            <v>8.0690000000000008</v>
          </cell>
          <cell r="O636">
            <v>5.3449999999999998</v>
          </cell>
          <cell r="P636">
            <v>5.2640000000000002</v>
          </cell>
          <cell r="Q636">
            <v>5.3</v>
          </cell>
          <cell r="R636">
            <v>4.7039999999999997</v>
          </cell>
          <cell r="S636">
            <v>4.7640000000000002</v>
          </cell>
          <cell r="T636">
            <v>4.1740000000000004</v>
          </cell>
          <cell r="U636">
            <v>4.0259999999999998</v>
          </cell>
          <cell r="V636">
            <v>3.6789999999999998</v>
          </cell>
          <cell r="W636">
            <v>3.3919999999999999</v>
          </cell>
          <cell r="X636">
            <v>3.21</v>
          </cell>
          <cell r="Y636">
            <v>3.2519999999999998</v>
          </cell>
          <cell r="Z636">
            <v>3.0739999999999998</v>
          </cell>
          <cell r="AA636">
            <v>2.952</v>
          </cell>
          <cell r="AB636">
            <v>2.7789999999999999</v>
          </cell>
          <cell r="AC636">
            <v>2.7570000000000001</v>
          </cell>
        </row>
        <row r="637">
          <cell r="A637" t="str">
            <v>Over cap insulation C3 (Thousand households)</v>
          </cell>
          <cell r="C637">
            <v>0</v>
          </cell>
          <cell r="D637">
            <v>0.12</v>
          </cell>
          <cell r="E637">
            <v>6.3250000000000002</v>
          </cell>
          <cell r="F637">
            <v>6.3470000000000004</v>
          </cell>
          <cell r="G637">
            <v>6.1059999999999999</v>
          </cell>
          <cell r="H637">
            <v>6.2240000000000002</v>
          </cell>
          <cell r="I637">
            <v>59.845999999999997</v>
          </cell>
          <cell r="J637">
            <v>51.021000000000001</v>
          </cell>
          <cell r="K637">
            <v>41.74</v>
          </cell>
          <cell r="L637">
            <v>35.088999999999999</v>
          </cell>
          <cell r="M637">
            <v>30.257000000000001</v>
          </cell>
          <cell r="N637">
            <v>26.715</v>
          </cell>
          <cell r="O637">
            <v>23.036000000000001</v>
          </cell>
          <cell r="P637">
            <v>24.724</v>
          </cell>
          <cell r="Q637">
            <v>24.446000000000002</v>
          </cell>
          <cell r="R637">
            <v>22.032</v>
          </cell>
          <cell r="S637">
            <v>23.199000000000002</v>
          </cell>
          <cell r="T637">
            <v>20.332000000000001</v>
          </cell>
          <cell r="U637">
            <v>18.864000000000001</v>
          </cell>
          <cell r="V637">
            <v>17.434999999999999</v>
          </cell>
          <cell r="W637">
            <v>15.82</v>
          </cell>
          <cell r="X637">
            <v>14.829000000000001</v>
          </cell>
          <cell r="Y637">
            <v>14.121</v>
          </cell>
          <cell r="Z637">
            <v>13.284000000000001</v>
          </cell>
          <cell r="AA637">
            <v>12.584</v>
          </cell>
          <cell r="AB637">
            <v>11.986000000000001</v>
          </cell>
          <cell r="AC637">
            <v>11.917</v>
          </cell>
        </row>
        <row r="638">
          <cell r="A638" t="str">
            <v>Over cap insulation C4 (Thousand households)</v>
          </cell>
          <cell r="C638">
            <v>0.14299999999999999</v>
          </cell>
          <cell r="D638">
            <v>20.95</v>
          </cell>
          <cell r="E638">
            <v>29.253</v>
          </cell>
          <cell r="F638">
            <v>27.582000000000001</v>
          </cell>
          <cell r="G638">
            <v>79.275000000000006</v>
          </cell>
          <cell r="H638">
            <v>82.769000000000005</v>
          </cell>
          <cell r="I638">
            <v>78.441000000000003</v>
          </cell>
          <cell r="J638">
            <v>105.27500000000001</v>
          </cell>
          <cell r="K638">
            <v>87.343999999999994</v>
          </cell>
          <cell r="L638">
            <v>73.245999999999995</v>
          </cell>
          <cell r="M638">
            <v>62.134999999999998</v>
          </cell>
          <cell r="N638">
            <v>53.402000000000001</v>
          </cell>
          <cell r="O638">
            <v>53.01</v>
          </cell>
          <cell r="P638">
            <v>81.373999999999995</v>
          </cell>
          <cell r="Q638">
            <v>74.626999999999995</v>
          </cell>
          <cell r="R638">
            <v>65.978999999999999</v>
          </cell>
          <cell r="S638">
            <v>76.438000000000002</v>
          </cell>
          <cell r="T638">
            <v>57.670999999999999</v>
          </cell>
          <cell r="U638">
            <v>52.079000000000001</v>
          </cell>
          <cell r="V638">
            <v>47.094999999999999</v>
          </cell>
          <cell r="W638">
            <v>42.53</v>
          </cell>
          <cell r="X638">
            <v>38.962000000000003</v>
          </cell>
          <cell r="Y638">
            <v>35.877000000000002</v>
          </cell>
          <cell r="Z638">
            <v>32.932000000000002</v>
          </cell>
          <cell r="AA638">
            <v>30.315999999999999</v>
          </cell>
          <cell r="AB638">
            <v>28.442</v>
          </cell>
          <cell r="AC638">
            <v>27.381</v>
          </cell>
        </row>
        <row r="639">
          <cell r="A639" t="str">
            <v>Over cap insulation C5 (Thousand households)</v>
          </cell>
          <cell r="C639">
            <v>0.26800000000000002</v>
          </cell>
          <cell r="D639">
            <v>95.844999999999999</v>
          </cell>
          <cell r="E639">
            <v>128.50800000000001</v>
          </cell>
          <cell r="F639">
            <v>130.00700000000001</v>
          </cell>
          <cell r="G639">
            <v>130.31399999999999</v>
          </cell>
          <cell r="H639">
            <v>128.41999999999999</v>
          </cell>
          <cell r="I639">
            <v>126.002</v>
          </cell>
          <cell r="J639">
            <v>241.72</v>
          </cell>
          <cell r="K639">
            <v>215.24199999999999</v>
          </cell>
          <cell r="L639">
            <v>192.90799999999999</v>
          </cell>
          <cell r="M639">
            <v>168.65700000000001</v>
          </cell>
          <cell r="N639">
            <v>150.25899999999999</v>
          </cell>
          <cell r="O639">
            <v>145.77799999999999</v>
          </cell>
          <cell r="P639">
            <v>213.90100000000001</v>
          </cell>
          <cell r="Q639">
            <v>187.70099999999999</v>
          </cell>
          <cell r="R639">
            <v>164.53700000000001</v>
          </cell>
          <cell r="S639">
            <v>179.49600000000001</v>
          </cell>
          <cell r="T639">
            <v>126.53700000000001</v>
          </cell>
          <cell r="U639">
            <v>111.851</v>
          </cell>
          <cell r="V639">
            <v>81.997</v>
          </cell>
          <cell r="W639">
            <v>73.498999999999995</v>
          </cell>
          <cell r="X639">
            <v>65.119</v>
          </cell>
          <cell r="Y639">
            <v>58.469000000000001</v>
          </cell>
          <cell r="Z639">
            <v>51.94</v>
          </cell>
          <cell r="AA639">
            <v>46.555</v>
          </cell>
          <cell r="AB639">
            <v>42.392000000000003</v>
          </cell>
          <cell r="AC639">
            <v>39.04</v>
          </cell>
        </row>
        <row r="640">
          <cell r="A640" t="str">
            <v>Over cap insulation Multi-family (Thousand households)</v>
          </cell>
          <cell r="C640">
            <v>0.41199999999999998</v>
          </cell>
          <cell r="D640">
            <v>116.91500000000001</v>
          </cell>
          <cell r="E640">
            <v>153.19200000000001</v>
          </cell>
          <cell r="F640">
            <v>152.98099999999999</v>
          </cell>
          <cell r="G640">
            <v>150.77099999999999</v>
          </cell>
          <cell r="H640">
            <v>148.29900000000001</v>
          </cell>
          <cell r="I640">
            <v>144.78399999999999</v>
          </cell>
          <cell r="J640">
            <v>292.43400000000003</v>
          </cell>
          <cell r="K640">
            <v>257.11200000000002</v>
          </cell>
          <cell r="L640">
            <v>227.72800000000001</v>
          </cell>
          <cell r="M640">
            <v>197.815</v>
          </cell>
          <cell r="N640">
            <v>174.86799999999999</v>
          </cell>
          <cell r="O640">
            <v>173.518</v>
          </cell>
          <cell r="P640">
            <v>266.21600000000001</v>
          </cell>
          <cell r="Q640">
            <v>233.98400000000001</v>
          </cell>
          <cell r="R640">
            <v>204.99</v>
          </cell>
          <cell r="S640">
            <v>227.67699999999999</v>
          </cell>
          <cell r="T640">
            <v>160.28200000000001</v>
          </cell>
          <cell r="U640">
            <v>141.696</v>
          </cell>
          <cell r="V640">
            <v>108.468</v>
          </cell>
          <cell r="W640">
            <v>97.034000000000006</v>
          </cell>
          <cell r="X640">
            <v>86.24</v>
          </cell>
          <cell r="Y640">
            <v>77.397999999999996</v>
          </cell>
          <cell r="Z640">
            <v>68.912999999999997</v>
          </cell>
          <cell r="AA640">
            <v>61.761000000000003</v>
          </cell>
          <cell r="AB640">
            <v>56.405999999999999</v>
          </cell>
          <cell r="AC640">
            <v>52.145000000000003</v>
          </cell>
        </row>
        <row r="641">
          <cell r="A641" t="str">
            <v>Over cap insulation Single-family (Thousand households)</v>
          </cell>
          <cell r="C641">
            <v>0</v>
          </cell>
          <cell r="D641">
            <v>0</v>
          </cell>
          <cell r="E641">
            <v>28.92</v>
          </cell>
          <cell r="F641">
            <v>29.574000000000002</v>
          </cell>
          <cell r="G641">
            <v>83.394999999999996</v>
          </cell>
          <cell r="H641">
            <v>87.927000000000007</v>
          </cell>
          <cell r="I641">
            <v>137.965</v>
          </cell>
          <cell r="J641">
            <v>123.857</v>
          </cell>
          <cell r="K641">
            <v>105.215</v>
          </cell>
          <cell r="L641">
            <v>91.378</v>
          </cell>
          <cell r="M641">
            <v>80.972999999999999</v>
          </cell>
          <cell r="N641">
            <v>73.144000000000005</v>
          </cell>
          <cell r="O641">
            <v>59.81</v>
          </cell>
          <cell r="P641">
            <v>65.131</v>
          </cell>
          <cell r="Q641">
            <v>64.177999999999997</v>
          </cell>
          <cell r="R641">
            <v>57.720999999999997</v>
          </cell>
          <cell r="S641">
            <v>61.771000000000001</v>
          </cell>
          <cell r="T641">
            <v>53.392000000000003</v>
          </cell>
          <cell r="U641">
            <v>49.953000000000003</v>
          </cell>
          <cell r="V641">
            <v>46.197000000000003</v>
          </cell>
          <cell r="W641">
            <v>41.792999999999999</v>
          </cell>
          <cell r="X641">
            <v>39.231999999999999</v>
          </cell>
          <cell r="Y641">
            <v>37.749000000000002</v>
          </cell>
          <cell r="Z641">
            <v>35.512999999999998</v>
          </cell>
          <cell r="AA641">
            <v>33.677999999999997</v>
          </cell>
          <cell r="AB641">
            <v>32.064999999999998</v>
          </cell>
          <cell r="AC641">
            <v>31.712</v>
          </cell>
        </row>
        <row r="642">
          <cell r="A642" t="str">
            <v>Over cap Multi-family (Thousand households)</v>
          </cell>
          <cell r="C642">
            <v>0.41199999999999998</v>
          </cell>
          <cell r="D642">
            <v>116.91500000000001</v>
          </cell>
          <cell r="E642">
            <v>153.19200000000001</v>
          </cell>
          <cell r="F642">
            <v>152.98099999999999</v>
          </cell>
          <cell r="G642">
            <v>150.77099999999999</v>
          </cell>
          <cell r="H642">
            <v>148.29900000000001</v>
          </cell>
          <cell r="I642">
            <v>144.78399999999999</v>
          </cell>
          <cell r="J642">
            <v>292.43400000000003</v>
          </cell>
          <cell r="K642">
            <v>257.11200000000002</v>
          </cell>
          <cell r="L642">
            <v>227.72800000000001</v>
          </cell>
          <cell r="M642">
            <v>197.815</v>
          </cell>
          <cell r="N642">
            <v>174.86799999999999</v>
          </cell>
          <cell r="O642">
            <v>173.518</v>
          </cell>
          <cell r="P642">
            <v>266.21600000000001</v>
          </cell>
          <cell r="Q642">
            <v>233.98400000000001</v>
          </cell>
          <cell r="R642">
            <v>204.99</v>
          </cell>
          <cell r="S642">
            <v>227.67699999999999</v>
          </cell>
          <cell r="T642">
            <v>160.28200000000001</v>
          </cell>
          <cell r="U642">
            <v>141.696</v>
          </cell>
          <cell r="V642">
            <v>108.468</v>
          </cell>
          <cell r="W642">
            <v>97.034000000000006</v>
          </cell>
          <cell r="X642">
            <v>86.24</v>
          </cell>
          <cell r="Y642">
            <v>77.397999999999996</v>
          </cell>
          <cell r="Z642">
            <v>68.912999999999997</v>
          </cell>
          <cell r="AA642">
            <v>61.761000000000003</v>
          </cell>
          <cell r="AB642">
            <v>56.405999999999999</v>
          </cell>
          <cell r="AC642">
            <v>52.145000000000003</v>
          </cell>
        </row>
        <row r="643">
          <cell r="A643" t="str">
            <v>Over cap Single-family (Thousand households)</v>
          </cell>
          <cell r="C643">
            <v>0</v>
          </cell>
          <cell r="D643">
            <v>0</v>
          </cell>
          <cell r="E643">
            <v>28.92</v>
          </cell>
          <cell r="F643">
            <v>29.574000000000002</v>
          </cell>
          <cell r="G643">
            <v>83.394999999999996</v>
          </cell>
          <cell r="H643">
            <v>87.927000000000007</v>
          </cell>
          <cell r="I643">
            <v>137.965</v>
          </cell>
          <cell r="J643">
            <v>123.857</v>
          </cell>
          <cell r="K643">
            <v>301.76799999999997</v>
          </cell>
          <cell r="L643">
            <v>289.916</v>
          </cell>
          <cell r="M643">
            <v>281.07900000000001</v>
          </cell>
          <cell r="N643">
            <v>274.35199999999998</v>
          </cell>
          <cell r="O643">
            <v>217.226</v>
          </cell>
          <cell r="P643">
            <v>222.37799999999999</v>
          </cell>
          <cell r="Q643">
            <v>220.339</v>
          </cell>
          <cell r="R643">
            <v>194.053</v>
          </cell>
          <cell r="S643">
            <v>202.90700000000001</v>
          </cell>
          <cell r="T643">
            <v>178.46</v>
          </cell>
          <cell r="U643">
            <v>173.55</v>
          </cell>
          <cell r="V643">
            <v>159.661</v>
          </cell>
          <cell r="W643">
            <v>211.739</v>
          </cell>
          <cell r="X643">
            <v>208.80199999999999</v>
          </cell>
          <cell r="Y643">
            <v>210.648</v>
          </cell>
          <cell r="Z643">
            <v>207.93100000000001</v>
          </cell>
          <cell r="AA643">
            <v>197.505</v>
          </cell>
          <cell r="AB643">
            <v>186.691</v>
          </cell>
          <cell r="AC643">
            <v>177.03</v>
          </cell>
        </row>
        <row r="644">
          <cell r="A644" t="str">
            <v>Performance gap (% standard)</v>
          </cell>
          <cell r="C644">
            <v>0.56200000000000006</v>
          </cell>
          <cell r="D644">
            <v>0.57299999999999995</v>
          </cell>
          <cell r="E644">
            <v>0.56299999999999994</v>
          </cell>
          <cell r="F644">
            <v>0.55900000000000005</v>
          </cell>
          <cell r="G644">
            <v>0.56399999999999995</v>
          </cell>
          <cell r="H644">
            <v>0.57199999999999995</v>
          </cell>
          <cell r="I644">
            <v>0.57799999999999996</v>
          </cell>
          <cell r="J644">
            <v>0.60599999999999998</v>
          </cell>
          <cell r="K644">
            <v>0.61299999999999999</v>
          </cell>
          <cell r="L644">
            <v>0.622</v>
          </cell>
          <cell r="M644">
            <v>0.63300000000000001</v>
          </cell>
          <cell r="N644">
            <v>0.64400000000000002</v>
          </cell>
          <cell r="O644">
            <v>0.65700000000000003</v>
          </cell>
          <cell r="P644">
            <v>0.67900000000000005</v>
          </cell>
          <cell r="Q644">
            <v>0.68600000000000005</v>
          </cell>
          <cell r="R644">
            <v>0.69499999999999995</v>
          </cell>
          <cell r="S644">
            <v>0.64200000000000002</v>
          </cell>
          <cell r="T644">
            <v>0.71</v>
          </cell>
          <cell r="U644">
            <v>0.71699999999999997</v>
          </cell>
          <cell r="V644">
            <v>0.72499999999999998</v>
          </cell>
          <cell r="W644">
            <v>0.73099999999999998</v>
          </cell>
          <cell r="X644">
            <v>0.73599999999999999</v>
          </cell>
          <cell r="Y644">
            <v>0.74099999999999999</v>
          </cell>
          <cell r="Z644">
            <v>0.747</v>
          </cell>
          <cell r="AA644">
            <v>0.752</v>
          </cell>
          <cell r="AB644">
            <v>0.75600000000000001</v>
          </cell>
          <cell r="AC644">
            <v>0.76</v>
          </cell>
        </row>
        <row r="645">
          <cell r="A645" t="str">
            <v>Prices Electricity (euro/kWh)</v>
          </cell>
          <cell r="B645">
            <v>0.23699999999999999</v>
          </cell>
          <cell r="C645">
            <v>0.25700000000000001</v>
          </cell>
          <cell r="D645">
            <v>0.27</v>
          </cell>
          <cell r="E645">
            <v>0.27100000000000002</v>
          </cell>
          <cell r="F645">
            <v>0.27100000000000002</v>
          </cell>
          <cell r="G645">
            <v>0.27100000000000002</v>
          </cell>
          <cell r="H645">
            <v>0.27100000000000002</v>
          </cell>
          <cell r="I645">
            <v>0.27100000000000002</v>
          </cell>
          <cell r="J645">
            <v>0.27100000000000002</v>
          </cell>
          <cell r="K645">
            <v>0.27100000000000002</v>
          </cell>
          <cell r="L645">
            <v>0.27100000000000002</v>
          </cell>
          <cell r="M645">
            <v>0.27100000000000002</v>
          </cell>
          <cell r="N645">
            <v>0.27100000000000002</v>
          </cell>
          <cell r="O645">
            <v>0.27100000000000002</v>
          </cell>
          <cell r="P645">
            <v>0.27100000000000002</v>
          </cell>
          <cell r="Q645">
            <v>0.27200000000000002</v>
          </cell>
          <cell r="R645">
            <v>0.27200000000000002</v>
          </cell>
          <cell r="S645">
            <v>0.27200000000000002</v>
          </cell>
          <cell r="T645">
            <v>0.27200000000000002</v>
          </cell>
          <cell r="U645">
            <v>0.27200000000000002</v>
          </cell>
          <cell r="V645">
            <v>0.27200000000000002</v>
          </cell>
          <cell r="W645">
            <v>0.27200000000000002</v>
          </cell>
          <cell r="X645">
            <v>0.27200000000000002</v>
          </cell>
          <cell r="Y645">
            <v>0.27200000000000002</v>
          </cell>
          <cell r="Z645">
            <v>0.27200000000000002</v>
          </cell>
          <cell r="AA645">
            <v>0.27200000000000002</v>
          </cell>
          <cell r="AB645">
            <v>0.27200000000000002</v>
          </cell>
          <cell r="AC645">
            <v>0.27200000000000002</v>
          </cell>
        </row>
        <row r="646">
          <cell r="A646" t="str">
            <v>Prices Heating (euro/kWh)</v>
          </cell>
          <cell r="B646">
            <v>8.1000000000000003E-2</v>
          </cell>
          <cell r="C646">
            <v>8.1000000000000003E-2</v>
          </cell>
          <cell r="D646">
            <v>8.1000000000000003E-2</v>
          </cell>
          <cell r="E646">
            <v>8.1000000000000003E-2</v>
          </cell>
          <cell r="F646">
            <v>8.1000000000000003E-2</v>
          </cell>
          <cell r="G646">
            <v>8.1000000000000003E-2</v>
          </cell>
          <cell r="H646">
            <v>8.1000000000000003E-2</v>
          </cell>
          <cell r="I646">
            <v>8.1000000000000003E-2</v>
          </cell>
          <cell r="J646">
            <v>8.1000000000000003E-2</v>
          </cell>
          <cell r="K646">
            <v>8.1000000000000003E-2</v>
          </cell>
          <cell r="L646">
            <v>8.1000000000000003E-2</v>
          </cell>
          <cell r="M646">
            <v>8.1000000000000003E-2</v>
          </cell>
          <cell r="N646">
            <v>8.1000000000000003E-2</v>
          </cell>
          <cell r="O646">
            <v>8.1000000000000003E-2</v>
          </cell>
          <cell r="P646">
            <v>8.1000000000000003E-2</v>
          </cell>
          <cell r="Q646">
            <v>8.1000000000000003E-2</v>
          </cell>
          <cell r="R646">
            <v>8.1000000000000003E-2</v>
          </cell>
          <cell r="S646">
            <v>8.1000000000000003E-2</v>
          </cell>
          <cell r="T646">
            <v>8.1000000000000003E-2</v>
          </cell>
          <cell r="U646">
            <v>8.1000000000000003E-2</v>
          </cell>
          <cell r="V646">
            <v>8.1000000000000003E-2</v>
          </cell>
          <cell r="W646">
            <v>8.1000000000000003E-2</v>
          </cell>
          <cell r="X646">
            <v>8.1000000000000003E-2</v>
          </cell>
          <cell r="Y646">
            <v>8.1000000000000003E-2</v>
          </cell>
          <cell r="Z646">
            <v>8.1000000000000003E-2</v>
          </cell>
          <cell r="AA646">
            <v>8.1000000000000003E-2</v>
          </cell>
          <cell r="AB646">
            <v>8.1000000000000003E-2</v>
          </cell>
          <cell r="AC646">
            <v>8.1000000000000003E-2</v>
          </cell>
        </row>
        <row r="647">
          <cell r="A647" t="str">
            <v>Prices Natural gas (euro/kWh)</v>
          </cell>
          <cell r="B647">
            <v>0.11700000000000001</v>
          </cell>
          <cell r="C647">
            <v>0.11700000000000001</v>
          </cell>
          <cell r="D647">
            <v>0.11799999999999999</v>
          </cell>
          <cell r="E647">
            <v>0.11899999999999999</v>
          </cell>
          <cell r="F647">
            <v>0.127</v>
          </cell>
          <cell r="G647">
            <v>0.127</v>
          </cell>
          <cell r="H647">
            <v>0.128</v>
          </cell>
          <cell r="I647">
            <v>0.128</v>
          </cell>
          <cell r="J647">
            <v>0.13</v>
          </cell>
          <cell r="K647">
            <v>0.13100000000000001</v>
          </cell>
          <cell r="L647">
            <v>0.13200000000000001</v>
          </cell>
          <cell r="M647">
            <v>0.13300000000000001</v>
          </cell>
          <cell r="N647">
            <v>0.13400000000000001</v>
          </cell>
          <cell r="O647">
            <v>0.13500000000000001</v>
          </cell>
          <cell r="P647">
            <v>0.13500000000000001</v>
          </cell>
          <cell r="Q647">
            <v>0.13500000000000001</v>
          </cell>
          <cell r="R647">
            <v>0.13500000000000001</v>
          </cell>
          <cell r="S647">
            <v>0.27800000000000002</v>
          </cell>
          <cell r="T647">
            <v>0.13400000000000001</v>
          </cell>
          <cell r="U647">
            <v>0.13300000000000001</v>
          </cell>
          <cell r="V647">
            <v>0.13200000000000001</v>
          </cell>
          <cell r="W647">
            <v>0.13100000000000001</v>
          </cell>
          <cell r="X647">
            <v>0.13100000000000001</v>
          </cell>
          <cell r="Y647">
            <v>0.128</v>
          </cell>
          <cell r="Z647">
            <v>0.126</v>
          </cell>
          <cell r="AA647">
            <v>0.124</v>
          </cell>
          <cell r="AB647">
            <v>0.121</v>
          </cell>
          <cell r="AC647">
            <v>0.11899999999999999</v>
          </cell>
        </row>
        <row r="648">
          <cell r="A648" t="str">
            <v>Prices Oil fuel (euro/kWh)</v>
          </cell>
          <cell r="B648">
            <v>0.13</v>
          </cell>
          <cell r="C648">
            <v>0.13100000000000001</v>
          </cell>
          <cell r="D648">
            <v>0.13100000000000001</v>
          </cell>
          <cell r="E648">
            <v>0.13200000000000001</v>
          </cell>
          <cell r="F648">
            <v>0.14399999999999999</v>
          </cell>
          <cell r="G648">
            <v>0.14399999999999999</v>
          </cell>
          <cell r="H648">
            <v>0.14599999999999999</v>
          </cell>
          <cell r="I648">
            <v>0.14599999999999999</v>
          </cell>
          <cell r="J648">
            <v>0.14899999999999999</v>
          </cell>
          <cell r="K648">
            <v>0.152</v>
          </cell>
          <cell r="L648">
            <v>0.155</v>
          </cell>
          <cell r="M648">
            <v>0.157</v>
          </cell>
          <cell r="N648">
            <v>0.16</v>
          </cell>
          <cell r="O648">
            <v>0.16200000000000001</v>
          </cell>
          <cell r="P648">
            <v>0.16500000000000001</v>
          </cell>
          <cell r="Q648">
            <v>0.16700000000000001</v>
          </cell>
          <cell r="R648">
            <v>0.16900000000000001</v>
          </cell>
          <cell r="S648">
            <v>0.17100000000000001</v>
          </cell>
          <cell r="T648">
            <v>0.17100000000000001</v>
          </cell>
          <cell r="U648">
            <v>0.17100000000000001</v>
          </cell>
          <cell r="V648">
            <v>0.17199999999999999</v>
          </cell>
          <cell r="W648">
            <v>0.17199999999999999</v>
          </cell>
          <cell r="X648">
            <v>0.17199999999999999</v>
          </cell>
          <cell r="Y648">
            <v>0.17199999999999999</v>
          </cell>
          <cell r="Z648">
            <v>0.17299999999999999</v>
          </cell>
          <cell r="AA648">
            <v>0.17299999999999999</v>
          </cell>
          <cell r="AB648">
            <v>0.17299999999999999</v>
          </cell>
          <cell r="AC648">
            <v>0.17299999999999999</v>
          </cell>
        </row>
        <row r="649">
          <cell r="A649" t="str">
            <v>Prices Wood fuel (euro/kWh)</v>
          </cell>
          <cell r="B649">
            <v>6.5000000000000002E-2</v>
          </cell>
          <cell r="C649">
            <v>6.5000000000000002E-2</v>
          </cell>
          <cell r="D649">
            <v>6.5000000000000002E-2</v>
          </cell>
          <cell r="E649">
            <v>6.5000000000000002E-2</v>
          </cell>
          <cell r="F649">
            <v>6.5000000000000002E-2</v>
          </cell>
          <cell r="G649">
            <v>6.5000000000000002E-2</v>
          </cell>
          <cell r="H649">
            <v>6.5000000000000002E-2</v>
          </cell>
          <cell r="I649">
            <v>6.5000000000000002E-2</v>
          </cell>
          <cell r="J649">
            <v>6.5000000000000002E-2</v>
          </cell>
          <cell r="K649">
            <v>6.5000000000000002E-2</v>
          </cell>
          <cell r="L649">
            <v>6.5000000000000002E-2</v>
          </cell>
          <cell r="M649">
            <v>6.5000000000000002E-2</v>
          </cell>
          <cell r="N649">
            <v>6.5000000000000002E-2</v>
          </cell>
          <cell r="O649">
            <v>6.5000000000000002E-2</v>
          </cell>
          <cell r="P649">
            <v>6.5000000000000002E-2</v>
          </cell>
          <cell r="Q649">
            <v>6.5000000000000002E-2</v>
          </cell>
          <cell r="R649">
            <v>6.5000000000000002E-2</v>
          </cell>
          <cell r="S649">
            <v>6.5000000000000002E-2</v>
          </cell>
          <cell r="T649">
            <v>6.5000000000000002E-2</v>
          </cell>
          <cell r="U649">
            <v>6.5000000000000002E-2</v>
          </cell>
          <cell r="V649">
            <v>6.5000000000000002E-2</v>
          </cell>
          <cell r="W649">
            <v>6.5000000000000002E-2</v>
          </cell>
          <cell r="X649">
            <v>6.5000000000000002E-2</v>
          </cell>
          <cell r="Y649">
            <v>6.5000000000000002E-2</v>
          </cell>
          <cell r="Z649">
            <v>6.5000000000000002E-2</v>
          </cell>
          <cell r="AA649">
            <v>6.5000000000000002E-2</v>
          </cell>
          <cell r="AB649">
            <v>6.5000000000000002E-2</v>
          </cell>
          <cell r="AC649">
            <v>6.5000000000000002E-2</v>
          </cell>
        </row>
        <row r="650">
          <cell r="A650" t="str">
            <v>Rate Multi-family - Owner-occupied (%)</v>
          </cell>
          <cell r="C650">
            <v>1.7000000000000001E-2</v>
          </cell>
          <cell r="D650">
            <v>1.7000000000000001E-2</v>
          </cell>
          <cell r="E650">
            <v>1.7000000000000001E-2</v>
          </cell>
          <cell r="F650">
            <v>1.7999999999999999E-2</v>
          </cell>
          <cell r="G650">
            <v>1.7000000000000001E-2</v>
          </cell>
          <cell r="H650">
            <v>1.7999999999999999E-2</v>
          </cell>
          <cell r="I650">
            <v>1.7000000000000001E-2</v>
          </cell>
          <cell r="J650">
            <v>1.7000000000000001E-2</v>
          </cell>
          <cell r="K650">
            <v>1.6E-2</v>
          </cell>
          <cell r="L650">
            <v>1.4999999999999999E-2</v>
          </cell>
          <cell r="M650">
            <v>1.4E-2</v>
          </cell>
          <cell r="N650">
            <v>1.2999999999999999E-2</v>
          </cell>
          <cell r="O650">
            <v>0.02</v>
          </cell>
          <cell r="P650">
            <v>1.7999999999999999E-2</v>
          </cell>
          <cell r="Q650">
            <v>1.7999999999999999E-2</v>
          </cell>
          <cell r="R650">
            <v>1.6E-2</v>
          </cell>
          <cell r="S650">
            <v>3.2000000000000001E-2</v>
          </cell>
          <cell r="T650">
            <v>0.02</v>
          </cell>
          <cell r="U650">
            <v>1.7999999999999999E-2</v>
          </cell>
          <cell r="V650">
            <v>1.7000000000000001E-2</v>
          </cell>
          <cell r="W650">
            <v>1.6E-2</v>
          </cell>
          <cell r="X650">
            <v>1.4999999999999999E-2</v>
          </cell>
          <cell r="Y650">
            <v>1.4E-2</v>
          </cell>
          <cell r="Z650">
            <v>1.2999999999999999E-2</v>
          </cell>
          <cell r="AA650">
            <v>1.2E-2</v>
          </cell>
          <cell r="AB650">
            <v>1.2E-2</v>
          </cell>
          <cell r="AC650">
            <v>1.2E-2</v>
          </cell>
        </row>
        <row r="651">
          <cell r="A651" t="str">
            <v>Rate Multi-family - Privately rented (%)</v>
          </cell>
          <cell r="C651">
            <v>1.2999999999999999E-2</v>
          </cell>
          <cell r="D651">
            <v>1.0999999999999999E-2</v>
          </cell>
          <cell r="E651">
            <v>1.6E-2</v>
          </cell>
          <cell r="F651">
            <v>1.4E-2</v>
          </cell>
          <cell r="G651">
            <v>1.0999999999999999E-2</v>
          </cell>
          <cell r="H651">
            <v>0.01</v>
          </cell>
          <cell r="I651">
            <v>8.9999999999999993E-3</v>
          </cell>
          <cell r="J651">
            <v>3.7999999999999999E-2</v>
          </cell>
          <cell r="K651">
            <v>0.03</v>
          </cell>
          <cell r="L651">
            <v>2.4E-2</v>
          </cell>
          <cell r="M651">
            <v>0.02</v>
          </cell>
          <cell r="N651">
            <v>1.6E-2</v>
          </cell>
          <cell r="O651">
            <v>1.2999999999999999E-2</v>
          </cell>
          <cell r="P651">
            <v>5.8999999999999997E-2</v>
          </cell>
          <cell r="Q651">
            <v>5.0999999999999997E-2</v>
          </cell>
          <cell r="R651">
            <v>4.3999999999999997E-2</v>
          </cell>
          <cell r="S651">
            <v>3.9E-2</v>
          </cell>
          <cell r="T651">
            <v>3.3000000000000002E-2</v>
          </cell>
          <cell r="U651">
            <v>2.8000000000000001E-2</v>
          </cell>
          <cell r="V651">
            <v>2.5000000000000001E-2</v>
          </cell>
          <cell r="W651">
            <v>2.1999999999999999E-2</v>
          </cell>
          <cell r="X651">
            <v>0.02</v>
          </cell>
          <cell r="Y651">
            <v>1.7999999999999999E-2</v>
          </cell>
          <cell r="Z651">
            <v>1.6E-2</v>
          </cell>
          <cell r="AA651">
            <v>1.4999999999999999E-2</v>
          </cell>
          <cell r="AB651">
            <v>1.4E-2</v>
          </cell>
          <cell r="AC651">
            <v>1.2E-2</v>
          </cell>
        </row>
        <row r="652">
          <cell r="A652" t="str">
            <v>Rate Multi-family - Social-housing (%)</v>
          </cell>
          <cell r="C652">
            <v>4.0000000000000001E-3</v>
          </cell>
          <cell r="D652">
            <v>1.6E-2</v>
          </cell>
          <cell r="E652">
            <v>3.5000000000000003E-2</v>
          </cell>
          <cell r="F652">
            <v>4.3999999999999997E-2</v>
          </cell>
          <cell r="G652">
            <v>5.3999999999999999E-2</v>
          </cell>
          <cell r="H652">
            <v>5.6000000000000001E-2</v>
          </cell>
          <cell r="I652">
            <v>5.6000000000000001E-2</v>
          </cell>
          <cell r="J652">
            <v>5.8000000000000003E-2</v>
          </cell>
          <cell r="K652">
            <v>5.5E-2</v>
          </cell>
          <cell r="L652">
            <v>5.8000000000000003E-2</v>
          </cell>
          <cell r="M652">
            <v>6.8000000000000005E-2</v>
          </cell>
          <cell r="N652">
            <v>7.0000000000000007E-2</v>
          </cell>
          <cell r="O652">
            <v>6.2E-2</v>
          </cell>
          <cell r="P652">
            <v>5.2999999999999999E-2</v>
          </cell>
          <cell r="Q652">
            <v>5.7000000000000002E-2</v>
          </cell>
          <cell r="R652">
            <v>6.6000000000000003E-2</v>
          </cell>
          <cell r="S652">
            <v>6.9000000000000006E-2</v>
          </cell>
          <cell r="T652">
            <v>6.9000000000000006E-2</v>
          </cell>
          <cell r="U652">
            <v>7.0999999999999994E-2</v>
          </cell>
          <cell r="V652">
            <v>6.6000000000000003E-2</v>
          </cell>
          <cell r="W652">
            <v>7.2999999999999995E-2</v>
          </cell>
          <cell r="X652">
            <v>6.9000000000000006E-2</v>
          </cell>
          <cell r="Y652">
            <v>6.6000000000000003E-2</v>
          </cell>
          <cell r="Z652">
            <v>6.3E-2</v>
          </cell>
          <cell r="AA652">
            <v>0.06</v>
          </cell>
          <cell r="AB652">
            <v>5.7000000000000002E-2</v>
          </cell>
          <cell r="AC652">
            <v>5.5E-2</v>
          </cell>
        </row>
        <row r="653">
          <cell r="A653" t="str">
            <v>Rate Single-family - Owner-occupied (%)</v>
          </cell>
          <cell r="C653">
            <v>2.8000000000000001E-2</v>
          </cell>
          <cell r="D653">
            <v>2.5999999999999999E-2</v>
          </cell>
          <cell r="E653">
            <v>3.3000000000000002E-2</v>
          </cell>
          <cell r="F653">
            <v>3.4000000000000002E-2</v>
          </cell>
          <cell r="G653">
            <v>3.1E-2</v>
          </cell>
          <cell r="H653">
            <v>3.2000000000000001E-2</v>
          </cell>
          <cell r="I653">
            <v>3.2000000000000001E-2</v>
          </cell>
          <cell r="J653">
            <v>2.8000000000000001E-2</v>
          </cell>
          <cell r="K653">
            <v>2.5999999999999999E-2</v>
          </cell>
          <cell r="L653">
            <v>2.4E-2</v>
          </cell>
          <cell r="M653">
            <v>2.1999999999999999E-2</v>
          </cell>
          <cell r="N653">
            <v>2.1000000000000001E-2</v>
          </cell>
          <cell r="O653">
            <v>0.02</v>
          </cell>
          <cell r="P653">
            <v>1.9E-2</v>
          </cell>
          <cell r="Q653">
            <v>1.7999999999999999E-2</v>
          </cell>
          <cell r="R653">
            <v>1.7000000000000001E-2</v>
          </cell>
          <cell r="S653">
            <v>2.8000000000000001E-2</v>
          </cell>
          <cell r="T653">
            <v>2.4E-2</v>
          </cell>
          <cell r="U653">
            <v>2.3E-2</v>
          </cell>
          <cell r="V653">
            <v>2.1999999999999999E-2</v>
          </cell>
          <cell r="W653">
            <v>2.1000000000000001E-2</v>
          </cell>
          <cell r="X653">
            <v>0.02</v>
          </cell>
          <cell r="Y653">
            <v>1.9E-2</v>
          </cell>
          <cell r="Z653">
            <v>1.9E-2</v>
          </cell>
          <cell r="AA653">
            <v>1.7999999999999999E-2</v>
          </cell>
          <cell r="AB653">
            <v>1.7000000000000001E-2</v>
          </cell>
          <cell r="AC653">
            <v>1.7000000000000001E-2</v>
          </cell>
        </row>
        <row r="654">
          <cell r="A654" t="str">
            <v>Rate Single-family - Owner-occupied C (%)</v>
          </cell>
          <cell r="C654">
            <v>2.1999999999999999E-2</v>
          </cell>
          <cell r="D654">
            <v>2.3E-2</v>
          </cell>
          <cell r="E654">
            <v>2.1000000000000001E-2</v>
          </cell>
          <cell r="F654">
            <v>2.1000000000000001E-2</v>
          </cell>
          <cell r="G654">
            <v>2.1000000000000001E-2</v>
          </cell>
          <cell r="H654">
            <v>2.1999999999999999E-2</v>
          </cell>
          <cell r="I654">
            <v>2.1999999999999999E-2</v>
          </cell>
          <cell r="J654">
            <v>2.1999999999999999E-2</v>
          </cell>
          <cell r="K654">
            <v>2.1999999999999999E-2</v>
          </cell>
          <cell r="L654">
            <v>2.1999999999999999E-2</v>
          </cell>
          <cell r="M654">
            <v>2.1999999999999999E-2</v>
          </cell>
          <cell r="N654">
            <v>2.1999999999999999E-2</v>
          </cell>
          <cell r="O654">
            <v>2.1999999999999999E-2</v>
          </cell>
          <cell r="P654">
            <v>2.1999999999999999E-2</v>
          </cell>
          <cell r="Q654">
            <v>2.3E-2</v>
          </cell>
          <cell r="R654">
            <v>2.3E-2</v>
          </cell>
          <cell r="S654">
            <v>2.3E-2</v>
          </cell>
          <cell r="T654">
            <v>2.3E-2</v>
          </cell>
          <cell r="U654">
            <v>2.3E-2</v>
          </cell>
          <cell r="V654">
            <v>2.3E-2</v>
          </cell>
          <cell r="W654">
            <v>2.3E-2</v>
          </cell>
          <cell r="X654">
            <v>2.3E-2</v>
          </cell>
          <cell r="Y654">
            <v>2.3E-2</v>
          </cell>
          <cell r="Z654">
            <v>2.3E-2</v>
          </cell>
          <cell r="AA654">
            <v>2.3E-2</v>
          </cell>
          <cell r="AB654">
            <v>2.3E-2</v>
          </cell>
          <cell r="AC654">
            <v>2.3E-2</v>
          </cell>
        </row>
        <row r="655">
          <cell r="A655" t="str">
            <v>Rate Single-family - Owner-occupied C1 (%)</v>
          </cell>
          <cell r="C655">
            <v>2.1999999999999999E-2</v>
          </cell>
          <cell r="D655">
            <v>2.1999999999999999E-2</v>
          </cell>
          <cell r="E655">
            <v>3.7999999999999999E-2</v>
          </cell>
          <cell r="F655">
            <v>4.3999999999999997E-2</v>
          </cell>
          <cell r="G655">
            <v>4.2000000000000003E-2</v>
          </cell>
          <cell r="H655">
            <v>4.2000000000000003E-2</v>
          </cell>
          <cell r="I655">
            <v>4.3999999999999997E-2</v>
          </cell>
          <cell r="J655">
            <v>3.9E-2</v>
          </cell>
          <cell r="K655">
            <v>3.5000000000000003E-2</v>
          </cell>
          <cell r="L655">
            <v>3.2000000000000001E-2</v>
          </cell>
          <cell r="M655">
            <v>0.03</v>
          </cell>
          <cell r="N655">
            <v>2.8000000000000001E-2</v>
          </cell>
          <cell r="O655">
            <v>2.5000000000000001E-2</v>
          </cell>
          <cell r="P655">
            <v>2.3E-2</v>
          </cell>
          <cell r="Q655">
            <v>2.1999999999999999E-2</v>
          </cell>
          <cell r="R655">
            <v>2.1000000000000001E-2</v>
          </cell>
          <cell r="S655">
            <v>0.03</v>
          </cell>
          <cell r="T655">
            <v>2.7E-2</v>
          </cell>
          <cell r="U655">
            <v>2.5999999999999999E-2</v>
          </cell>
          <cell r="V655">
            <v>2.4E-2</v>
          </cell>
          <cell r="W655">
            <v>2.3E-2</v>
          </cell>
          <cell r="X655">
            <v>2.1000000000000001E-2</v>
          </cell>
          <cell r="Y655">
            <v>2.1000000000000001E-2</v>
          </cell>
          <cell r="Z655">
            <v>0.02</v>
          </cell>
          <cell r="AA655">
            <v>1.9E-2</v>
          </cell>
          <cell r="AB655">
            <v>1.7999999999999999E-2</v>
          </cell>
          <cell r="AC655">
            <v>1.7999999999999999E-2</v>
          </cell>
        </row>
        <row r="656">
          <cell r="A656" t="str">
            <v>Rate Single-family - Owner-occupied C2 (%)</v>
          </cell>
          <cell r="C656">
            <v>2.4E-2</v>
          </cell>
          <cell r="D656">
            <v>2.4E-2</v>
          </cell>
          <cell r="E656">
            <v>2.9000000000000001E-2</v>
          </cell>
          <cell r="F656">
            <v>3.1E-2</v>
          </cell>
          <cell r="G656">
            <v>3.2000000000000001E-2</v>
          </cell>
          <cell r="H656">
            <v>3.2000000000000001E-2</v>
          </cell>
          <cell r="I656">
            <v>3.3000000000000002E-2</v>
          </cell>
          <cell r="J656">
            <v>3.1E-2</v>
          </cell>
          <cell r="K656">
            <v>2.8000000000000001E-2</v>
          </cell>
          <cell r="L656">
            <v>2.5999999999999999E-2</v>
          </cell>
          <cell r="M656">
            <v>2.4E-2</v>
          </cell>
          <cell r="N656">
            <v>2.3E-2</v>
          </cell>
          <cell r="O656">
            <v>2.1000000000000001E-2</v>
          </cell>
          <cell r="P656">
            <v>0.02</v>
          </cell>
          <cell r="Q656">
            <v>1.9E-2</v>
          </cell>
          <cell r="R656">
            <v>1.7999999999999999E-2</v>
          </cell>
          <cell r="S656">
            <v>0.03</v>
          </cell>
          <cell r="T656">
            <v>2.5999999999999999E-2</v>
          </cell>
          <cell r="U656">
            <v>2.5000000000000001E-2</v>
          </cell>
          <cell r="V656">
            <v>2.3E-2</v>
          </cell>
          <cell r="W656">
            <v>2.1999999999999999E-2</v>
          </cell>
          <cell r="X656">
            <v>2.1999999999999999E-2</v>
          </cell>
          <cell r="Y656">
            <v>2.1000000000000001E-2</v>
          </cell>
          <cell r="Z656">
            <v>0.02</v>
          </cell>
          <cell r="AA656">
            <v>1.9E-2</v>
          </cell>
          <cell r="AB656">
            <v>1.9E-2</v>
          </cell>
          <cell r="AC656">
            <v>1.9E-2</v>
          </cell>
        </row>
        <row r="657">
          <cell r="A657" t="str">
            <v>Rate Single-family - Owner-occupied C3 (%)</v>
          </cell>
          <cell r="C657">
            <v>3.3000000000000002E-2</v>
          </cell>
          <cell r="D657">
            <v>3.1E-2</v>
          </cell>
          <cell r="E657">
            <v>3.6999999999999998E-2</v>
          </cell>
          <cell r="F657">
            <v>3.5999999999999997E-2</v>
          </cell>
          <cell r="G657">
            <v>3.2000000000000001E-2</v>
          </cell>
          <cell r="H657">
            <v>3.3000000000000002E-2</v>
          </cell>
          <cell r="I657">
            <v>3.2000000000000001E-2</v>
          </cell>
          <cell r="J657">
            <v>2.8000000000000001E-2</v>
          </cell>
          <cell r="K657">
            <v>2.5000000000000001E-2</v>
          </cell>
          <cell r="L657">
            <v>2.3E-2</v>
          </cell>
          <cell r="M657">
            <v>2.1000000000000001E-2</v>
          </cell>
          <cell r="N657">
            <v>0.02</v>
          </cell>
          <cell r="O657">
            <v>1.9E-2</v>
          </cell>
          <cell r="P657">
            <v>1.7999999999999999E-2</v>
          </cell>
          <cell r="Q657">
            <v>1.7000000000000001E-2</v>
          </cell>
          <cell r="R657">
            <v>1.6E-2</v>
          </cell>
          <cell r="S657">
            <v>2.5999999999999999E-2</v>
          </cell>
          <cell r="T657">
            <v>2.3E-2</v>
          </cell>
          <cell r="U657">
            <v>2.1999999999999999E-2</v>
          </cell>
          <cell r="V657">
            <v>2.1000000000000001E-2</v>
          </cell>
          <cell r="W657">
            <v>0.02</v>
          </cell>
          <cell r="X657">
            <v>1.9E-2</v>
          </cell>
          <cell r="Y657">
            <v>1.7999999999999999E-2</v>
          </cell>
          <cell r="Z657">
            <v>1.7999999999999999E-2</v>
          </cell>
          <cell r="AA657">
            <v>1.7000000000000001E-2</v>
          </cell>
          <cell r="AB657">
            <v>1.7000000000000001E-2</v>
          </cell>
          <cell r="AC657">
            <v>1.6E-2</v>
          </cell>
        </row>
        <row r="658">
          <cell r="A658" t="str">
            <v>Rate Single-family - Owner-occupied C4 (%)</v>
          </cell>
          <cell r="C658">
            <v>2.7E-2</v>
          </cell>
          <cell r="D658">
            <v>2.5999999999999999E-2</v>
          </cell>
          <cell r="E658">
            <v>3.2000000000000001E-2</v>
          </cell>
          <cell r="F658">
            <v>3.2000000000000001E-2</v>
          </cell>
          <cell r="G658">
            <v>2.9000000000000001E-2</v>
          </cell>
          <cell r="H658">
            <v>2.9000000000000001E-2</v>
          </cell>
          <cell r="I658">
            <v>2.9000000000000001E-2</v>
          </cell>
          <cell r="J658">
            <v>2.5999999999999999E-2</v>
          </cell>
          <cell r="K658">
            <v>2.4E-2</v>
          </cell>
          <cell r="L658">
            <v>2.1999999999999999E-2</v>
          </cell>
          <cell r="M658">
            <v>0.02</v>
          </cell>
          <cell r="N658">
            <v>1.9E-2</v>
          </cell>
          <cell r="O658">
            <v>1.9E-2</v>
          </cell>
          <cell r="P658">
            <v>1.7999999999999999E-2</v>
          </cell>
          <cell r="Q658">
            <v>1.7000000000000001E-2</v>
          </cell>
          <cell r="R658">
            <v>1.6E-2</v>
          </cell>
          <cell r="S658">
            <v>2.5999999999999999E-2</v>
          </cell>
          <cell r="T658">
            <v>2.3E-2</v>
          </cell>
          <cell r="U658">
            <v>2.1999999999999999E-2</v>
          </cell>
          <cell r="V658">
            <v>2.1000000000000001E-2</v>
          </cell>
          <cell r="W658">
            <v>0.02</v>
          </cell>
          <cell r="X658">
            <v>1.9E-2</v>
          </cell>
          <cell r="Y658">
            <v>1.9E-2</v>
          </cell>
          <cell r="Z658">
            <v>1.7999999999999999E-2</v>
          </cell>
          <cell r="AA658">
            <v>1.7999999999999999E-2</v>
          </cell>
          <cell r="AB658">
            <v>1.7000000000000001E-2</v>
          </cell>
          <cell r="AC658">
            <v>1.7000000000000001E-2</v>
          </cell>
        </row>
        <row r="659">
          <cell r="A659" t="str">
            <v>Rate Single-family - Owner-occupied C5 (%)</v>
          </cell>
          <cell r="C659">
            <v>2.8000000000000001E-2</v>
          </cell>
          <cell r="D659">
            <v>2.5999999999999999E-2</v>
          </cell>
          <cell r="E659">
            <v>3.3000000000000002E-2</v>
          </cell>
          <cell r="F659">
            <v>3.2000000000000001E-2</v>
          </cell>
          <cell r="G659">
            <v>2.8000000000000001E-2</v>
          </cell>
          <cell r="H659">
            <v>0.03</v>
          </cell>
          <cell r="I659">
            <v>2.8000000000000001E-2</v>
          </cell>
          <cell r="J659">
            <v>2.5000000000000001E-2</v>
          </cell>
          <cell r="K659">
            <v>2.3E-2</v>
          </cell>
          <cell r="L659">
            <v>2.1000000000000001E-2</v>
          </cell>
          <cell r="M659">
            <v>0.02</v>
          </cell>
          <cell r="N659">
            <v>1.9E-2</v>
          </cell>
          <cell r="O659">
            <v>1.7999999999999999E-2</v>
          </cell>
          <cell r="P659">
            <v>1.7000000000000001E-2</v>
          </cell>
          <cell r="Q659">
            <v>1.7000000000000001E-2</v>
          </cell>
          <cell r="R659">
            <v>1.6E-2</v>
          </cell>
          <cell r="S659">
            <v>2.8000000000000001E-2</v>
          </cell>
          <cell r="T659">
            <v>2.3E-2</v>
          </cell>
          <cell r="U659">
            <v>2.1999999999999999E-2</v>
          </cell>
          <cell r="V659">
            <v>2.1000000000000001E-2</v>
          </cell>
          <cell r="W659">
            <v>0.02</v>
          </cell>
          <cell r="X659">
            <v>0.02</v>
          </cell>
          <cell r="Y659">
            <v>1.9E-2</v>
          </cell>
          <cell r="Z659">
            <v>1.7999999999999999E-2</v>
          </cell>
          <cell r="AA659">
            <v>1.7999999999999999E-2</v>
          </cell>
          <cell r="AB659">
            <v>1.7000000000000001E-2</v>
          </cell>
          <cell r="AC659">
            <v>1.7000000000000001E-2</v>
          </cell>
        </row>
        <row r="660">
          <cell r="A660" t="str">
            <v>Rate Single-family - Owner-occupied D (%)</v>
          </cell>
          <cell r="C660">
            <v>2.5000000000000001E-2</v>
          </cell>
          <cell r="D660">
            <v>2.5000000000000001E-2</v>
          </cell>
          <cell r="E660">
            <v>2.3E-2</v>
          </cell>
          <cell r="F660">
            <v>2.4E-2</v>
          </cell>
          <cell r="G660">
            <v>2.4E-2</v>
          </cell>
          <cell r="H660">
            <v>2.5000000000000001E-2</v>
          </cell>
          <cell r="I660">
            <v>2.5999999999999999E-2</v>
          </cell>
          <cell r="J660">
            <v>2.5999999999999999E-2</v>
          </cell>
          <cell r="K660">
            <v>2.7E-2</v>
          </cell>
          <cell r="L660">
            <v>2.7E-2</v>
          </cell>
          <cell r="M660">
            <v>2.7E-2</v>
          </cell>
          <cell r="N660">
            <v>2.7E-2</v>
          </cell>
          <cell r="O660">
            <v>2.7E-2</v>
          </cell>
          <cell r="P660">
            <v>2.7E-2</v>
          </cell>
          <cell r="Q660">
            <v>2.8000000000000001E-2</v>
          </cell>
          <cell r="R660">
            <v>2.8000000000000001E-2</v>
          </cell>
          <cell r="S660">
            <v>7.0999999999999994E-2</v>
          </cell>
          <cell r="T660">
            <v>6.6000000000000003E-2</v>
          </cell>
          <cell r="U660">
            <v>6.6000000000000003E-2</v>
          </cell>
          <cell r="V660">
            <v>6.6000000000000003E-2</v>
          </cell>
          <cell r="W660">
            <v>6.6000000000000003E-2</v>
          </cell>
          <cell r="X660">
            <v>6.6000000000000003E-2</v>
          </cell>
          <cell r="Y660">
            <v>6.6000000000000003E-2</v>
          </cell>
          <cell r="Z660">
            <v>6.6000000000000003E-2</v>
          </cell>
          <cell r="AA660">
            <v>6.5000000000000002E-2</v>
          </cell>
          <cell r="AB660">
            <v>6.4000000000000001E-2</v>
          </cell>
          <cell r="AC660">
            <v>6.5000000000000002E-2</v>
          </cell>
        </row>
        <row r="661">
          <cell r="A661" t="str">
            <v>Rate Single-family - Owner-occupied E (%)</v>
          </cell>
          <cell r="C661">
            <v>2.7E-2</v>
          </cell>
          <cell r="D661">
            <v>2.8000000000000001E-2</v>
          </cell>
          <cell r="E661">
            <v>2.9000000000000001E-2</v>
          </cell>
          <cell r="F661">
            <v>3.1E-2</v>
          </cell>
          <cell r="G661">
            <v>3.2000000000000001E-2</v>
          </cell>
          <cell r="H661">
            <v>3.5000000000000003E-2</v>
          </cell>
          <cell r="I661">
            <v>3.6999999999999998E-2</v>
          </cell>
          <cell r="J661">
            <v>3.7999999999999999E-2</v>
          </cell>
          <cell r="K661">
            <v>0.04</v>
          </cell>
          <cell r="L661">
            <v>4.1000000000000002E-2</v>
          </cell>
          <cell r="M661">
            <v>4.3999999999999997E-2</v>
          </cell>
          <cell r="N661">
            <v>4.8000000000000001E-2</v>
          </cell>
          <cell r="O661">
            <v>7.6999999999999999E-2</v>
          </cell>
          <cell r="P661">
            <v>7.6999999999999999E-2</v>
          </cell>
          <cell r="Q661">
            <v>0.08</v>
          </cell>
          <cell r="R661">
            <v>0.08</v>
          </cell>
          <cell r="S661">
            <v>9.4E-2</v>
          </cell>
          <cell r="T661">
            <v>7.6999999999999999E-2</v>
          </cell>
          <cell r="U661">
            <v>7.5999999999999998E-2</v>
          </cell>
          <cell r="V661">
            <v>7.4999999999999997E-2</v>
          </cell>
          <cell r="W661">
            <v>7.2999999999999995E-2</v>
          </cell>
          <cell r="X661">
            <v>7.0000000000000007E-2</v>
          </cell>
          <cell r="Y661">
            <v>6.6000000000000003E-2</v>
          </cell>
          <cell r="Z661">
            <v>5.8000000000000003E-2</v>
          </cell>
          <cell r="AA661">
            <v>4.2999999999999997E-2</v>
          </cell>
          <cell r="AB661">
            <v>8.5000000000000006E-2</v>
          </cell>
          <cell r="AC661">
            <v>0.09</v>
          </cell>
        </row>
        <row r="662">
          <cell r="A662" t="str">
            <v>Rate Single-family - Owner-occupied F (%)</v>
          </cell>
          <cell r="C662">
            <v>3.5999999999999997E-2</v>
          </cell>
          <cell r="D662">
            <v>3.5999999999999997E-2</v>
          </cell>
          <cell r="E662">
            <v>7.0000000000000007E-2</v>
          </cell>
          <cell r="F662">
            <v>0.08</v>
          </cell>
          <cell r="G662">
            <v>8.5000000000000006E-2</v>
          </cell>
          <cell r="H662">
            <v>0.105</v>
          </cell>
          <cell r="I662">
            <v>0.14000000000000001</v>
          </cell>
          <cell r="J662">
            <v>0.13800000000000001</v>
          </cell>
          <cell r="K662">
            <v>0.13500000000000001</v>
          </cell>
          <cell r="L662">
            <v>0.13200000000000001</v>
          </cell>
          <cell r="M662">
            <v>0.128</v>
          </cell>
          <cell r="N662">
            <v>0.125</v>
          </cell>
          <cell r="O662">
            <v>0.122</v>
          </cell>
          <cell r="P662">
            <v>0.11899999999999999</v>
          </cell>
          <cell r="Q662">
            <v>0.13</v>
          </cell>
          <cell r="R662">
            <v>0.125</v>
          </cell>
          <cell r="S662">
            <v>0.158</v>
          </cell>
          <cell r="T662">
            <v>0.111</v>
          </cell>
          <cell r="U662">
            <v>0.108</v>
          </cell>
          <cell r="V662">
            <v>0.104</v>
          </cell>
          <cell r="W662">
            <v>0.10199999999999999</v>
          </cell>
          <cell r="X662">
            <v>9.7000000000000003E-2</v>
          </cell>
          <cell r="Y662">
            <v>0.09</v>
          </cell>
          <cell r="Z662">
            <v>7.9000000000000001E-2</v>
          </cell>
          <cell r="AA662">
            <v>5.8999999999999997E-2</v>
          </cell>
          <cell r="AB662">
            <v>0.115</v>
          </cell>
          <cell r="AC662">
            <v>0.127</v>
          </cell>
        </row>
        <row r="663">
          <cell r="A663" t="str">
            <v>Rate Single-family - Owner-occupied G (%)</v>
          </cell>
          <cell r="C663">
            <v>8.6999999999999994E-2</v>
          </cell>
          <cell r="D663">
            <v>8.1000000000000003E-2</v>
          </cell>
          <cell r="E663">
            <v>0.17199999999999999</v>
          </cell>
          <cell r="F663">
            <v>0.215</v>
          </cell>
          <cell r="G663">
            <v>0.216</v>
          </cell>
          <cell r="H663">
            <v>0.26400000000000001</v>
          </cell>
          <cell r="I663">
            <v>0.252</v>
          </cell>
          <cell r="J663">
            <v>0.24199999999999999</v>
          </cell>
          <cell r="K663">
            <v>0.23</v>
          </cell>
          <cell r="L663">
            <v>0.215</v>
          </cell>
          <cell r="M663">
            <v>0.19800000000000001</v>
          </cell>
          <cell r="N663">
            <v>0.17499999999999999</v>
          </cell>
          <cell r="O663">
            <v>0.17299999999999999</v>
          </cell>
          <cell r="P663">
            <v>0.16700000000000001</v>
          </cell>
          <cell r="Q663">
            <v>0.185</v>
          </cell>
          <cell r="R663">
            <v>0.17799999999999999</v>
          </cell>
          <cell r="S663">
            <v>0.189</v>
          </cell>
          <cell r="T663">
            <v>0.16</v>
          </cell>
          <cell r="U663">
            <v>0.155</v>
          </cell>
          <cell r="V663">
            <v>0.15</v>
          </cell>
          <cell r="W663">
            <v>0.14499999999999999</v>
          </cell>
          <cell r="X663">
            <v>0.13800000000000001</v>
          </cell>
          <cell r="Y663">
            <v>0.129</v>
          </cell>
          <cell r="Z663">
            <v>0.114</v>
          </cell>
          <cell r="AA663">
            <v>8.3000000000000004E-2</v>
          </cell>
          <cell r="AB663">
            <v>0.16200000000000001</v>
          </cell>
          <cell r="AC663">
            <v>0.186</v>
          </cell>
        </row>
        <row r="664">
          <cell r="A664" t="str">
            <v>Rate Single-family - Privately rented (%)</v>
          </cell>
          <cell r="C664">
            <v>2.3E-2</v>
          </cell>
          <cell r="D664">
            <v>1.9E-2</v>
          </cell>
          <cell r="E664">
            <v>4.2000000000000003E-2</v>
          </cell>
          <cell r="F664">
            <v>3.3000000000000002E-2</v>
          </cell>
          <cell r="G664">
            <v>2.5999999999999999E-2</v>
          </cell>
          <cell r="H664">
            <v>2.1999999999999999E-2</v>
          </cell>
          <cell r="I664">
            <v>1.7999999999999999E-2</v>
          </cell>
          <cell r="J664">
            <v>2.7E-2</v>
          </cell>
          <cell r="K664">
            <v>2.1000000000000001E-2</v>
          </cell>
          <cell r="L664">
            <v>1.7000000000000001E-2</v>
          </cell>
          <cell r="M664">
            <v>1.2999999999999999E-2</v>
          </cell>
          <cell r="N664">
            <v>1.0999999999999999E-2</v>
          </cell>
          <cell r="O664">
            <v>8.9999999999999993E-3</v>
          </cell>
          <cell r="P664">
            <v>6.3E-2</v>
          </cell>
          <cell r="Q664">
            <v>5.7000000000000002E-2</v>
          </cell>
          <cell r="R664">
            <v>5.0999999999999997E-2</v>
          </cell>
          <cell r="S664">
            <v>4.5999999999999999E-2</v>
          </cell>
          <cell r="T664">
            <v>4.1000000000000002E-2</v>
          </cell>
          <cell r="U664">
            <v>3.5999999999999997E-2</v>
          </cell>
          <cell r="V664">
            <v>3.3000000000000002E-2</v>
          </cell>
          <cell r="W664">
            <v>0.03</v>
          </cell>
          <cell r="X664">
            <v>2.8000000000000001E-2</v>
          </cell>
          <cell r="Y664">
            <v>2.7E-2</v>
          </cell>
          <cell r="Z664">
            <v>2.5000000000000001E-2</v>
          </cell>
          <cell r="AA664">
            <v>2.3E-2</v>
          </cell>
          <cell r="AB664">
            <v>2.1999999999999999E-2</v>
          </cell>
          <cell r="AC664">
            <v>0.02</v>
          </cell>
        </row>
        <row r="665">
          <cell r="A665" t="str">
            <v>Rate Single-family - Social-housing (%)</v>
          </cell>
          <cell r="C665">
            <v>0.02</v>
          </cell>
          <cell r="D665">
            <v>4.1000000000000002E-2</v>
          </cell>
          <cell r="E665">
            <v>6.3E-2</v>
          </cell>
          <cell r="F665">
            <v>7.4999999999999997E-2</v>
          </cell>
          <cell r="G665">
            <v>7.3999999999999996E-2</v>
          </cell>
          <cell r="H665">
            <v>7.1999999999999995E-2</v>
          </cell>
          <cell r="I665">
            <v>7.5999999999999998E-2</v>
          </cell>
          <cell r="J665">
            <v>8.3000000000000004E-2</v>
          </cell>
          <cell r="K665">
            <v>8.8999999999999996E-2</v>
          </cell>
          <cell r="L665">
            <v>0.10100000000000001</v>
          </cell>
          <cell r="M665">
            <v>0.122</v>
          </cell>
          <cell r="N665">
            <v>0.121</v>
          </cell>
          <cell r="O665">
            <v>0.126</v>
          </cell>
          <cell r="P665">
            <v>0.113</v>
          </cell>
          <cell r="Q665">
            <v>0.107</v>
          </cell>
          <cell r="R665">
            <v>0.105</v>
          </cell>
          <cell r="S665">
            <v>0.1</v>
          </cell>
          <cell r="T665">
            <v>9.0999999999999998E-2</v>
          </cell>
          <cell r="U665">
            <v>8.7999999999999995E-2</v>
          </cell>
          <cell r="V665">
            <v>4.1000000000000002E-2</v>
          </cell>
          <cell r="W665">
            <v>4.5999999999999999E-2</v>
          </cell>
          <cell r="X665">
            <v>4.3999999999999997E-2</v>
          </cell>
          <cell r="Y665">
            <v>4.2999999999999997E-2</v>
          </cell>
          <cell r="Z665">
            <v>4.2000000000000003E-2</v>
          </cell>
          <cell r="AA665">
            <v>0.04</v>
          </cell>
          <cell r="AB665">
            <v>3.9E-2</v>
          </cell>
          <cell r="AC665">
            <v>3.7999999999999999E-2</v>
          </cell>
        </row>
        <row r="666">
          <cell r="A666" t="str">
            <v>Ratio expenditure Multi-family - Owner-occupied - C1 (%)</v>
          </cell>
          <cell r="C666">
            <v>6.9000000000000006E-2</v>
          </cell>
          <cell r="D666">
            <v>7.1999999999999995E-2</v>
          </cell>
          <cell r="E666">
            <v>7.1999999999999995E-2</v>
          </cell>
          <cell r="F666">
            <v>7.3999999999999996E-2</v>
          </cell>
          <cell r="G666">
            <v>7.3999999999999996E-2</v>
          </cell>
          <cell r="H666">
            <v>7.1999999999999995E-2</v>
          </cell>
          <cell r="I666">
            <v>7.0999999999999994E-2</v>
          </cell>
          <cell r="J666">
            <v>7.0000000000000007E-2</v>
          </cell>
          <cell r="K666">
            <v>6.9000000000000006E-2</v>
          </cell>
          <cell r="L666">
            <v>6.8000000000000005E-2</v>
          </cell>
          <cell r="M666">
            <v>6.5000000000000002E-2</v>
          </cell>
          <cell r="N666">
            <v>6.0999999999999999E-2</v>
          </cell>
          <cell r="O666">
            <v>5.8999999999999997E-2</v>
          </cell>
          <cell r="P666">
            <v>5.6000000000000001E-2</v>
          </cell>
          <cell r="Q666">
            <v>5.5E-2</v>
          </cell>
          <cell r="R666">
            <v>5.2999999999999999E-2</v>
          </cell>
          <cell r="S666">
            <v>0.06</v>
          </cell>
          <cell r="T666">
            <v>5.1999999999999998E-2</v>
          </cell>
          <cell r="U666">
            <v>5.0999999999999997E-2</v>
          </cell>
          <cell r="V666">
            <v>0.05</v>
          </cell>
          <cell r="W666">
            <v>4.9000000000000002E-2</v>
          </cell>
          <cell r="X666">
            <v>4.8000000000000001E-2</v>
          </cell>
          <cell r="Y666">
            <v>4.7E-2</v>
          </cell>
          <cell r="Z666">
            <v>4.4999999999999998E-2</v>
          </cell>
          <cell r="AA666">
            <v>4.2999999999999997E-2</v>
          </cell>
          <cell r="AB666">
            <v>4.2000000000000003E-2</v>
          </cell>
          <cell r="AC666">
            <v>4.1000000000000002E-2</v>
          </cell>
        </row>
        <row r="667">
          <cell r="A667" t="str">
            <v>Ratio expenditure Multi-family - Owner-occupied - C2 (%)</v>
          </cell>
          <cell r="C667">
            <v>4.3999999999999997E-2</v>
          </cell>
          <cell r="D667">
            <v>4.4999999999999998E-2</v>
          </cell>
          <cell r="E667">
            <v>4.5999999999999999E-2</v>
          </cell>
          <cell r="F667">
            <v>4.7E-2</v>
          </cell>
          <cell r="G667">
            <v>4.7E-2</v>
          </cell>
          <cell r="H667">
            <v>4.7E-2</v>
          </cell>
          <cell r="I667">
            <v>4.5999999999999999E-2</v>
          </cell>
          <cell r="J667">
            <v>4.5999999999999999E-2</v>
          </cell>
          <cell r="K667">
            <v>4.4999999999999998E-2</v>
          </cell>
          <cell r="L667">
            <v>4.4999999999999998E-2</v>
          </cell>
          <cell r="M667">
            <v>4.2999999999999997E-2</v>
          </cell>
          <cell r="N667">
            <v>0.04</v>
          </cell>
          <cell r="O667">
            <v>3.9E-2</v>
          </cell>
          <cell r="P667">
            <v>3.6999999999999998E-2</v>
          </cell>
          <cell r="Q667">
            <v>3.5999999999999997E-2</v>
          </cell>
          <cell r="R667">
            <v>3.5000000000000003E-2</v>
          </cell>
          <cell r="S667">
            <v>3.9E-2</v>
          </cell>
          <cell r="T667">
            <v>3.4000000000000002E-2</v>
          </cell>
          <cell r="U667">
            <v>3.3000000000000002E-2</v>
          </cell>
          <cell r="V667">
            <v>3.2000000000000001E-2</v>
          </cell>
          <cell r="W667">
            <v>3.2000000000000001E-2</v>
          </cell>
          <cell r="X667">
            <v>3.1E-2</v>
          </cell>
          <cell r="Y667">
            <v>0.03</v>
          </cell>
          <cell r="Z667">
            <v>2.9000000000000001E-2</v>
          </cell>
          <cell r="AA667">
            <v>2.9000000000000001E-2</v>
          </cell>
          <cell r="AB667">
            <v>2.8000000000000001E-2</v>
          </cell>
          <cell r="AC667">
            <v>2.7E-2</v>
          </cell>
        </row>
        <row r="668">
          <cell r="A668" t="str">
            <v>Ratio expenditure Multi-family - Owner-occupied - C3 (%)</v>
          </cell>
          <cell r="C668">
            <v>3.4000000000000002E-2</v>
          </cell>
          <cell r="D668">
            <v>3.5000000000000003E-2</v>
          </cell>
          <cell r="E668">
            <v>3.5000000000000003E-2</v>
          </cell>
          <cell r="F668">
            <v>3.5999999999999997E-2</v>
          </cell>
          <cell r="G668">
            <v>3.5999999999999997E-2</v>
          </cell>
          <cell r="H668">
            <v>3.5999999999999997E-2</v>
          </cell>
          <cell r="I668">
            <v>3.5000000000000003E-2</v>
          </cell>
          <cell r="J668">
            <v>3.5000000000000003E-2</v>
          </cell>
          <cell r="K668">
            <v>3.5000000000000003E-2</v>
          </cell>
          <cell r="L668">
            <v>3.5000000000000003E-2</v>
          </cell>
          <cell r="M668">
            <v>3.3000000000000002E-2</v>
          </cell>
          <cell r="N668">
            <v>3.1E-2</v>
          </cell>
          <cell r="O668">
            <v>0.03</v>
          </cell>
          <cell r="P668">
            <v>2.8000000000000001E-2</v>
          </cell>
          <cell r="Q668">
            <v>2.8000000000000001E-2</v>
          </cell>
          <cell r="R668">
            <v>2.7E-2</v>
          </cell>
          <cell r="S668">
            <v>0.03</v>
          </cell>
          <cell r="T668">
            <v>2.5999999999999999E-2</v>
          </cell>
          <cell r="U668">
            <v>2.5000000000000001E-2</v>
          </cell>
          <cell r="V668">
            <v>2.5000000000000001E-2</v>
          </cell>
          <cell r="W668">
            <v>2.4E-2</v>
          </cell>
          <cell r="X668">
            <v>2.4E-2</v>
          </cell>
          <cell r="Y668">
            <v>2.3E-2</v>
          </cell>
          <cell r="Z668">
            <v>2.3E-2</v>
          </cell>
          <cell r="AA668">
            <v>2.1999999999999999E-2</v>
          </cell>
          <cell r="AB668">
            <v>2.1999999999999999E-2</v>
          </cell>
          <cell r="AC668">
            <v>2.1000000000000001E-2</v>
          </cell>
        </row>
        <row r="669">
          <cell r="A669" t="str">
            <v>Ratio expenditure Multi-family - Owner-occupied - C4 (%)</v>
          </cell>
          <cell r="C669">
            <v>2.5999999999999999E-2</v>
          </cell>
          <cell r="D669">
            <v>2.7E-2</v>
          </cell>
          <cell r="E669">
            <v>2.7E-2</v>
          </cell>
          <cell r="F669">
            <v>2.8000000000000001E-2</v>
          </cell>
          <cell r="G669">
            <v>2.8000000000000001E-2</v>
          </cell>
          <cell r="H669">
            <v>2.7E-2</v>
          </cell>
          <cell r="I669">
            <v>2.7E-2</v>
          </cell>
          <cell r="J669">
            <v>2.7E-2</v>
          </cell>
          <cell r="K669">
            <v>2.7E-2</v>
          </cell>
          <cell r="L669">
            <v>2.5999999999999999E-2</v>
          </cell>
          <cell r="M669">
            <v>2.5000000000000001E-2</v>
          </cell>
          <cell r="N669">
            <v>2.4E-2</v>
          </cell>
          <cell r="O669">
            <v>2.3E-2</v>
          </cell>
          <cell r="P669">
            <v>2.1999999999999999E-2</v>
          </cell>
          <cell r="Q669">
            <v>2.1000000000000001E-2</v>
          </cell>
          <cell r="R669">
            <v>2.1000000000000001E-2</v>
          </cell>
          <cell r="S669">
            <v>2.3E-2</v>
          </cell>
          <cell r="T669">
            <v>0.02</v>
          </cell>
          <cell r="U669">
            <v>0.02</v>
          </cell>
          <cell r="V669">
            <v>1.9E-2</v>
          </cell>
          <cell r="W669">
            <v>1.9E-2</v>
          </cell>
          <cell r="X669">
            <v>1.7999999999999999E-2</v>
          </cell>
          <cell r="Y669">
            <v>1.7999999999999999E-2</v>
          </cell>
          <cell r="Z669">
            <v>1.7999999999999999E-2</v>
          </cell>
          <cell r="AA669">
            <v>1.7000000000000001E-2</v>
          </cell>
          <cell r="AB669">
            <v>1.7000000000000001E-2</v>
          </cell>
          <cell r="AC669">
            <v>1.6E-2</v>
          </cell>
        </row>
        <row r="670">
          <cell r="A670" t="str">
            <v>Ratio expenditure Multi-family - Owner-occupied - C5 (%)</v>
          </cell>
          <cell r="C670">
            <v>1.6E-2</v>
          </cell>
          <cell r="D670">
            <v>1.7000000000000001E-2</v>
          </cell>
          <cell r="E670">
            <v>1.7000000000000001E-2</v>
          </cell>
          <cell r="F670">
            <v>1.7999999999999999E-2</v>
          </cell>
          <cell r="G670">
            <v>1.7000000000000001E-2</v>
          </cell>
          <cell r="H670">
            <v>1.7000000000000001E-2</v>
          </cell>
          <cell r="I670">
            <v>1.7000000000000001E-2</v>
          </cell>
          <cell r="J670">
            <v>1.7000000000000001E-2</v>
          </cell>
          <cell r="K670">
            <v>1.7000000000000001E-2</v>
          </cell>
          <cell r="L670">
            <v>1.7000000000000001E-2</v>
          </cell>
          <cell r="M670">
            <v>1.6E-2</v>
          </cell>
          <cell r="N670">
            <v>1.4999999999999999E-2</v>
          </cell>
          <cell r="O670">
            <v>1.4E-2</v>
          </cell>
          <cell r="P670">
            <v>1.4E-2</v>
          </cell>
          <cell r="Q670">
            <v>1.2999999999999999E-2</v>
          </cell>
          <cell r="R670">
            <v>1.2999999999999999E-2</v>
          </cell>
          <cell r="S670">
            <v>1.4E-2</v>
          </cell>
          <cell r="T670">
            <v>1.2E-2</v>
          </cell>
          <cell r="U670">
            <v>1.2E-2</v>
          </cell>
          <cell r="V670">
            <v>1.2E-2</v>
          </cell>
          <cell r="W670">
            <v>1.2E-2</v>
          </cell>
          <cell r="X670">
            <v>1.0999999999999999E-2</v>
          </cell>
          <cell r="Y670">
            <v>1.0999999999999999E-2</v>
          </cell>
          <cell r="Z670">
            <v>1.0999999999999999E-2</v>
          </cell>
          <cell r="AA670">
            <v>1.0999999999999999E-2</v>
          </cell>
          <cell r="AB670">
            <v>0.01</v>
          </cell>
          <cell r="AC670">
            <v>0.01</v>
          </cell>
        </row>
        <row r="671">
          <cell r="A671" t="str">
            <v>Ratio expenditure Multi-family - Privately rented - C1 (%)</v>
          </cell>
          <cell r="C671">
            <v>5.2999999999999999E-2</v>
          </cell>
          <cell r="D671">
            <v>5.6000000000000001E-2</v>
          </cell>
          <cell r="E671">
            <v>5.7000000000000002E-2</v>
          </cell>
          <cell r="F671">
            <v>0.06</v>
          </cell>
          <cell r="G671">
            <v>0.06</v>
          </cell>
          <cell r="H671">
            <v>6.0999999999999999E-2</v>
          </cell>
          <cell r="I671">
            <v>0.06</v>
          </cell>
          <cell r="J671">
            <v>6.0999999999999999E-2</v>
          </cell>
          <cell r="K671">
            <v>6.0999999999999999E-2</v>
          </cell>
          <cell r="L671">
            <v>6.0999999999999999E-2</v>
          </cell>
          <cell r="M671">
            <v>5.8000000000000003E-2</v>
          </cell>
          <cell r="N671">
            <v>5.3999999999999999E-2</v>
          </cell>
          <cell r="O671">
            <v>5.1999999999999998E-2</v>
          </cell>
          <cell r="P671">
            <v>0.05</v>
          </cell>
          <cell r="Q671">
            <v>0.05</v>
          </cell>
          <cell r="R671">
            <v>4.9000000000000002E-2</v>
          </cell>
          <cell r="S671">
            <v>5.2999999999999999E-2</v>
          </cell>
          <cell r="T671">
            <v>4.8000000000000001E-2</v>
          </cell>
          <cell r="U671">
            <v>4.8000000000000001E-2</v>
          </cell>
          <cell r="V671">
            <v>4.7E-2</v>
          </cell>
          <cell r="W671">
            <v>4.7E-2</v>
          </cell>
          <cell r="X671">
            <v>4.5999999999999999E-2</v>
          </cell>
          <cell r="Y671">
            <v>4.5999999999999999E-2</v>
          </cell>
          <cell r="Z671">
            <v>4.3999999999999997E-2</v>
          </cell>
          <cell r="AA671">
            <v>4.2000000000000003E-2</v>
          </cell>
          <cell r="AB671">
            <v>4.1000000000000002E-2</v>
          </cell>
          <cell r="AC671">
            <v>0.04</v>
          </cell>
        </row>
        <row r="672">
          <cell r="A672" t="str">
            <v>Ratio expenditure Multi-family - Privately rented - C2 (%)</v>
          </cell>
          <cell r="C672">
            <v>3.4000000000000002E-2</v>
          </cell>
          <cell r="D672">
            <v>3.5999999999999997E-2</v>
          </cell>
          <cell r="E672">
            <v>3.6999999999999998E-2</v>
          </cell>
          <cell r="F672">
            <v>3.7999999999999999E-2</v>
          </cell>
          <cell r="G672">
            <v>3.7999999999999999E-2</v>
          </cell>
          <cell r="H672">
            <v>3.7999999999999999E-2</v>
          </cell>
          <cell r="I672">
            <v>3.7999999999999999E-2</v>
          </cell>
          <cell r="J672">
            <v>3.7999999999999999E-2</v>
          </cell>
          <cell r="K672">
            <v>3.7999999999999999E-2</v>
          </cell>
          <cell r="L672">
            <v>3.7999999999999999E-2</v>
          </cell>
          <cell r="M672">
            <v>3.5999999999999997E-2</v>
          </cell>
          <cell r="N672">
            <v>3.4000000000000002E-2</v>
          </cell>
          <cell r="O672">
            <v>3.3000000000000002E-2</v>
          </cell>
          <cell r="P672">
            <v>3.2000000000000001E-2</v>
          </cell>
          <cell r="Q672">
            <v>3.1E-2</v>
          </cell>
          <cell r="R672">
            <v>3.1E-2</v>
          </cell>
          <cell r="S672">
            <v>3.4000000000000002E-2</v>
          </cell>
          <cell r="T672">
            <v>3.1E-2</v>
          </cell>
          <cell r="U672">
            <v>0.03</v>
          </cell>
          <cell r="V672">
            <v>0.03</v>
          </cell>
          <cell r="W672">
            <v>0.03</v>
          </cell>
          <cell r="X672">
            <v>2.9000000000000001E-2</v>
          </cell>
          <cell r="Y672">
            <v>2.9000000000000001E-2</v>
          </cell>
          <cell r="Z672">
            <v>2.8000000000000001E-2</v>
          </cell>
          <cell r="AA672">
            <v>2.7E-2</v>
          </cell>
          <cell r="AB672">
            <v>2.5999999999999999E-2</v>
          </cell>
          <cell r="AC672">
            <v>2.5000000000000001E-2</v>
          </cell>
        </row>
        <row r="673">
          <cell r="A673" t="str">
            <v>Ratio expenditure Multi-family - Privately rented - C3 (%)</v>
          </cell>
          <cell r="C673">
            <v>2.5000000000000001E-2</v>
          </cell>
          <cell r="D673">
            <v>2.5999999999999999E-2</v>
          </cell>
          <cell r="E673">
            <v>2.7E-2</v>
          </cell>
          <cell r="F673">
            <v>2.8000000000000001E-2</v>
          </cell>
          <cell r="G673">
            <v>2.8000000000000001E-2</v>
          </cell>
          <cell r="H673">
            <v>2.8000000000000001E-2</v>
          </cell>
          <cell r="I673">
            <v>2.8000000000000001E-2</v>
          </cell>
          <cell r="J673">
            <v>2.8000000000000001E-2</v>
          </cell>
          <cell r="K673">
            <v>2.8000000000000001E-2</v>
          </cell>
          <cell r="L673">
            <v>2.8000000000000001E-2</v>
          </cell>
          <cell r="M673">
            <v>2.5999999999999999E-2</v>
          </cell>
          <cell r="N673">
            <v>2.5000000000000001E-2</v>
          </cell>
          <cell r="O673">
            <v>2.4E-2</v>
          </cell>
          <cell r="P673">
            <v>2.3E-2</v>
          </cell>
          <cell r="Q673">
            <v>2.3E-2</v>
          </cell>
          <cell r="R673">
            <v>2.3E-2</v>
          </cell>
          <cell r="S673">
            <v>2.5000000000000001E-2</v>
          </cell>
          <cell r="T673">
            <v>2.1999999999999999E-2</v>
          </cell>
          <cell r="U673">
            <v>2.1999999999999999E-2</v>
          </cell>
          <cell r="V673">
            <v>2.1999999999999999E-2</v>
          </cell>
          <cell r="W673">
            <v>2.1999999999999999E-2</v>
          </cell>
          <cell r="X673">
            <v>2.1000000000000001E-2</v>
          </cell>
          <cell r="Y673">
            <v>2.1000000000000001E-2</v>
          </cell>
          <cell r="Z673">
            <v>0.02</v>
          </cell>
          <cell r="AA673">
            <v>0.02</v>
          </cell>
          <cell r="AB673">
            <v>1.9E-2</v>
          </cell>
          <cell r="AC673">
            <v>1.7999999999999999E-2</v>
          </cell>
        </row>
        <row r="674">
          <cell r="A674" t="str">
            <v>Ratio expenditure Multi-family - Privately rented - C4 (%)</v>
          </cell>
          <cell r="C674">
            <v>0.02</v>
          </cell>
          <cell r="D674">
            <v>2.1000000000000001E-2</v>
          </cell>
          <cell r="E674">
            <v>2.1000000000000001E-2</v>
          </cell>
          <cell r="F674">
            <v>2.1999999999999999E-2</v>
          </cell>
          <cell r="G674">
            <v>2.1999999999999999E-2</v>
          </cell>
          <cell r="H674">
            <v>2.1999999999999999E-2</v>
          </cell>
          <cell r="I674">
            <v>2.1000000000000001E-2</v>
          </cell>
          <cell r="J674">
            <v>2.1000000000000001E-2</v>
          </cell>
          <cell r="K674">
            <v>2.1000000000000001E-2</v>
          </cell>
          <cell r="L674">
            <v>2.1000000000000001E-2</v>
          </cell>
          <cell r="M674">
            <v>0.02</v>
          </cell>
          <cell r="N674">
            <v>1.9E-2</v>
          </cell>
          <cell r="O674">
            <v>1.7999999999999999E-2</v>
          </cell>
          <cell r="P674">
            <v>1.7999999999999999E-2</v>
          </cell>
          <cell r="Q674">
            <v>1.7999999999999999E-2</v>
          </cell>
          <cell r="R674">
            <v>1.7000000000000001E-2</v>
          </cell>
          <cell r="S674">
            <v>1.9E-2</v>
          </cell>
          <cell r="T674">
            <v>1.7000000000000001E-2</v>
          </cell>
          <cell r="U674">
            <v>1.7000000000000001E-2</v>
          </cell>
          <cell r="V674">
            <v>1.7000000000000001E-2</v>
          </cell>
          <cell r="W674">
            <v>1.6E-2</v>
          </cell>
          <cell r="X674">
            <v>1.6E-2</v>
          </cell>
          <cell r="Y674">
            <v>1.6E-2</v>
          </cell>
          <cell r="Z674">
            <v>1.4999999999999999E-2</v>
          </cell>
          <cell r="AA674">
            <v>1.4999999999999999E-2</v>
          </cell>
          <cell r="AB674">
            <v>1.4E-2</v>
          </cell>
          <cell r="AC674">
            <v>1.4E-2</v>
          </cell>
        </row>
        <row r="675">
          <cell r="A675" t="str">
            <v>Ratio expenditure Multi-family - Privately rented - C5 (%)</v>
          </cell>
          <cell r="C675">
            <v>1.2999999999999999E-2</v>
          </cell>
          <cell r="D675">
            <v>1.2999999999999999E-2</v>
          </cell>
          <cell r="E675">
            <v>1.2999999999999999E-2</v>
          </cell>
          <cell r="F675">
            <v>1.4E-2</v>
          </cell>
          <cell r="G675">
            <v>1.4E-2</v>
          </cell>
          <cell r="H675">
            <v>1.4E-2</v>
          </cell>
          <cell r="I675">
            <v>1.2999999999999999E-2</v>
          </cell>
          <cell r="J675">
            <v>1.2999999999999999E-2</v>
          </cell>
          <cell r="K675">
            <v>1.2999999999999999E-2</v>
          </cell>
          <cell r="L675">
            <v>1.2999999999999999E-2</v>
          </cell>
          <cell r="M675">
            <v>1.2E-2</v>
          </cell>
          <cell r="N675">
            <v>1.2E-2</v>
          </cell>
          <cell r="O675">
            <v>1.0999999999999999E-2</v>
          </cell>
          <cell r="P675">
            <v>1.0999999999999999E-2</v>
          </cell>
          <cell r="Q675">
            <v>1.0999999999999999E-2</v>
          </cell>
          <cell r="R675">
            <v>0.01</v>
          </cell>
          <cell r="S675">
            <v>1.2E-2</v>
          </cell>
          <cell r="T675">
            <v>0.01</v>
          </cell>
          <cell r="U675">
            <v>0.01</v>
          </cell>
          <cell r="V675">
            <v>0.01</v>
          </cell>
          <cell r="W675">
            <v>0.01</v>
          </cell>
          <cell r="X675">
            <v>8.9999999999999993E-3</v>
          </cell>
          <cell r="Y675">
            <v>8.9999999999999993E-3</v>
          </cell>
          <cell r="Z675">
            <v>8.9999999999999993E-3</v>
          </cell>
          <cell r="AA675">
            <v>8.9999999999999993E-3</v>
          </cell>
          <cell r="AB675">
            <v>8.0000000000000002E-3</v>
          </cell>
          <cell r="AC675">
            <v>8.0000000000000002E-3</v>
          </cell>
        </row>
        <row r="676">
          <cell r="A676" t="str">
            <v>Ratio expenditure Multi-family - Social-housing - C1 (%)</v>
          </cell>
          <cell r="C676">
            <v>4.3999999999999997E-2</v>
          </cell>
          <cell r="D676">
            <v>4.7E-2</v>
          </cell>
          <cell r="E676">
            <v>0.05</v>
          </cell>
          <cell r="F676">
            <v>5.3999999999999999E-2</v>
          </cell>
          <cell r="G676">
            <v>5.6000000000000001E-2</v>
          </cell>
          <cell r="H676">
            <v>5.8000000000000003E-2</v>
          </cell>
          <cell r="I676">
            <v>5.8999999999999997E-2</v>
          </cell>
          <cell r="J676">
            <v>6.0999999999999999E-2</v>
          </cell>
          <cell r="K676">
            <v>6.2E-2</v>
          </cell>
          <cell r="L676">
            <v>6.4000000000000001E-2</v>
          </cell>
          <cell r="M676">
            <v>6.3E-2</v>
          </cell>
          <cell r="N676">
            <v>6.2E-2</v>
          </cell>
          <cell r="O676">
            <v>0.06</v>
          </cell>
          <cell r="P676">
            <v>5.8999999999999997E-2</v>
          </cell>
          <cell r="Q676">
            <v>5.8000000000000003E-2</v>
          </cell>
          <cell r="R676">
            <v>5.7000000000000002E-2</v>
          </cell>
          <cell r="S676">
            <v>6.3E-2</v>
          </cell>
          <cell r="T676">
            <v>5.7000000000000002E-2</v>
          </cell>
          <cell r="U676">
            <v>5.7000000000000002E-2</v>
          </cell>
          <cell r="V676">
            <v>5.6000000000000001E-2</v>
          </cell>
          <cell r="W676">
            <v>5.5E-2</v>
          </cell>
          <cell r="X676">
            <v>5.3999999999999999E-2</v>
          </cell>
          <cell r="Y676">
            <v>5.2999999999999999E-2</v>
          </cell>
          <cell r="Z676">
            <v>5.1999999999999998E-2</v>
          </cell>
          <cell r="AA676">
            <v>5.0999999999999997E-2</v>
          </cell>
          <cell r="AB676">
            <v>0.05</v>
          </cell>
          <cell r="AC676">
            <v>4.9000000000000002E-2</v>
          </cell>
        </row>
        <row r="677">
          <cell r="A677" t="str">
            <v>Ratio expenditure Multi-family - Social-housing - C2 (%)</v>
          </cell>
          <cell r="C677">
            <v>2.9000000000000001E-2</v>
          </cell>
          <cell r="D677">
            <v>3.1E-2</v>
          </cell>
          <cell r="E677">
            <v>3.2000000000000001E-2</v>
          </cell>
          <cell r="F677">
            <v>3.5000000000000003E-2</v>
          </cell>
          <cell r="G677">
            <v>3.5999999999999997E-2</v>
          </cell>
          <cell r="H677">
            <v>3.6999999999999998E-2</v>
          </cell>
          <cell r="I677">
            <v>3.6999999999999998E-2</v>
          </cell>
          <cell r="J677">
            <v>3.7999999999999999E-2</v>
          </cell>
          <cell r="K677">
            <v>3.9E-2</v>
          </cell>
          <cell r="L677">
            <v>0.04</v>
          </cell>
          <cell r="M677">
            <v>3.9E-2</v>
          </cell>
          <cell r="N677">
            <v>3.7999999999999999E-2</v>
          </cell>
          <cell r="O677">
            <v>3.6999999999999998E-2</v>
          </cell>
          <cell r="P677">
            <v>3.5999999999999997E-2</v>
          </cell>
          <cell r="Q677">
            <v>3.5999999999999997E-2</v>
          </cell>
          <cell r="R677">
            <v>3.5000000000000003E-2</v>
          </cell>
          <cell r="S677">
            <v>3.9E-2</v>
          </cell>
          <cell r="T677">
            <v>3.5000000000000003E-2</v>
          </cell>
          <cell r="U677">
            <v>3.5000000000000003E-2</v>
          </cell>
          <cell r="V677">
            <v>3.5000000000000003E-2</v>
          </cell>
          <cell r="W677">
            <v>3.4000000000000002E-2</v>
          </cell>
          <cell r="X677">
            <v>3.4000000000000002E-2</v>
          </cell>
          <cell r="Y677">
            <v>3.3000000000000002E-2</v>
          </cell>
          <cell r="Z677">
            <v>3.3000000000000002E-2</v>
          </cell>
          <cell r="AA677">
            <v>3.2000000000000001E-2</v>
          </cell>
          <cell r="AB677">
            <v>3.1E-2</v>
          </cell>
          <cell r="AC677">
            <v>3.1E-2</v>
          </cell>
        </row>
        <row r="678">
          <cell r="A678" t="str">
            <v>Ratio expenditure Multi-family - Social-housing - C3 (%)</v>
          </cell>
          <cell r="C678">
            <v>2.1999999999999999E-2</v>
          </cell>
          <cell r="D678">
            <v>2.4E-2</v>
          </cell>
          <cell r="E678">
            <v>2.5000000000000001E-2</v>
          </cell>
          <cell r="F678">
            <v>2.5999999999999999E-2</v>
          </cell>
          <cell r="G678">
            <v>2.7E-2</v>
          </cell>
          <cell r="H678">
            <v>2.8000000000000001E-2</v>
          </cell>
          <cell r="I678">
            <v>2.8000000000000001E-2</v>
          </cell>
          <cell r="J678">
            <v>2.9000000000000001E-2</v>
          </cell>
          <cell r="K678">
            <v>2.9000000000000001E-2</v>
          </cell>
          <cell r="L678">
            <v>0.03</v>
          </cell>
          <cell r="M678">
            <v>2.9000000000000001E-2</v>
          </cell>
          <cell r="N678">
            <v>2.8000000000000001E-2</v>
          </cell>
          <cell r="O678">
            <v>2.8000000000000001E-2</v>
          </cell>
          <cell r="P678">
            <v>2.7E-2</v>
          </cell>
          <cell r="Q678">
            <v>2.5999999999999999E-2</v>
          </cell>
          <cell r="R678">
            <v>2.5999999999999999E-2</v>
          </cell>
          <cell r="S678">
            <v>2.9000000000000001E-2</v>
          </cell>
          <cell r="T678">
            <v>2.5999999999999999E-2</v>
          </cell>
          <cell r="U678">
            <v>2.5999999999999999E-2</v>
          </cell>
          <cell r="V678">
            <v>2.5000000000000001E-2</v>
          </cell>
          <cell r="W678">
            <v>2.5000000000000001E-2</v>
          </cell>
          <cell r="X678">
            <v>2.4E-2</v>
          </cell>
          <cell r="Y678">
            <v>2.4E-2</v>
          </cell>
          <cell r="Z678">
            <v>2.4E-2</v>
          </cell>
          <cell r="AA678">
            <v>2.3E-2</v>
          </cell>
          <cell r="AB678">
            <v>2.3E-2</v>
          </cell>
          <cell r="AC678">
            <v>2.1999999999999999E-2</v>
          </cell>
        </row>
        <row r="679">
          <cell r="A679" t="str">
            <v>Ratio expenditure Multi-family - Social-housing - C4 (%)</v>
          </cell>
          <cell r="C679">
            <v>1.7000000000000001E-2</v>
          </cell>
          <cell r="D679">
            <v>1.7999999999999999E-2</v>
          </cell>
          <cell r="E679">
            <v>1.9E-2</v>
          </cell>
          <cell r="F679">
            <v>0.02</v>
          </cell>
          <cell r="G679">
            <v>0.02</v>
          </cell>
          <cell r="H679">
            <v>2.1000000000000001E-2</v>
          </cell>
          <cell r="I679">
            <v>2.1000000000000001E-2</v>
          </cell>
          <cell r="J679">
            <v>2.1000000000000001E-2</v>
          </cell>
          <cell r="K679">
            <v>2.1999999999999999E-2</v>
          </cell>
          <cell r="L679">
            <v>2.1999999999999999E-2</v>
          </cell>
          <cell r="M679">
            <v>2.1999999999999999E-2</v>
          </cell>
          <cell r="N679">
            <v>2.1000000000000001E-2</v>
          </cell>
          <cell r="O679">
            <v>0.02</v>
          </cell>
          <cell r="P679">
            <v>0.02</v>
          </cell>
          <cell r="Q679">
            <v>1.9E-2</v>
          </cell>
          <cell r="R679">
            <v>1.9E-2</v>
          </cell>
          <cell r="S679">
            <v>2.1999999999999999E-2</v>
          </cell>
          <cell r="T679">
            <v>1.9E-2</v>
          </cell>
          <cell r="U679">
            <v>1.9E-2</v>
          </cell>
          <cell r="V679">
            <v>1.9E-2</v>
          </cell>
          <cell r="W679">
            <v>1.9E-2</v>
          </cell>
          <cell r="X679">
            <v>1.7999999999999999E-2</v>
          </cell>
          <cell r="Y679">
            <v>1.7999999999999999E-2</v>
          </cell>
          <cell r="Z679">
            <v>1.7999999999999999E-2</v>
          </cell>
          <cell r="AA679">
            <v>1.7000000000000001E-2</v>
          </cell>
          <cell r="AB679">
            <v>1.7000000000000001E-2</v>
          </cell>
          <cell r="AC679">
            <v>1.7000000000000001E-2</v>
          </cell>
        </row>
        <row r="680">
          <cell r="A680" t="str">
            <v>Ratio expenditure Multi-family - Social-housing - C5 (%)</v>
          </cell>
          <cell r="C680">
            <v>1.2E-2</v>
          </cell>
          <cell r="D680">
            <v>1.2E-2</v>
          </cell>
          <cell r="E680">
            <v>1.2E-2</v>
          </cell>
          <cell r="F680">
            <v>1.2999999999999999E-2</v>
          </cell>
          <cell r="G680">
            <v>1.2999999999999999E-2</v>
          </cell>
          <cell r="H680">
            <v>1.2999999999999999E-2</v>
          </cell>
          <cell r="I680">
            <v>1.2999999999999999E-2</v>
          </cell>
          <cell r="J680">
            <v>1.2999999999999999E-2</v>
          </cell>
          <cell r="K680">
            <v>1.2999999999999999E-2</v>
          </cell>
          <cell r="L680">
            <v>1.4E-2</v>
          </cell>
          <cell r="M680">
            <v>1.2999999999999999E-2</v>
          </cell>
          <cell r="N680">
            <v>1.2999999999999999E-2</v>
          </cell>
          <cell r="O680">
            <v>1.2E-2</v>
          </cell>
          <cell r="P680">
            <v>1.2E-2</v>
          </cell>
          <cell r="Q680">
            <v>1.2E-2</v>
          </cell>
          <cell r="R680">
            <v>1.0999999999999999E-2</v>
          </cell>
          <cell r="S680">
            <v>1.2999999999999999E-2</v>
          </cell>
          <cell r="T680">
            <v>1.0999999999999999E-2</v>
          </cell>
          <cell r="U680">
            <v>1.0999999999999999E-2</v>
          </cell>
          <cell r="V680">
            <v>1.0999999999999999E-2</v>
          </cell>
          <cell r="W680">
            <v>1.0999999999999999E-2</v>
          </cell>
          <cell r="X680">
            <v>0.01</v>
          </cell>
          <cell r="Y680">
            <v>0.01</v>
          </cell>
          <cell r="Z680">
            <v>0.01</v>
          </cell>
          <cell r="AA680">
            <v>0.01</v>
          </cell>
          <cell r="AB680">
            <v>0.01</v>
          </cell>
          <cell r="AC680">
            <v>8.9999999999999993E-3</v>
          </cell>
        </row>
        <row r="681">
          <cell r="A681" t="str">
            <v>Ratio expenditure Single-family - Owner-occupied - C1 (%)</v>
          </cell>
          <cell r="C681">
            <v>9.4E-2</v>
          </cell>
          <cell r="D681">
            <v>9.7000000000000003E-2</v>
          </cell>
          <cell r="E681">
            <v>9.7000000000000003E-2</v>
          </cell>
          <cell r="F681">
            <v>9.9000000000000005E-2</v>
          </cell>
          <cell r="G681">
            <v>9.8000000000000004E-2</v>
          </cell>
          <cell r="H681">
            <v>9.7000000000000003E-2</v>
          </cell>
          <cell r="I681">
            <v>9.7000000000000003E-2</v>
          </cell>
          <cell r="J681">
            <v>9.7000000000000003E-2</v>
          </cell>
          <cell r="K681">
            <v>9.7000000000000003E-2</v>
          </cell>
          <cell r="L681">
            <v>9.7000000000000003E-2</v>
          </cell>
          <cell r="M681">
            <v>9.2999999999999999E-2</v>
          </cell>
          <cell r="N681">
            <v>0.09</v>
          </cell>
          <cell r="O681">
            <v>8.6999999999999994E-2</v>
          </cell>
          <cell r="P681">
            <v>8.3000000000000004E-2</v>
          </cell>
          <cell r="Q681">
            <v>0.08</v>
          </cell>
          <cell r="R681">
            <v>7.6999999999999999E-2</v>
          </cell>
          <cell r="S681">
            <v>8.2000000000000003E-2</v>
          </cell>
          <cell r="T681">
            <v>7.1999999999999995E-2</v>
          </cell>
          <cell r="U681">
            <v>7.0000000000000007E-2</v>
          </cell>
          <cell r="V681">
            <v>6.7000000000000004E-2</v>
          </cell>
          <cell r="W681">
            <v>6.6000000000000003E-2</v>
          </cell>
          <cell r="X681">
            <v>6.4000000000000001E-2</v>
          </cell>
          <cell r="Y681">
            <v>6.3E-2</v>
          </cell>
          <cell r="Z681">
            <v>6.2E-2</v>
          </cell>
          <cell r="AA681">
            <v>6.0999999999999999E-2</v>
          </cell>
          <cell r="AB681">
            <v>0.06</v>
          </cell>
          <cell r="AC681">
            <v>5.8999999999999997E-2</v>
          </cell>
        </row>
        <row r="682">
          <cell r="A682" t="str">
            <v>Ratio expenditure Single-family - Owner-occupied - C2 (%)</v>
          </cell>
          <cell r="C682">
            <v>6.2E-2</v>
          </cell>
          <cell r="D682">
            <v>6.4000000000000001E-2</v>
          </cell>
          <cell r="E682">
            <v>6.4000000000000001E-2</v>
          </cell>
          <cell r="F682">
            <v>6.6000000000000003E-2</v>
          </cell>
          <cell r="G682">
            <v>6.6000000000000003E-2</v>
          </cell>
          <cell r="H682">
            <v>6.6000000000000003E-2</v>
          </cell>
          <cell r="I682">
            <v>6.6000000000000003E-2</v>
          </cell>
          <cell r="J682">
            <v>6.7000000000000004E-2</v>
          </cell>
          <cell r="K682">
            <v>6.7000000000000004E-2</v>
          </cell>
          <cell r="L682">
            <v>6.8000000000000005E-2</v>
          </cell>
          <cell r="M682">
            <v>6.6000000000000003E-2</v>
          </cell>
          <cell r="N682">
            <v>6.4000000000000001E-2</v>
          </cell>
          <cell r="O682">
            <v>6.0999999999999999E-2</v>
          </cell>
          <cell r="P682">
            <v>5.8999999999999997E-2</v>
          </cell>
          <cell r="Q682">
            <v>5.7000000000000002E-2</v>
          </cell>
          <cell r="R682">
            <v>5.5E-2</v>
          </cell>
          <cell r="S682">
            <v>5.7000000000000002E-2</v>
          </cell>
          <cell r="T682">
            <v>5.0999999999999997E-2</v>
          </cell>
          <cell r="U682">
            <v>4.9000000000000002E-2</v>
          </cell>
          <cell r="V682">
            <v>4.8000000000000001E-2</v>
          </cell>
          <cell r="W682">
            <v>4.7E-2</v>
          </cell>
          <cell r="X682">
            <v>4.5999999999999999E-2</v>
          </cell>
          <cell r="Y682">
            <v>4.4999999999999998E-2</v>
          </cell>
          <cell r="Z682">
            <v>4.4999999999999998E-2</v>
          </cell>
          <cell r="AA682">
            <v>4.3999999999999997E-2</v>
          </cell>
          <cell r="AB682">
            <v>4.2999999999999997E-2</v>
          </cell>
          <cell r="AC682">
            <v>4.2000000000000003E-2</v>
          </cell>
        </row>
        <row r="683">
          <cell r="A683" t="str">
            <v>Ratio expenditure Single-family - Owner-occupied - C3 (%)</v>
          </cell>
          <cell r="C683">
            <v>4.5999999999999999E-2</v>
          </cell>
          <cell r="D683">
            <v>4.8000000000000001E-2</v>
          </cell>
          <cell r="E683">
            <v>4.9000000000000002E-2</v>
          </cell>
          <cell r="F683">
            <v>0.05</v>
          </cell>
          <cell r="G683">
            <v>5.0999999999999997E-2</v>
          </cell>
          <cell r="H683">
            <v>5.0999999999999997E-2</v>
          </cell>
          <cell r="I683">
            <v>5.1999999999999998E-2</v>
          </cell>
          <cell r="J683">
            <v>5.2999999999999999E-2</v>
          </cell>
          <cell r="K683">
            <v>5.3999999999999999E-2</v>
          </cell>
          <cell r="L683">
            <v>5.3999999999999999E-2</v>
          </cell>
          <cell r="M683">
            <v>5.1999999999999998E-2</v>
          </cell>
          <cell r="N683">
            <v>0.05</v>
          </cell>
          <cell r="O683">
            <v>4.8000000000000001E-2</v>
          </cell>
          <cell r="P683">
            <v>4.5999999999999999E-2</v>
          </cell>
          <cell r="Q683">
            <v>4.4999999999999998E-2</v>
          </cell>
          <cell r="R683">
            <v>4.2999999999999997E-2</v>
          </cell>
          <cell r="S683">
            <v>4.4999999999999998E-2</v>
          </cell>
          <cell r="T683">
            <v>0.04</v>
          </cell>
          <cell r="U683">
            <v>3.7999999999999999E-2</v>
          </cell>
          <cell r="V683">
            <v>3.6999999999999998E-2</v>
          </cell>
          <cell r="W683">
            <v>3.5999999999999997E-2</v>
          </cell>
          <cell r="X683">
            <v>3.5999999999999997E-2</v>
          </cell>
          <cell r="Y683">
            <v>3.5000000000000003E-2</v>
          </cell>
          <cell r="Z683">
            <v>3.5000000000000003E-2</v>
          </cell>
          <cell r="AA683">
            <v>3.5000000000000003E-2</v>
          </cell>
          <cell r="AB683">
            <v>3.4000000000000002E-2</v>
          </cell>
          <cell r="AC683">
            <v>3.4000000000000002E-2</v>
          </cell>
        </row>
        <row r="684">
          <cell r="A684" t="str">
            <v>Ratio expenditure Single-family - Owner-occupied - C4 (%)</v>
          </cell>
          <cell r="C684">
            <v>3.5000000000000003E-2</v>
          </cell>
          <cell r="D684">
            <v>3.5999999999999997E-2</v>
          </cell>
          <cell r="E684">
            <v>3.6999999999999998E-2</v>
          </cell>
          <cell r="F684">
            <v>3.7999999999999999E-2</v>
          </cell>
          <cell r="G684">
            <v>3.9E-2</v>
          </cell>
          <cell r="H684">
            <v>3.9E-2</v>
          </cell>
          <cell r="I684">
            <v>0.04</v>
          </cell>
          <cell r="J684">
            <v>0.04</v>
          </cell>
          <cell r="K684">
            <v>4.1000000000000002E-2</v>
          </cell>
          <cell r="L684">
            <v>4.1000000000000002E-2</v>
          </cell>
          <cell r="M684">
            <v>0.04</v>
          </cell>
          <cell r="N684">
            <v>3.9E-2</v>
          </cell>
          <cell r="O684">
            <v>3.6999999999999998E-2</v>
          </cell>
          <cell r="P684">
            <v>3.5999999999999997E-2</v>
          </cell>
          <cell r="Q684">
            <v>3.4000000000000002E-2</v>
          </cell>
          <cell r="R684">
            <v>3.3000000000000002E-2</v>
          </cell>
          <cell r="S684">
            <v>3.5000000000000003E-2</v>
          </cell>
          <cell r="T684">
            <v>3.1E-2</v>
          </cell>
          <cell r="U684">
            <v>0.03</v>
          </cell>
          <cell r="V684">
            <v>2.9000000000000001E-2</v>
          </cell>
          <cell r="W684">
            <v>2.8000000000000001E-2</v>
          </cell>
          <cell r="X684">
            <v>2.8000000000000001E-2</v>
          </cell>
          <cell r="Y684">
            <v>2.8000000000000001E-2</v>
          </cell>
          <cell r="Z684">
            <v>2.7E-2</v>
          </cell>
          <cell r="AA684">
            <v>2.7E-2</v>
          </cell>
          <cell r="AB684">
            <v>2.7E-2</v>
          </cell>
          <cell r="AC684">
            <v>2.5999999999999999E-2</v>
          </cell>
        </row>
        <row r="685">
          <cell r="A685" t="str">
            <v>Ratio expenditure Single-family - Owner-occupied - C5 (%)</v>
          </cell>
          <cell r="C685">
            <v>2.1999999999999999E-2</v>
          </cell>
          <cell r="D685">
            <v>2.1999999999999999E-2</v>
          </cell>
          <cell r="E685">
            <v>2.3E-2</v>
          </cell>
          <cell r="F685">
            <v>2.4E-2</v>
          </cell>
          <cell r="G685">
            <v>2.4E-2</v>
          </cell>
          <cell r="H685">
            <v>2.4E-2</v>
          </cell>
          <cell r="I685">
            <v>2.5000000000000001E-2</v>
          </cell>
          <cell r="J685">
            <v>2.5000000000000001E-2</v>
          </cell>
          <cell r="K685">
            <v>2.5000000000000001E-2</v>
          </cell>
          <cell r="L685">
            <v>2.5999999999999999E-2</v>
          </cell>
          <cell r="M685">
            <v>2.5000000000000001E-2</v>
          </cell>
          <cell r="N685">
            <v>2.4E-2</v>
          </cell>
          <cell r="O685">
            <v>2.3E-2</v>
          </cell>
          <cell r="P685">
            <v>2.1999999999999999E-2</v>
          </cell>
          <cell r="Q685">
            <v>2.1000000000000001E-2</v>
          </cell>
          <cell r="R685">
            <v>0.02</v>
          </cell>
          <cell r="S685">
            <v>2.1999999999999999E-2</v>
          </cell>
          <cell r="T685">
            <v>1.9E-2</v>
          </cell>
          <cell r="U685">
            <v>1.7999999999999999E-2</v>
          </cell>
          <cell r="V685">
            <v>1.7999999999999999E-2</v>
          </cell>
          <cell r="W685">
            <v>1.7999999999999999E-2</v>
          </cell>
          <cell r="X685">
            <v>1.7000000000000001E-2</v>
          </cell>
          <cell r="Y685">
            <v>1.7000000000000001E-2</v>
          </cell>
          <cell r="Z685">
            <v>1.7000000000000001E-2</v>
          </cell>
          <cell r="AA685">
            <v>1.7000000000000001E-2</v>
          </cell>
          <cell r="AB685">
            <v>1.7000000000000001E-2</v>
          </cell>
          <cell r="AC685">
            <v>1.6E-2</v>
          </cell>
        </row>
        <row r="686">
          <cell r="A686" t="str">
            <v>Ratio expenditure Single-family - Privately rented - C1 (%)</v>
          </cell>
          <cell r="C686">
            <v>8.7999999999999995E-2</v>
          </cell>
          <cell r="D686">
            <v>9.1999999999999998E-2</v>
          </cell>
          <cell r="E686">
            <v>9.6000000000000002E-2</v>
          </cell>
          <cell r="F686">
            <v>0.1</v>
          </cell>
          <cell r="G686">
            <v>0.10299999999999999</v>
          </cell>
          <cell r="H686">
            <v>0.105</v>
          </cell>
          <cell r="I686">
            <v>0.107</v>
          </cell>
          <cell r="J686">
            <v>0.11</v>
          </cell>
          <cell r="K686">
            <v>0.113</v>
          </cell>
          <cell r="L686">
            <v>0.115</v>
          </cell>
          <cell r="M686">
            <v>0.11</v>
          </cell>
          <cell r="N686">
            <v>0.105</v>
          </cell>
          <cell r="O686">
            <v>9.8000000000000004E-2</v>
          </cell>
          <cell r="P686">
            <v>9.5000000000000001E-2</v>
          </cell>
          <cell r="Q686">
            <v>9.1999999999999998E-2</v>
          </cell>
          <cell r="R686">
            <v>0.09</v>
          </cell>
          <cell r="S686">
            <v>9.5000000000000001E-2</v>
          </cell>
          <cell r="T686">
            <v>8.5999999999999993E-2</v>
          </cell>
          <cell r="U686">
            <v>8.3000000000000004E-2</v>
          </cell>
          <cell r="V686">
            <v>8.1000000000000003E-2</v>
          </cell>
          <cell r="W686">
            <v>0.08</v>
          </cell>
          <cell r="X686">
            <v>0.08</v>
          </cell>
          <cell r="Y686">
            <v>7.9000000000000001E-2</v>
          </cell>
          <cell r="Z686">
            <v>7.6999999999999999E-2</v>
          </cell>
          <cell r="AA686">
            <v>7.3999999999999996E-2</v>
          </cell>
          <cell r="AB686">
            <v>7.1999999999999995E-2</v>
          </cell>
          <cell r="AC686">
            <v>6.9000000000000006E-2</v>
          </cell>
        </row>
        <row r="687">
          <cell r="A687" t="str">
            <v>Ratio expenditure Single-family - Privately rented - C2 (%)</v>
          </cell>
          <cell r="C687">
            <v>5.5E-2</v>
          </cell>
          <cell r="D687">
            <v>5.7000000000000002E-2</v>
          </cell>
          <cell r="E687">
            <v>5.8999999999999997E-2</v>
          </cell>
          <cell r="F687">
            <v>6.2E-2</v>
          </cell>
          <cell r="G687">
            <v>6.3E-2</v>
          </cell>
          <cell r="H687">
            <v>6.4000000000000001E-2</v>
          </cell>
          <cell r="I687">
            <v>6.5000000000000002E-2</v>
          </cell>
          <cell r="J687">
            <v>6.7000000000000004E-2</v>
          </cell>
          <cell r="K687">
            <v>6.9000000000000006E-2</v>
          </cell>
          <cell r="L687">
            <v>7.0000000000000007E-2</v>
          </cell>
          <cell r="M687">
            <v>6.7000000000000004E-2</v>
          </cell>
          <cell r="N687">
            <v>6.5000000000000002E-2</v>
          </cell>
          <cell r="O687">
            <v>6.0999999999999999E-2</v>
          </cell>
          <cell r="P687">
            <v>5.8999999999999997E-2</v>
          </cell>
          <cell r="Q687">
            <v>5.8000000000000003E-2</v>
          </cell>
          <cell r="R687">
            <v>5.7000000000000002E-2</v>
          </cell>
          <cell r="S687">
            <v>0.06</v>
          </cell>
          <cell r="T687">
            <v>5.3999999999999999E-2</v>
          </cell>
          <cell r="U687">
            <v>5.1999999999999998E-2</v>
          </cell>
          <cell r="V687">
            <v>5.0999999999999997E-2</v>
          </cell>
          <cell r="W687">
            <v>0.05</v>
          </cell>
          <cell r="X687">
            <v>0.05</v>
          </cell>
          <cell r="Y687">
            <v>0.05</v>
          </cell>
          <cell r="Z687">
            <v>4.8000000000000001E-2</v>
          </cell>
          <cell r="AA687">
            <v>4.7E-2</v>
          </cell>
          <cell r="AB687">
            <v>4.4999999999999998E-2</v>
          </cell>
          <cell r="AC687">
            <v>4.3999999999999997E-2</v>
          </cell>
        </row>
        <row r="688">
          <cell r="A688" t="str">
            <v>Ratio expenditure Single-family - Privately rented - C3 (%)</v>
          </cell>
          <cell r="C688">
            <v>4.1000000000000002E-2</v>
          </cell>
          <cell r="D688">
            <v>4.2999999999999997E-2</v>
          </cell>
          <cell r="E688">
            <v>4.3999999999999997E-2</v>
          </cell>
          <cell r="F688">
            <v>4.5999999999999999E-2</v>
          </cell>
          <cell r="G688">
            <v>4.7E-2</v>
          </cell>
          <cell r="H688">
            <v>4.7E-2</v>
          </cell>
          <cell r="I688">
            <v>4.8000000000000001E-2</v>
          </cell>
          <cell r="J688">
            <v>4.9000000000000002E-2</v>
          </cell>
          <cell r="K688">
            <v>0.05</v>
          </cell>
          <cell r="L688">
            <v>5.0999999999999997E-2</v>
          </cell>
          <cell r="M688">
            <v>4.9000000000000002E-2</v>
          </cell>
          <cell r="N688">
            <v>4.7E-2</v>
          </cell>
          <cell r="O688">
            <v>4.3999999999999997E-2</v>
          </cell>
          <cell r="P688">
            <v>4.2999999999999997E-2</v>
          </cell>
          <cell r="Q688">
            <v>4.2000000000000003E-2</v>
          </cell>
          <cell r="R688">
            <v>4.1000000000000002E-2</v>
          </cell>
          <cell r="S688">
            <v>4.3999999999999997E-2</v>
          </cell>
          <cell r="T688">
            <v>0.04</v>
          </cell>
          <cell r="U688">
            <v>3.9E-2</v>
          </cell>
          <cell r="V688">
            <v>3.7999999999999999E-2</v>
          </cell>
          <cell r="W688">
            <v>3.6999999999999998E-2</v>
          </cell>
          <cell r="X688">
            <v>3.6999999999999998E-2</v>
          </cell>
          <cell r="Y688">
            <v>3.6999999999999998E-2</v>
          </cell>
          <cell r="Z688">
            <v>3.5999999999999997E-2</v>
          </cell>
          <cell r="AA688">
            <v>3.4000000000000002E-2</v>
          </cell>
          <cell r="AB688">
            <v>3.3000000000000002E-2</v>
          </cell>
          <cell r="AC688">
            <v>3.2000000000000001E-2</v>
          </cell>
        </row>
        <row r="689">
          <cell r="A689" t="str">
            <v>Ratio expenditure Single-family - Privately rented - C4 (%)</v>
          </cell>
          <cell r="C689">
            <v>3.1E-2</v>
          </cell>
          <cell r="D689">
            <v>3.2000000000000001E-2</v>
          </cell>
          <cell r="E689">
            <v>3.3000000000000002E-2</v>
          </cell>
          <cell r="F689">
            <v>3.4000000000000002E-2</v>
          </cell>
          <cell r="G689">
            <v>3.4000000000000002E-2</v>
          </cell>
          <cell r="H689">
            <v>3.5000000000000003E-2</v>
          </cell>
          <cell r="I689">
            <v>3.5000000000000003E-2</v>
          </cell>
          <cell r="J689">
            <v>3.5999999999999997E-2</v>
          </cell>
          <cell r="K689">
            <v>3.6999999999999998E-2</v>
          </cell>
          <cell r="L689">
            <v>3.6999999999999998E-2</v>
          </cell>
          <cell r="M689">
            <v>3.5999999999999997E-2</v>
          </cell>
          <cell r="N689">
            <v>3.4000000000000002E-2</v>
          </cell>
          <cell r="O689">
            <v>3.3000000000000002E-2</v>
          </cell>
          <cell r="P689">
            <v>3.2000000000000001E-2</v>
          </cell>
          <cell r="Q689">
            <v>3.1E-2</v>
          </cell>
          <cell r="R689">
            <v>3.1E-2</v>
          </cell>
          <cell r="S689">
            <v>3.3000000000000002E-2</v>
          </cell>
          <cell r="T689">
            <v>0.03</v>
          </cell>
          <cell r="U689">
            <v>2.9000000000000001E-2</v>
          </cell>
          <cell r="V689">
            <v>2.8000000000000001E-2</v>
          </cell>
          <cell r="W689">
            <v>2.8000000000000001E-2</v>
          </cell>
          <cell r="X689">
            <v>2.8000000000000001E-2</v>
          </cell>
          <cell r="Y689">
            <v>2.7E-2</v>
          </cell>
          <cell r="Z689">
            <v>2.7E-2</v>
          </cell>
          <cell r="AA689">
            <v>2.5999999999999999E-2</v>
          </cell>
          <cell r="AB689">
            <v>2.5000000000000001E-2</v>
          </cell>
          <cell r="AC689">
            <v>2.4E-2</v>
          </cell>
        </row>
        <row r="690">
          <cell r="A690" t="str">
            <v>Ratio expenditure Single-family - Privately rented - C5 (%)</v>
          </cell>
          <cell r="C690">
            <v>1.7999999999999999E-2</v>
          </cell>
          <cell r="D690">
            <v>1.9E-2</v>
          </cell>
          <cell r="E690">
            <v>1.9E-2</v>
          </cell>
          <cell r="F690">
            <v>0.02</v>
          </cell>
          <cell r="G690">
            <v>0.02</v>
          </cell>
          <cell r="H690">
            <v>0.02</v>
          </cell>
          <cell r="I690">
            <v>2.1000000000000001E-2</v>
          </cell>
          <cell r="J690">
            <v>2.1000000000000001E-2</v>
          </cell>
          <cell r="K690">
            <v>2.1000000000000001E-2</v>
          </cell>
          <cell r="L690">
            <v>2.1000000000000001E-2</v>
          </cell>
          <cell r="M690">
            <v>2.1000000000000001E-2</v>
          </cell>
          <cell r="N690">
            <v>0.02</v>
          </cell>
          <cell r="O690">
            <v>1.9E-2</v>
          </cell>
          <cell r="P690">
            <v>1.9E-2</v>
          </cell>
          <cell r="Q690">
            <v>1.7999999999999999E-2</v>
          </cell>
          <cell r="R690">
            <v>1.7999999999999999E-2</v>
          </cell>
          <cell r="S690">
            <v>1.9E-2</v>
          </cell>
          <cell r="T690">
            <v>1.7000000000000001E-2</v>
          </cell>
          <cell r="U690">
            <v>1.7000000000000001E-2</v>
          </cell>
          <cell r="V690">
            <v>1.6E-2</v>
          </cell>
          <cell r="W690">
            <v>1.6E-2</v>
          </cell>
          <cell r="X690">
            <v>1.6E-2</v>
          </cell>
          <cell r="Y690">
            <v>1.6E-2</v>
          </cell>
          <cell r="Z690">
            <v>1.4999999999999999E-2</v>
          </cell>
          <cell r="AA690">
            <v>1.4999999999999999E-2</v>
          </cell>
          <cell r="AB690">
            <v>1.4E-2</v>
          </cell>
          <cell r="AC690">
            <v>1.4E-2</v>
          </cell>
        </row>
        <row r="691">
          <cell r="A691" t="str">
            <v>Ratio expenditure Single-family - Social-housing - C1 (%)</v>
          </cell>
          <cell r="C691">
            <v>6.9000000000000006E-2</v>
          </cell>
          <cell r="D691">
            <v>7.4999999999999997E-2</v>
          </cell>
          <cell r="E691">
            <v>8.1000000000000003E-2</v>
          </cell>
          <cell r="F691">
            <v>8.8999999999999996E-2</v>
          </cell>
          <cell r="G691">
            <v>9.5000000000000001E-2</v>
          </cell>
          <cell r="H691">
            <v>0.10100000000000001</v>
          </cell>
          <cell r="I691">
            <v>0.107</v>
          </cell>
          <cell r="J691">
            <v>0.113</v>
          </cell>
          <cell r="K691">
            <v>0.12</v>
          </cell>
          <cell r="L691">
            <v>0.127</v>
          </cell>
          <cell r="M691">
            <v>0.129</v>
          </cell>
          <cell r="N691">
            <v>0.13</v>
          </cell>
          <cell r="O691">
            <v>0.129</v>
          </cell>
          <cell r="P691">
            <v>0.128</v>
          </cell>
          <cell r="Q691">
            <v>0.127</v>
          </cell>
          <cell r="R691">
            <v>0.126</v>
          </cell>
          <cell r="S691">
            <v>0.13600000000000001</v>
          </cell>
          <cell r="T691">
            <v>0.123</v>
          </cell>
          <cell r="U691">
            <v>0.12</v>
          </cell>
          <cell r="V691">
            <v>0.114</v>
          </cell>
          <cell r="W691">
            <v>0.108</v>
          </cell>
          <cell r="X691">
            <v>0.10299999999999999</v>
          </cell>
          <cell r="Y691">
            <v>9.8000000000000004E-2</v>
          </cell>
          <cell r="Z691">
            <v>9.2999999999999999E-2</v>
          </cell>
          <cell r="AA691">
            <v>8.7999999999999995E-2</v>
          </cell>
          <cell r="AB691">
            <v>8.4000000000000005E-2</v>
          </cell>
          <cell r="AC691">
            <v>7.9000000000000001E-2</v>
          </cell>
        </row>
        <row r="692">
          <cell r="A692" t="str">
            <v>Ratio expenditure Single-family - Social-housing - C2 (%)</v>
          </cell>
          <cell r="C692">
            <v>4.4999999999999998E-2</v>
          </cell>
          <cell r="D692">
            <v>4.8000000000000001E-2</v>
          </cell>
          <cell r="E692">
            <v>5.1999999999999998E-2</v>
          </cell>
          <cell r="F692">
            <v>5.6000000000000001E-2</v>
          </cell>
          <cell r="G692">
            <v>5.8999999999999997E-2</v>
          </cell>
          <cell r="H692">
            <v>6.2E-2</v>
          </cell>
          <cell r="I692">
            <v>6.6000000000000003E-2</v>
          </cell>
          <cell r="J692">
            <v>6.9000000000000006E-2</v>
          </cell>
          <cell r="K692">
            <v>7.2999999999999995E-2</v>
          </cell>
          <cell r="L692">
            <v>7.6999999999999999E-2</v>
          </cell>
          <cell r="M692">
            <v>7.8E-2</v>
          </cell>
          <cell r="N692">
            <v>7.9000000000000001E-2</v>
          </cell>
          <cell r="O692">
            <v>7.9000000000000001E-2</v>
          </cell>
          <cell r="P692">
            <v>7.9000000000000001E-2</v>
          </cell>
          <cell r="Q692">
            <v>7.8E-2</v>
          </cell>
          <cell r="R692">
            <v>7.6999999999999999E-2</v>
          </cell>
          <cell r="S692">
            <v>8.4000000000000005E-2</v>
          </cell>
          <cell r="T692">
            <v>7.5999999999999998E-2</v>
          </cell>
          <cell r="U692">
            <v>7.3999999999999996E-2</v>
          </cell>
          <cell r="V692">
            <v>7.0000000000000007E-2</v>
          </cell>
          <cell r="W692">
            <v>6.7000000000000004E-2</v>
          </cell>
          <cell r="X692">
            <v>6.4000000000000001E-2</v>
          </cell>
          <cell r="Y692">
            <v>6.0999999999999999E-2</v>
          </cell>
          <cell r="Z692">
            <v>5.8000000000000003E-2</v>
          </cell>
          <cell r="AA692">
            <v>5.5E-2</v>
          </cell>
          <cell r="AB692">
            <v>5.1999999999999998E-2</v>
          </cell>
          <cell r="AC692">
            <v>4.9000000000000002E-2</v>
          </cell>
        </row>
        <row r="693">
          <cell r="A693" t="str">
            <v>Ratio expenditure Single-family - Social-housing - C3 (%)</v>
          </cell>
          <cell r="C693">
            <v>3.5000000000000003E-2</v>
          </cell>
          <cell r="D693">
            <v>3.7999999999999999E-2</v>
          </cell>
          <cell r="E693">
            <v>0.04</v>
          </cell>
          <cell r="F693">
            <v>4.3999999999999997E-2</v>
          </cell>
          <cell r="G693">
            <v>4.5999999999999999E-2</v>
          </cell>
          <cell r="H693">
            <v>4.8000000000000001E-2</v>
          </cell>
          <cell r="I693">
            <v>5.0999999999999997E-2</v>
          </cell>
          <cell r="J693">
            <v>5.2999999999999999E-2</v>
          </cell>
          <cell r="K693">
            <v>5.6000000000000001E-2</v>
          </cell>
          <cell r="L693">
            <v>5.8999999999999997E-2</v>
          </cell>
          <cell r="M693">
            <v>0.06</v>
          </cell>
          <cell r="N693">
            <v>0.06</v>
          </cell>
          <cell r="O693">
            <v>5.8999999999999997E-2</v>
          </cell>
          <cell r="P693">
            <v>5.8000000000000003E-2</v>
          </cell>
          <cell r="Q693">
            <v>5.7000000000000002E-2</v>
          </cell>
          <cell r="R693">
            <v>5.7000000000000002E-2</v>
          </cell>
          <cell r="S693">
            <v>6.2E-2</v>
          </cell>
          <cell r="T693">
            <v>5.5E-2</v>
          </cell>
          <cell r="U693">
            <v>5.2999999999999999E-2</v>
          </cell>
          <cell r="V693">
            <v>5.0999999999999997E-2</v>
          </cell>
          <cell r="W693">
            <v>4.8000000000000001E-2</v>
          </cell>
          <cell r="X693">
            <v>4.5999999999999999E-2</v>
          </cell>
          <cell r="Y693">
            <v>4.3999999999999997E-2</v>
          </cell>
          <cell r="Z693">
            <v>4.2000000000000003E-2</v>
          </cell>
          <cell r="AA693">
            <v>0.04</v>
          </cell>
          <cell r="AB693">
            <v>3.7999999999999999E-2</v>
          </cell>
          <cell r="AC693">
            <v>3.5999999999999997E-2</v>
          </cell>
        </row>
        <row r="694">
          <cell r="A694" t="str">
            <v>Ratio expenditure Single-family - Social-housing - C4 (%)</v>
          </cell>
          <cell r="C694">
            <v>2.7E-2</v>
          </cell>
          <cell r="D694">
            <v>2.9000000000000001E-2</v>
          </cell>
          <cell r="E694">
            <v>0.03</v>
          </cell>
          <cell r="F694">
            <v>3.3000000000000002E-2</v>
          </cell>
          <cell r="G694">
            <v>3.4000000000000002E-2</v>
          </cell>
          <cell r="H694">
            <v>3.5999999999999997E-2</v>
          </cell>
          <cell r="I694">
            <v>3.6999999999999998E-2</v>
          </cell>
          <cell r="J694">
            <v>3.9E-2</v>
          </cell>
          <cell r="K694">
            <v>4.1000000000000002E-2</v>
          </cell>
          <cell r="L694">
            <v>4.2999999999999997E-2</v>
          </cell>
          <cell r="M694">
            <v>4.2999999999999997E-2</v>
          </cell>
          <cell r="N694">
            <v>4.2999999999999997E-2</v>
          </cell>
          <cell r="O694">
            <v>4.2999999999999997E-2</v>
          </cell>
          <cell r="P694">
            <v>4.2000000000000003E-2</v>
          </cell>
          <cell r="Q694">
            <v>4.2000000000000003E-2</v>
          </cell>
          <cell r="R694">
            <v>4.2000000000000003E-2</v>
          </cell>
          <cell r="S694">
            <v>4.5999999999999999E-2</v>
          </cell>
          <cell r="T694">
            <v>0.04</v>
          </cell>
          <cell r="U694">
            <v>0.04</v>
          </cell>
          <cell r="V694">
            <v>3.7999999999999999E-2</v>
          </cell>
          <cell r="W694">
            <v>3.5999999999999997E-2</v>
          </cell>
          <cell r="X694">
            <v>3.4000000000000002E-2</v>
          </cell>
          <cell r="Y694">
            <v>3.3000000000000002E-2</v>
          </cell>
          <cell r="Z694">
            <v>3.1E-2</v>
          </cell>
          <cell r="AA694">
            <v>0.03</v>
          </cell>
          <cell r="AB694">
            <v>2.8000000000000001E-2</v>
          </cell>
          <cell r="AC694">
            <v>2.7E-2</v>
          </cell>
        </row>
        <row r="695">
          <cell r="A695" t="str">
            <v>Ratio expenditure Single-family - Social-housing - C5 (%)</v>
          </cell>
          <cell r="C695">
            <v>1.7000000000000001E-2</v>
          </cell>
          <cell r="D695">
            <v>1.7999999999999999E-2</v>
          </cell>
          <cell r="E695">
            <v>1.7999999999999999E-2</v>
          </cell>
          <cell r="F695">
            <v>1.9E-2</v>
          </cell>
          <cell r="G695">
            <v>0.02</v>
          </cell>
          <cell r="H695">
            <v>2.1000000000000001E-2</v>
          </cell>
          <cell r="I695">
            <v>2.1999999999999999E-2</v>
          </cell>
          <cell r="J695">
            <v>2.1999999999999999E-2</v>
          </cell>
          <cell r="K695">
            <v>2.3E-2</v>
          </cell>
          <cell r="L695">
            <v>2.4E-2</v>
          </cell>
          <cell r="M695">
            <v>2.4E-2</v>
          </cell>
          <cell r="N695">
            <v>2.4E-2</v>
          </cell>
          <cell r="O695">
            <v>2.4E-2</v>
          </cell>
          <cell r="P695">
            <v>2.4E-2</v>
          </cell>
          <cell r="Q695">
            <v>2.4E-2</v>
          </cell>
          <cell r="R695">
            <v>2.4E-2</v>
          </cell>
          <cell r="S695">
            <v>2.5999999999999999E-2</v>
          </cell>
          <cell r="T695">
            <v>2.3E-2</v>
          </cell>
          <cell r="U695">
            <v>2.1999999999999999E-2</v>
          </cell>
          <cell r="V695">
            <v>2.1000000000000001E-2</v>
          </cell>
          <cell r="W695">
            <v>0.02</v>
          </cell>
          <cell r="X695">
            <v>1.9E-2</v>
          </cell>
          <cell r="Y695">
            <v>1.9E-2</v>
          </cell>
          <cell r="Z695">
            <v>1.7999999999999999E-2</v>
          </cell>
          <cell r="AA695">
            <v>1.7000000000000001E-2</v>
          </cell>
          <cell r="AB695">
            <v>1.6E-2</v>
          </cell>
          <cell r="AC695">
            <v>1.4999999999999999E-2</v>
          </cell>
        </row>
        <row r="696">
          <cell r="A696" t="str">
            <v>Ratio expenditure std Multi-family - Owner-occupied - C1 (%)</v>
          </cell>
          <cell r="C696">
            <v>0.113</v>
          </cell>
          <cell r="D696">
            <v>0.11600000000000001</v>
          </cell>
          <cell r="E696">
            <v>0.114</v>
          </cell>
          <cell r="F696">
            <v>0.11600000000000001</v>
          </cell>
          <cell r="G696">
            <v>0.113</v>
          </cell>
          <cell r="H696">
            <v>0.11</v>
          </cell>
          <cell r="I696">
            <v>0.106</v>
          </cell>
          <cell r="J696">
            <v>0.104</v>
          </cell>
          <cell r="K696">
            <v>0.1</v>
          </cell>
          <cell r="L696">
            <v>9.7000000000000003E-2</v>
          </cell>
          <cell r="M696">
            <v>9.1999999999999998E-2</v>
          </cell>
          <cell r="N696">
            <v>8.6999999999999994E-2</v>
          </cell>
          <cell r="O696">
            <v>8.3000000000000004E-2</v>
          </cell>
          <cell r="P696">
            <v>7.8E-2</v>
          </cell>
          <cell r="Q696">
            <v>7.4999999999999997E-2</v>
          </cell>
          <cell r="R696">
            <v>7.2999999999999995E-2</v>
          </cell>
          <cell r="S696">
            <v>8.8999999999999996E-2</v>
          </cell>
          <cell r="T696">
            <v>6.8000000000000005E-2</v>
          </cell>
          <cell r="U696">
            <v>6.6000000000000003E-2</v>
          </cell>
          <cell r="V696">
            <v>6.4000000000000001E-2</v>
          </cell>
          <cell r="W696">
            <v>6.2E-2</v>
          </cell>
          <cell r="X696">
            <v>0.06</v>
          </cell>
          <cell r="Y696">
            <v>5.8000000000000003E-2</v>
          </cell>
          <cell r="Z696">
            <v>5.5E-2</v>
          </cell>
          <cell r="AA696">
            <v>5.2999999999999999E-2</v>
          </cell>
          <cell r="AB696">
            <v>5.0999999999999997E-2</v>
          </cell>
          <cell r="AC696">
            <v>4.9000000000000002E-2</v>
          </cell>
        </row>
        <row r="697">
          <cell r="A697" t="str">
            <v>Ratio expenditure std Multi-family - Owner-occupied - C2 (%)</v>
          </cell>
          <cell r="C697">
            <v>6.2E-2</v>
          </cell>
          <cell r="D697">
            <v>6.4000000000000001E-2</v>
          </cell>
          <cell r="E697">
            <v>6.3E-2</v>
          </cell>
          <cell r="F697">
            <v>6.5000000000000002E-2</v>
          </cell>
          <cell r="G697">
            <v>6.3E-2</v>
          </cell>
          <cell r="H697">
            <v>6.2E-2</v>
          </cell>
          <cell r="I697">
            <v>0.06</v>
          </cell>
          <cell r="J697">
            <v>5.8999999999999997E-2</v>
          </cell>
          <cell r="K697">
            <v>5.7000000000000002E-2</v>
          </cell>
          <cell r="L697">
            <v>5.6000000000000001E-2</v>
          </cell>
          <cell r="M697">
            <v>5.2999999999999999E-2</v>
          </cell>
          <cell r="N697">
            <v>0.05</v>
          </cell>
          <cell r="O697">
            <v>4.7E-2</v>
          </cell>
          <cell r="P697">
            <v>4.4999999999999998E-2</v>
          </cell>
          <cell r="Q697">
            <v>4.2999999999999997E-2</v>
          </cell>
          <cell r="R697">
            <v>4.2000000000000003E-2</v>
          </cell>
          <cell r="S697">
            <v>0.05</v>
          </cell>
          <cell r="T697">
            <v>3.9E-2</v>
          </cell>
          <cell r="U697">
            <v>3.7999999999999999E-2</v>
          </cell>
          <cell r="V697">
            <v>3.6999999999999998E-2</v>
          </cell>
          <cell r="W697">
            <v>3.5999999999999997E-2</v>
          </cell>
          <cell r="X697">
            <v>3.5000000000000003E-2</v>
          </cell>
          <cell r="Y697">
            <v>3.4000000000000002E-2</v>
          </cell>
          <cell r="Z697">
            <v>3.2000000000000001E-2</v>
          </cell>
          <cell r="AA697">
            <v>3.1E-2</v>
          </cell>
          <cell r="AB697">
            <v>0.03</v>
          </cell>
          <cell r="AC697">
            <v>2.9000000000000001E-2</v>
          </cell>
        </row>
        <row r="698">
          <cell r="A698" t="str">
            <v>Ratio expenditure std Multi-family - Owner-occupied - C3 (%)</v>
          </cell>
          <cell r="C698">
            <v>4.3999999999999997E-2</v>
          </cell>
          <cell r="D698">
            <v>4.4999999999999998E-2</v>
          </cell>
          <cell r="E698">
            <v>4.4999999999999998E-2</v>
          </cell>
          <cell r="F698">
            <v>4.5999999999999999E-2</v>
          </cell>
          <cell r="G698">
            <v>4.4999999999999998E-2</v>
          </cell>
          <cell r="H698">
            <v>4.3999999999999997E-2</v>
          </cell>
          <cell r="I698">
            <v>4.2999999999999997E-2</v>
          </cell>
          <cell r="J698">
            <v>4.2000000000000003E-2</v>
          </cell>
          <cell r="K698">
            <v>4.1000000000000002E-2</v>
          </cell>
          <cell r="L698">
            <v>0.04</v>
          </cell>
          <cell r="M698">
            <v>3.7999999999999999E-2</v>
          </cell>
          <cell r="N698">
            <v>3.5999999999999997E-2</v>
          </cell>
          <cell r="O698">
            <v>3.4000000000000002E-2</v>
          </cell>
          <cell r="P698">
            <v>3.2000000000000001E-2</v>
          </cell>
          <cell r="Q698">
            <v>3.1E-2</v>
          </cell>
          <cell r="R698">
            <v>0.03</v>
          </cell>
          <cell r="S698">
            <v>3.4000000000000002E-2</v>
          </cell>
          <cell r="T698">
            <v>2.8000000000000001E-2</v>
          </cell>
          <cell r="U698">
            <v>2.7E-2</v>
          </cell>
          <cell r="V698">
            <v>2.5999999999999999E-2</v>
          </cell>
          <cell r="W698">
            <v>2.5999999999999999E-2</v>
          </cell>
          <cell r="X698">
            <v>2.5000000000000001E-2</v>
          </cell>
          <cell r="Y698">
            <v>2.4E-2</v>
          </cell>
          <cell r="Z698">
            <v>2.3E-2</v>
          </cell>
          <cell r="AA698">
            <v>2.3E-2</v>
          </cell>
          <cell r="AB698">
            <v>2.1999999999999999E-2</v>
          </cell>
          <cell r="AC698">
            <v>2.1000000000000001E-2</v>
          </cell>
        </row>
        <row r="699">
          <cell r="A699" t="str">
            <v>Ratio expenditure std Multi-family - Owner-occupied - C4 (%)</v>
          </cell>
          <cell r="C699">
            <v>3.1E-2</v>
          </cell>
          <cell r="D699">
            <v>3.2000000000000001E-2</v>
          </cell>
          <cell r="E699">
            <v>3.2000000000000001E-2</v>
          </cell>
          <cell r="F699">
            <v>3.2000000000000001E-2</v>
          </cell>
          <cell r="G699">
            <v>3.2000000000000001E-2</v>
          </cell>
          <cell r="H699">
            <v>3.1E-2</v>
          </cell>
          <cell r="I699">
            <v>0.03</v>
          </cell>
          <cell r="J699">
            <v>0.03</v>
          </cell>
          <cell r="K699">
            <v>2.9000000000000001E-2</v>
          </cell>
          <cell r="L699">
            <v>2.9000000000000001E-2</v>
          </cell>
          <cell r="M699">
            <v>2.7E-2</v>
          </cell>
          <cell r="N699">
            <v>2.5999999999999999E-2</v>
          </cell>
          <cell r="O699">
            <v>2.4E-2</v>
          </cell>
          <cell r="P699">
            <v>2.3E-2</v>
          </cell>
          <cell r="Q699">
            <v>2.1999999999999999E-2</v>
          </cell>
          <cell r="R699">
            <v>2.1000000000000001E-2</v>
          </cell>
          <cell r="S699">
            <v>2.5000000000000001E-2</v>
          </cell>
          <cell r="T699">
            <v>0.02</v>
          </cell>
          <cell r="U699">
            <v>0.02</v>
          </cell>
          <cell r="V699">
            <v>1.9E-2</v>
          </cell>
          <cell r="W699">
            <v>1.9E-2</v>
          </cell>
          <cell r="X699">
            <v>1.7999999999999999E-2</v>
          </cell>
          <cell r="Y699">
            <v>1.7999999999999999E-2</v>
          </cell>
          <cell r="Z699">
            <v>1.7000000000000001E-2</v>
          </cell>
          <cell r="AA699">
            <v>1.7000000000000001E-2</v>
          </cell>
          <cell r="AB699">
            <v>1.6E-2</v>
          </cell>
          <cell r="AC699">
            <v>1.4999999999999999E-2</v>
          </cell>
        </row>
        <row r="700">
          <cell r="A700" t="str">
            <v>Ratio expenditure std Multi-family - Owner-occupied - C5 (%)</v>
          </cell>
          <cell r="C700">
            <v>1.7000000000000001E-2</v>
          </cell>
          <cell r="D700">
            <v>1.7999999999999999E-2</v>
          </cell>
          <cell r="E700">
            <v>1.7999999999999999E-2</v>
          </cell>
          <cell r="F700">
            <v>1.7999999999999999E-2</v>
          </cell>
          <cell r="G700">
            <v>1.7999999999999999E-2</v>
          </cell>
          <cell r="H700">
            <v>1.7999999999999999E-2</v>
          </cell>
          <cell r="I700">
            <v>1.7000000000000001E-2</v>
          </cell>
          <cell r="J700">
            <v>1.7000000000000001E-2</v>
          </cell>
          <cell r="K700">
            <v>1.7000000000000001E-2</v>
          </cell>
          <cell r="L700">
            <v>1.6E-2</v>
          </cell>
          <cell r="M700">
            <v>1.4999999999999999E-2</v>
          </cell>
          <cell r="N700">
            <v>1.4999999999999999E-2</v>
          </cell>
          <cell r="O700">
            <v>1.4E-2</v>
          </cell>
          <cell r="P700">
            <v>1.2999999999999999E-2</v>
          </cell>
          <cell r="Q700">
            <v>1.2999999999999999E-2</v>
          </cell>
          <cell r="R700">
            <v>1.2E-2</v>
          </cell>
          <cell r="S700">
            <v>1.4E-2</v>
          </cell>
          <cell r="T700">
            <v>1.0999999999999999E-2</v>
          </cell>
          <cell r="U700">
            <v>1.0999999999999999E-2</v>
          </cell>
          <cell r="V700">
            <v>1.0999999999999999E-2</v>
          </cell>
          <cell r="W700">
            <v>1.0999999999999999E-2</v>
          </cell>
          <cell r="X700">
            <v>0.01</v>
          </cell>
          <cell r="Y700">
            <v>0.01</v>
          </cell>
          <cell r="Z700">
            <v>0.01</v>
          </cell>
          <cell r="AA700">
            <v>8.9999999999999993E-3</v>
          </cell>
          <cell r="AB700">
            <v>8.9999999999999993E-3</v>
          </cell>
          <cell r="AC700">
            <v>8.9999999999999993E-3</v>
          </cell>
        </row>
        <row r="701">
          <cell r="A701" t="str">
            <v>Ratio expenditure std Multi-family - Privately rented - C1 (%)</v>
          </cell>
          <cell r="C701">
            <v>7.8E-2</v>
          </cell>
          <cell r="D701">
            <v>8.1000000000000003E-2</v>
          </cell>
          <cell r="E701">
            <v>0.08</v>
          </cell>
          <cell r="F701">
            <v>8.2000000000000003E-2</v>
          </cell>
          <cell r="G701">
            <v>8.1000000000000003E-2</v>
          </cell>
          <cell r="H701">
            <v>7.9000000000000001E-2</v>
          </cell>
          <cell r="I701">
            <v>7.6999999999999999E-2</v>
          </cell>
          <cell r="J701">
            <v>7.5999999999999998E-2</v>
          </cell>
          <cell r="K701">
            <v>7.4999999999999997E-2</v>
          </cell>
          <cell r="L701">
            <v>7.2999999999999995E-2</v>
          </cell>
          <cell r="M701">
            <v>6.9000000000000006E-2</v>
          </cell>
          <cell r="N701">
            <v>6.5000000000000002E-2</v>
          </cell>
          <cell r="O701">
            <v>6.0999999999999999E-2</v>
          </cell>
          <cell r="P701">
            <v>5.8999999999999997E-2</v>
          </cell>
          <cell r="Q701">
            <v>5.7000000000000002E-2</v>
          </cell>
          <cell r="R701">
            <v>5.6000000000000001E-2</v>
          </cell>
          <cell r="S701">
            <v>6.3E-2</v>
          </cell>
          <cell r="T701">
            <v>5.3999999999999999E-2</v>
          </cell>
          <cell r="U701">
            <v>5.2999999999999999E-2</v>
          </cell>
          <cell r="V701">
            <v>5.0999999999999997E-2</v>
          </cell>
          <cell r="W701">
            <v>5.0999999999999997E-2</v>
          </cell>
          <cell r="X701">
            <v>0.05</v>
          </cell>
          <cell r="Y701">
            <v>4.9000000000000002E-2</v>
          </cell>
          <cell r="Z701">
            <v>4.7E-2</v>
          </cell>
          <cell r="AA701">
            <v>4.4999999999999998E-2</v>
          </cell>
          <cell r="AB701">
            <v>4.3999999999999997E-2</v>
          </cell>
          <cell r="AC701">
            <v>4.2000000000000003E-2</v>
          </cell>
        </row>
        <row r="702">
          <cell r="A702" t="str">
            <v>Ratio expenditure std Multi-family - Privately rented - C2 (%)</v>
          </cell>
          <cell r="C702">
            <v>4.3999999999999997E-2</v>
          </cell>
          <cell r="D702">
            <v>4.5999999999999999E-2</v>
          </cell>
          <cell r="E702">
            <v>4.5999999999999999E-2</v>
          </cell>
          <cell r="F702">
            <v>4.7E-2</v>
          </cell>
          <cell r="G702">
            <v>4.5999999999999999E-2</v>
          </cell>
          <cell r="H702">
            <v>4.5999999999999999E-2</v>
          </cell>
          <cell r="I702">
            <v>4.4999999999999998E-2</v>
          </cell>
          <cell r="J702">
            <v>4.3999999999999997E-2</v>
          </cell>
          <cell r="K702">
            <v>4.2999999999999997E-2</v>
          </cell>
          <cell r="L702">
            <v>4.2999999999999997E-2</v>
          </cell>
          <cell r="M702">
            <v>0.04</v>
          </cell>
          <cell r="N702">
            <v>3.7999999999999999E-2</v>
          </cell>
          <cell r="O702">
            <v>3.5999999999999997E-2</v>
          </cell>
          <cell r="P702">
            <v>3.4000000000000002E-2</v>
          </cell>
          <cell r="Q702">
            <v>3.3000000000000002E-2</v>
          </cell>
          <cell r="R702">
            <v>3.3000000000000002E-2</v>
          </cell>
          <cell r="S702">
            <v>3.6999999999999998E-2</v>
          </cell>
          <cell r="T702">
            <v>3.2000000000000001E-2</v>
          </cell>
          <cell r="U702">
            <v>3.1E-2</v>
          </cell>
          <cell r="V702">
            <v>3.1E-2</v>
          </cell>
          <cell r="W702">
            <v>0.03</v>
          </cell>
          <cell r="X702">
            <v>0.03</v>
          </cell>
          <cell r="Y702">
            <v>2.9000000000000001E-2</v>
          </cell>
          <cell r="Z702">
            <v>2.8000000000000001E-2</v>
          </cell>
          <cell r="AA702">
            <v>2.7E-2</v>
          </cell>
          <cell r="AB702">
            <v>2.5999999999999999E-2</v>
          </cell>
          <cell r="AC702">
            <v>2.5000000000000001E-2</v>
          </cell>
        </row>
        <row r="703">
          <cell r="A703" t="str">
            <v>Ratio expenditure std Multi-family - Privately rented - C3 (%)</v>
          </cell>
          <cell r="C703">
            <v>0.03</v>
          </cell>
          <cell r="D703">
            <v>3.1E-2</v>
          </cell>
          <cell r="E703">
            <v>3.1E-2</v>
          </cell>
          <cell r="F703">
            <v>3.2000000000000001E-2</v>
          </cell>
          <cell r="G703">
            <v>3.2000000000000001E-2</v>
          </cell>
          <cell r="H703">
            <v>3.1E-2</v>
          </cell>
          <cell r="I703">
            <v>3.1E-2</v>
          </cell>
          <cell r="J703">
            <v>0.03</v>
          </cell>
          <cell r="K703">
            <v>0.03</v>
          </cell>
          <cell r="L703">
            <v>2.9000000000000001E-2</v>
          </cell>
          <cell r="M703">
            <v>2.8000000000000001E-2</v>
          </cell>
          <cell r="N703">
            <v>2.5999999999999999E-2</v>
          </cell>
          <cell r="O703">
            <v>2.5000000000000001E-2</v>
          </cell>
          <cell r="P703">
            <v>2.4E-2</v>
          </cell>
          <cell r="Q703">
            <v>2.3E-2</v>
          </cell>
          <cell r="R703">
            <v>2.3E-2</v>
          </cell>
          <cell r="S703">
            <v>2.5999999999999999E-2</v>
          </cell>
          <cell r="T703">
            <v>2.1999999999999999E-2</v>
          </cell>
          <cell r="U703">
            <v>2.1999999999999999E-2</v>
          </cell>
          <cell r="V703">
            <v>2.1000000000000001E-2</v>
          </cell>
          <cell r="W703">
            <v>2.1000000000000001E-2</v>
          </cell>
          <cell r="X703">
            <v>2.1000000000000001E-2</v>
          </cell>
          <cell r="Y703">
            <v>0.02</v>
          </cell>
          <cell r="Z703">
            <v>0.02</v>
          </cell>
          <cell r="AA703">
            <v>1.9E-2</v>
          </cell>
          <cell r="AB703">
            <v>1.7999999999999999E-2</v>
          </cell>
          <cell r="AC703">
            <v>1.7999999999999999E-2</v>
          </cell>
        </row>
        <row r="704">
          <cell r="A704" t="str">
            <v>Ratio expenditure std Multi-family - Privately rented - C4 (%)</v>
          </cell>
          <cell r="C704">
            <v>2.1999999999999999E-2</v>
          </cell>
          <cell r="D704">
            <v>2.3E-2</v>
          </cell>
          <cell r="E704">
            <v>2.3E-2</v>
          </cell>
          <cell r="F704">
            <v>2.3E-2</v>
          </cell>
          <cell r="G704">
            <v>2.3E-2</v>
          </cell>
          <cell r="H704">
            <v>2.3E-2</v>
          </cell>
          <cell r="I704">
            <v>2.1999999999999999E-2</v>
          </cell>
          <cell r="J704">
            <v>2.1999999999999999E-2</v>
          </cell>
          <cell r="K704">
            <v>2.1999999999999999E-2</v>
          </cell>
          <cell r="L704">
            <v>2.1000000000000001E-2</v>
          </cell>
          <cell r="M704">
            <v>0.02</v>
          </cell>
          <cell r="N704">
            <v>1.9E-2</v>
          </cell>
          <cell r="O704">
            <v>1.7999999999999999E-2</v>
          </cell>
          <cell r="P704">
            <v>1.7000000000000001E-2</v>
          </cell>
          <cell r="Q704">
            <v>1.7000000000000001E-2</v>
          </cell>
          <cell r="R704">
            <v>1.7000000000000001E-2</v>
          </cell>
          <cell r="S704">
            <v>1.9E-2</v>
          </cell>
          <cell r="T704">
            <v>1.6E-2</v>
          </cell>
          <cell r="U704">
            <v>1.6E-2</v>
          </cell>
          <cell r="V704">
            <v>1.4999999999999999E-2</v>
          </cell>
          <cell r="W704">
            <v>1.4999999999999999E-2</v>
          </cell>
          <cell r="X704">
            <v>1.4999999999999999E-2</v>
          </cell>
          <cell r="Y704">
            <v>1.4999999999999999E-2</v>
          </cell>
          <cell r="Z704">
            <v>1.4E-2</v>
          </cell>
          <cell r="AA704">
            <v>1.4E-2</v>
          </cell>
          <cell r="AB704">
            <v>1.2999999999999999E-2</v>
          </cell>
          <cell r="AC704">
            <v>1.2999999999999999E-2</v>
          </cell>
        </row>
        <row r="705">
          <cell r="A705" t="str">
            <v>Ratio expenditure std Multi-family - Privately rented - C5 (%)</v>
          </cell>
          <cell r="C705">
            <v>1.2E-2</v>
          </cell>
          <cell r="D705">
            <v>1.2999999999999999E-2</v>
          </cell>
          <cell r="E705">
            <v>1.2999999999999999E-2</v>
          </cell>
          <cell r="F705">
            <v>1.2999999999999999E-2</v>
          </cell>
          <cell r="G705">
            <v>1.2999999999999999E-2</v>
          </cell>
          <cell r="H705">
            <v>1.2999999999999999E-2</v>
          </cell>
          <cell r="I705">
            <v>1.2999999999999999E-2</v>
          </cell>
          <cell r="J705">
            <v>1.2E-2</v>
          </cell>
          <cell r="K705">
            <v>1.2E-2</v>
          </cell>
          <cell r="L705">
            <v>1.2E-2</v>
          </cell>
          <cell r="M705">
            <v>1.0999999999999999E-2</v>
          </cell>
          <cell r="N705">
            <v>1.0999999999999999E-2</v>
          </cell>
          <cell r="O705">
            <v>0.01</v>
          </cell>
          <cell r="P705">
            <v>0.01</v>
          </cell>
          <cell r="Q705">
            <v>8.9999999999999993E-3</v>
          </cell>
          <cell r="R705">
            <v>8.9999999999999993E-3</v>
          </cell>
          <cell r="S705">
            <v>1.0999999999999999E-2</v>
          </cell>
          <cell r="T705">
            <v>8.9999999999999993E-3</v>
          </cell>
          <cell r="U705">
            <v>8.9999999999999993E-3</v>
          </cell>
          <cell r="V705">
            <v>8.0000000000000002E-3</v>
          </cell>
          <cell r="W705">
            <v>8.0000000000000002E-3</v>
          </cell>
          <cell r="X705">
            <v>8.0000000000000002E-3</v>
          </cell>
          <cell r="Y705">
            <v>8.0000000000000002E-3</v>
          </cell>
          <cell r="Z705">
            <v>8.0000000000000002E-3</v>
          </cell>
          <cell r="AA705">
            <v>7.0000000000000001E-3</v>
          </cell>
          <cell r="AB705">
            <v>7.0000000000000001E-3</v>
          </cell>
          <cell r="AC705">
            <v>7.0000000000000001E-3</v>
          </cell>
        </row>
        <row r="706">
          <cell r="A706" t="str">
            <v>Ratio expenditure std Multi-family - Social-housing - C1 (%)</v>
          </cell>
          <cell r="C706">
            <v>6.0999999999999999E-2</v>
          </cell>
          <cell r="D706">
            <v>6.4000000000000001E-2</v>
          </cell>
          <cell r="E706">
            <v>6.6000000000000003E-2</v>
          </cell>
          <cell r="F706">
            <v>7.0000000000000007E-2</v>
          </cell>
          <cell r="G706">
            <v>7.0999999999999994E-2</v>
          </cell>
          <cell r="H706">
            <v>7.0999999999999994E-2</v>
          </cell>
          <cell r="I706">
            <v>7.0999999999999994E-2</v>
          </cell>
          <cell r="J706">
            <v>7.1999999999999995E-2</v>
          </cell>
          <cell r="K706">
            <v>7.1999999999999995E-2</v>
          </cell>
          <cell r="L706">
            <v>7.2999999999999995E-2</v>
          </cell>
          <cell r="M706">
            <v>7.0999999999999994E-2</v>
          </cell>
          <cell r="N706">
            <v>6.9000000000000006E-2</v>
          </cell>
          <cell r="O706">
            <v>6.7000000000000004E-2</v>
          </cell>
          <cell r="P706">
            <v>6.5000000000000002E-2</v>
          </cell>
          <cell r="Q706">
            <v>6.3E-2</v>
          </cell>
          <cell r="R706">
            <v>6.2E-2</v>
          </cell>
          <cell r="S706">
            <v>7.1999999999999995E-2</v>
          </cell>
          <cell r="T706">
            <v>6.0999999999999999E-2</v>
          </cell>
          <cell r="U706">
            <v>0.06</v>
          </cell>
          <cell r="V706">
            <v>5.8999999999999997E-2</v>
          </cell>
          <cell r="W706">
            <v>5.8000000000000003E-2</v>
          </cell>
          <cell r="X706">
            <v>5.7000000000000002E-2</v>
          </cell>
          <cell r="Y706">
            <v>5.6000000000000001E-2</v>
          </cell>
          <cell r="Z706">
            <v>5.5E-2</v>
          </cell>
          <cell r="AA706">
            <v>5.3999999999999999E-2</v>
          </cell>
          <cell r="AB706">
            <v>5.1999999999999998E-2</v>
          </cell>
          <cell r="AC706">
            <v>5.0999999999999997E-2</v>
          </cell>
        </row>
        <row r="707">
          <cell r="A707" t="str">
            <v>Ratio expenditure std Multi-family - Social-housing - C2 (%)</v>
          </cell>
          <cell r="C707">
            <v>3.5999999999999997E-2</v>
          </cell>
          <cell r="D707">
            <v>3.6999999999999998E-2</v>
          </cell>
          <cell r="E707">
            <v>3.7999999999999999E-2</v>
          </cell>
          <cell r="F707">
            <v>4.1000000000000002E-2</v>
          </cell>
          <cell r="G707">
            <v>4.1000000000000002E-2</v>
          </cell>
          <cell r="H707">
            <v>4.2000000000000003E-2</v>
          </cell>
          <cell r="I707">
            <v>4.1000000000000002E-2</v>
          </cell>
          <cell r="J707">
            <v>4.2000000000000003E-2</v>
          </cell>
          <cell r="K707">
            <v>4.2000000000000003E-2</v>
          </cell>
          <cell r="L707">
            <v>4.2999999999999997E-2</v>
          </cell>
          <cell r="M707">
            <v>4.1000000000000002E-2</v>
          </cell>
          <cell r="N707">
            <v>0.04</v>
          </cell>
          <cell r="O707">
            <v>3.9E-2</v>
          </cell>
          <cell r="P707">
            <v>3.7999999999999999E-2</v>
          </cell>
          <cell r="Q707">
            <v>3.6999999999999998E-2</v>
          </cell>
          <cell r="R707">
            <v>3.5999999999999997E-2</v>
          </cell>
          <cell r="S707">
            <v>4.2000000000000003E-2</v>
          </cell>
          <cell r="T707">
            <v>3.5999999999999997E-2</v>
          </cell>
          <cell r="U707">
            <v>3.5000000000000003E-2</v>
          </cell>
          <cell r="V707">
            <v>3.5000000000000003E-2</v>
          </cell>
          <cell r="W707">
            <v>3.5000000000000003E-2</v>
          </cell>
          <cell r="X707">
            <v>3.4000000000000002E-2</v>
          </cell>
          <cell r="Y707">
            <v>3.3000000000000002E-2</v>
          </cell>
          <cell r="Z707">
            <v>3.3000000000000002E-2</v>
          </cell>
          <cell r="AA707">
            <v>3.2000000000000001E-2</v>
          </cell>
          <cell r="AB707">
            <v>3.1E-2</v>
          </cell>
          <cell r="AC707">
            <v>0.03</v>
          </cell>
        </row>
        <row r="708">
          <cell r="A708" t="str">
            <v>Ratio expenditure std Multi-family - Social-housing - C3 (%)</v>
          </cell>
          <cell r="C708">
            <v>2.5000000000000001E-2</v>
          </cell>
          <cell r="D708">
            <v>2.7E-2</v>
          </cell>
          <cell r="E708">
            <v>2.7E-2</v>
          </cell>
          <cell r="F708">
            <v>2.9000000000000001E-2</v>
          </cell>
          <cell r="G708">
            <v>0.03</v>
          </cell>
          <cell r="H708">
            <v>0.03</v>
          </cell>
          <cell r="I708">
            <v>0.03</v>
          </cell>
          <cell r="J708">
            <v>0.03</v>
          </cell>
          <cell r="K708">
            <v>0.03</v>
          </cell>
          <cell r="L708">
            <v>0.03</v>
          </cell>
          <cell r="M708">
            <v>0.03</v>
          </cell>
          <cell r="N708">
            <v>2.9000000000000001E-2</v>
          </cell>
          <cell r="O708">
            <v>2.8000000000000001E-2</v>
          </cell>
          <cell r="P708">
            <v>2.7E-2</v>
          </cell>
          <cell r="Q708">
            <v>2.5999999999999999E-2</v>
          </cell>
          <cell r="R708">
            <v>2.5999999999999999E-2</v>
          </cell>
          <cell r="S708">
            <v>0.03</v>
          </cell>
          <cell r="T708">
            <v>2.5000000000000001E-2</v>
          </cell>
          <cell r="U708">
            <v>2.5000000000000001E-2</v>
          </cell>
          <cell r="V708">
            <v>2.5000000000000001E-2</v>
          </cell>
          <cell r="W708">
            <v>2.4E-2</v>
          </cell>
          <cell r="X708">
            <v>2.4E-2</v>
          </cell>
          <cell r="Y708">
            <v>2.3E-2</v>
          </cell>
          <cell r="Z708">
            <v>2.3E-2</v>
          </cell>
          <cell r="AA708">
            <v>2.1999999999999999E-2</v>
          </cell>
          <cell r="AB708">
            <v>2.1999999999999999E-2</v>
          </cell>
          <cell r="AC708">
            <v>2.1000000000000001E-2</v>
          </cell>
        </row>
        <row r="709">
          <cell r="A709" t="str">
            <v>Ratio expenditure std Multi-family - Social-housing - C4 (%)</v>
          </cell>
          <cell r="C709">
            <v>1.7999999999999999E-2</v>
          </cell>
          <cell r="D709">
            <v>1.9E-2</v>
          </cell>
          <cell r="E709">
            <v>1.9E-2</v>
          </cell>
          <cell r="F709">
            <v>2.1000000000000001E-2</v>
          </cell>
          <cell r="G709">
            <v>2.1000000000000001E-2</v>
          </cell>
          <cell r="H709">
            <v>2.1000000000000001E-2</v>
          </cell>
          <cell r="I709">
            <v>2.1000000000000001E-2</v>
          </cell>
          <cell r="J709">
            <v>2.1000000000000001E-2</v>
          </cell>
          <cell r="K709">
            <v>2.1000000000000001E-2</v>
          </cell>
          <cell r="L709">
            <v>2.1999999999999999E-2</v>
          </cell>
          <cell r="M709">
            <v>2.1000000000000001E-2</v>
          </cell>
          <cell r="N709">
            <v>0.02</v>
          </cell>
          <cell r="O709">
            <v>0.02</v>
          </cell>
          <cell r="P709">
            <v>1.9E-2</v>
          </cell>
          <cell r="Q709">
            <v>1.9E-2</v>
          </cell>
          <cell r="R709">
            <v>1.7999999999999999E-2</v>
          </cell>
          <cell r="S709">
            <v>2.1000000000000001E-2</v>
          </cell>
          <cell r="T709">
            <v>1.7999999999999999E-2</v>
          </cell>
          <cell r="U709">
            <v>1.7999999999999999E-2</v>
          </cell>
          <cell r="V709">
            <v>1.7999999999999999E-2</v>
          </cell>
          <cell r="W709">
            <v>1.7000000000000001E-2</v>
          </cell>
          <cell r="X709">
            <v>1.7000000000000001E-2</v>
          </cell>
          <cell r="Y709">
            <v>1.7000000000000001E-2</v>
          </cell>
          <cell r="Z709">
            <v>1.6E-2</v>
          </cell>
          <cell r="AA709">
            <v>1.6E-2</v>
          </cell>
          <cell r="AB709">
            <v>1.6E-2</v>
          </cell>
          <cell r="AC709">
            <v>1.4999999999999999E-2</v>
          </cell>
        </row>
        <row r="710">
          <cell r="A710" t="str">
            <v>Ratio expenditure std Multi-family - Social-housing - C5 (%)</v>
          </cell>
          <cell r="C710">
            <v>1.0999999999999999E-2</v>
          </cell>
          <cell r="D710">
            <v>1.2E-2</v>
          </cell>
          <cell r="E710">
            <v>1.2E-2</v>
          </cell>
          <cell r="F710">
            <v>1.2E-2</v>
          </cell>
          <cell r="G710">
            <v>1.2E-2</v>
          </cell>
          <cell r="H710">
            <v>1.2E-2</v>
          </cell>
          <cell r="I710">
            <v>1.2E-2</v>
          </cell>
          <cell r="J710">
            <v>1.2E-2</v>
          </cell>
          <cell r="K710">
            <v>1.2E-2</v>
          </cell>
          <cell r="L710">
            <v>1.2E-2</v>
          </cell>
          <cell r="M710">
            <v>1.2E-2</v>
          </cell>
          <cell r="N710">
            <v>1.2E-2</v>
          </cell>
          <cell r="O710">
            <v>1.0999999999999999E-2</v>
          </cell>
          <cell r="P710">
            <v>1.0999999999999999E-2</v>
          </cell>
          <cell r="Q710">
            <v>0.01</v>
          </cell>
          <cell r="R710">
            <v>0.01</v>
          </cell>
          <cell r="S710">
            <v>1.2E-2</v>
          </cell>
          <cell r="T710">
            <v>0.01</v>
          </cell>
          <cell r="U710">
            <v>0.01</v>
          </cell>
          <cell r="V710">
            <v>0.01</v>
          </cell>
          <cell r="W710">
            <v>8.9999999999999993E-3</v>
          </cell>
          <cell r="X710">
            <v>8.9999999999999993E-3</v>
          </cell>
          <cell r="Y710">
            <v>8.9999999999999993E-3</v>
          </cell>
          <cell r="Z710">
            <v>8.9999999999999993E-3</v>
          </cell>
          <cell r="AA710">
            <v>8.0000000000000002E-3</v>
          </cell>
          <cell r="AB710">
            <v>8.0000000000000002E-3</v>
          </cell>
          <cell r="AC710">
            <v>8.0000000000000002E-3</v>
          </cell>
        </row>
        <row r="711">
          <cell r="A711" t="str">
            <v>Ratio expenditure std Single-family - Owner-occupied - C1 (%)</v>
          </cell>
          <cell r="C711">
            <v>0.17499999999999999</v>
          </cell>
          <cell r="D711">
            <v>0.17599999999999999</v>
          </cell>
          <cell r="E711">
            <v>0.17100000000000001</v>
          </cell>
          <cell r="F711">
            <v>0.16800000000000001</v>
          </cell>
          <cell r="G711">
            <v>0.16200000000000001</v>
          </cell>
          <cell r="H711">
            <v>0.155</v>
          </cell>
          <cell r="I711">
            <v>0.14899999999999999</v>
          </cell>
          <cell r="J711">
            <v>0.14499999999999999</v>
          </cell>
          <cell r="K711">
            <v>0.14099999999999999</v>
          </cell>
          <cell r="L711">
            <v>0.13700000000000001</v>
          </cell>
          <cell r="M711">
            <v>0.13100000000000001</v>
          </cell>
          <cell r="N711">
            <v>0.125</v>
          </cell>
          <cell r="O711">
            <v>0.11899999999999999</v>
          </cell>
          <cell r="P711">
            <v>0.113</v>
          </cell>
          <cell r="Q711">
            <v>0.108</v>
          </cell>
          <cell r="R711">
            <v>0.10299999999999999</v>
          </cell>
          <cell r="S711">
            <v>0.11799999999999999</v>
          </cell>
          <cell r="T711">
            <v>9.5000000000000001E-2</v>
          </cell>
          <cell r="U711">
            <v>9.0999999999999998E-2</v>
          </cell>
          <cell r="V711">
            <v>8.7999999999999995E-2</v>
          </cell>
          <cell r="W711">
            <v>8.5000000000000006E-2</v>
          </cell>
          <cell r="X711">
            <v>8.3000000000000004E-2</v>
          </cell>
          <cell r="Y711">
            <v>8.1000000000000003E-2</v>
          </cell>
          <cell r="Z711">
            <v>7.9000000000000001E-2</v>
          </cell>
          <cell r="AA711">
            <v>7.8E-2</v>
          </cell>
          <cell r="AB711">
            <v>7.5999999999999998E-2</v>
          </cell>
          <cell r="AC711">
            <v>7.3999999999999996E-2</v>
          </cell>
        </row>
        <row r="712">
          <cell r="A712" t="str">
            <v>Ratio expenditure std Single-family - Owner-occupied - C2 (%)</v>
          </cell>
          <cell r="C712">
            <v>0.10100000000000001</v>
          </cell>
          <cell r="D712">
            <v>0.10199999999999999</v>
          </cell>
          <cell r="E712">
            <v>0.1</v>
          </cell>
          <cell r="F712">
            <v>0.1</v>
          </cell>
          <cell r="G712">
            <v>9.7000000000000003E-2</v>
          </cell>
          <cell r="H712">
            <v>9.4E-2</v>
          </cell>
          <cell r="I712">
            <v>9.1999999999999998E-2</v>
          </cell>
          <cell r="J712">
            <v>0.09</v>
          </cell>
          <cell r="K712">
            <v>8.8999999999999996E-2</v>
          </cell>
          <cell r="L712">
            <v>8.7999999999999995E-2</v>
          </cell>
          <cell r="M712">
            <v>8.4000000000000005E-2</v>
          </cell>
          <cell r="N712">
            <v>0.08</v>
          </cell>
          <cell r="O712">
            <v>7.6999999999999999E-2</v>
          </cell>
          <cell r="P712">
            <v>7.3999999999999996E-2</v>
          </cell>
          <cell r="Q712">
            <v>7.0000000000000007E-2</v>
          </cell>
          <cell r="R712">
            <v>6.7000000000000004E-2</v>
          </cell>
          <cell r="S712">
            <v>7.3999999999999996E-2</v>
          </cell>
          <cell r="T712">
            <v>6.2E-2</v>
          </cell>
          <cell r="U712">
            <v>5.8999999999999997E-2</v>
          </cell>
          <cell r="V712">
            <v>5.7000000000000002E-2</v>
          </cell>
          <cell r="W712">
            <v>5.6000000000000001E-2</v>
          </cell>
          <cell r="X712">
            <v>5.3999999999999999E-2</v>
          </cell>
          <cell r="Y712">
            <v>5.2999999999999999E-2</v>
          </cell>
          <cell r="Z712">
            <v>5.1999999999999998E-2</v>
          </cell>
          <cell r="AA712">
            <v>5.0999999999999997E-2</v>
          </cell>
          <cell r="AB712">
            <v>0.05</v>
          </cell>
          <cell r="AC712">
            <v>4.9000000000000002E-2</v>
          </cell>
        </row>
        <row r="713">
          <cell r="A713" t="str">
            <v>Ratio expenditure std Single-family - Owner-occupied - C3 (%)</v>
          </cell>
          <cell r="C713">
            <v>6.7000000000000004E-2</v>
          </cell>
          <cell r="D713">
            <v>6.8000000000000005E-2</v>
          </cell>
          <cell r="E713">
            <v>6.7000000000000004E-2</v>
          </cell>
          <cell r="F713">
            <v>6.7000000000000004E-2</v>
          </cell>
          <cell r="G713">
            <v>6.6000000000000003E-2</v>
          </cell>
          <cell r="H713">
            <v>6.5000000000000002E-2</v>
          </cell>
          <cell r="I713">
            <v>6.5000000000000002E-2</v>
          </cell>
          <cell r="J713">
            <v>6.5000000000000002E-2</v>
          </cell>
          <cell r="K713">
            <v>6.4000000000000001E-2</v>
          </cell>
          <cell r="L713">
            <v>6.4000000000000001E-2</v>
          </cell>
          <cell r="M713">
            <v>6.0999999999999999E-2</v>
          </cell>
          <cell r="N713">
            <v>5.8000000000000003E-2</v>
          </cell>
          <cell r="O713">
            <v>5.6000000000000001E-2</v>
          </cell>
          <cell r="P713">
            <v>5.2999999999999999E-2</v>
          </cell>
          <cell r="Q713">
            <v>5.0999999999999997E-2</v>
          </cell>
          <cell r="R713">
            <v>4.8000000000000001E-2</v>
          </cell>
          <cell r="S713">
            <v>5.2999999999999999E-2</v>
          </cell>
          <cell r="T713">
            <v>4.4999999999999998E-2</v>
          </cell>
          <cell r="U713">
            <v>4.2999999999999997E-2</v>
          </cell>
          <cell r="V713">
            <v>4.1000000000000002E-2</v>
          </cell>
          <cell r="W713">
            <v>0.04</v>
          </cell>
          <cell r="X713">
            <v>3.9E-2</v>
          </cell>
          <cell r="Y713">
            <v>3.9E-2</v>
          </cell>
          <cell r="Z713">
            <v>3.7999999999999999E-2</v>
          </cell>
          <cell r="AA713">
            <v>3.7999999999999999E-2</v>
          </cell>
          <cell r="AB713">
            <v>3.6999999999999998E-2</v>
          </cell>
          <cell r="AC713">
            <v>3.5999999999999997E-2</v>
          </cell>
        </row>
        <row r="714">
          <cell r="A714" t="str">
            <v>Ratio expenditure std Single-family - Owner-occupied - C4 (%)</v>
          </cell>
          <cell r="C714">
            <v>4.7E-2</v>
          </cell>
          <cell r="D714">
            <v>4.8000000000000001E-2</v>
          </cell>
          <cell r="E714">
            <v>4.8000000000000001E-2</v>
          </cell>
          <cell r="F714">
            <v>4.8000000000000001E-2</v>
          </cell>
          <cell r="G714">
            <v>4.8000000000000001E-2</v>
          </cell>
          <cell r="H714">
            <v>4.7E-2</v>
          </cell>
          <cell r="I714">
            <v>4.7E-2</v>
          </cell>
          <cell r="J714">
            <v>4.7E-2</v>
          </cell>
          <cell r="K714">
            <v>4.7E-2</v>
          </cell>
          <cell r="L714">
            <v>4.7E-2</v>
          </cell>
          <cell r="M714">
            <v>4.4999999999999998E-2</v>
          </cell>
          <cell r="N714">
            <v>4.2999999999999997E-2</v>
          </cell>
          <cell r="O714">
            <v>4.1000000000000002E-2</v>
          </cell>
          <cell r="P714">
            <v>3.9E-2</v>
          </cell>
          <cell r="Q714">
            <v>3.7999999999999999E-2</v>
          </cell>
          <cell r="R714">
            <v>3.5999999999999997E-2</v>
          </cell>
          <cell r="S714">
            <v>0.04</v>
          </cell>
          <cell r="T714">
            <v>3.3000000000000002E-2</v>
          </cell>
          <cell r="U714">
            <v>3.2000000000000001E-2</v>
          </cell>
          <cell r="V714">
            <v>3.1E-2</v>
          </cell>
          <cell r="W714">
            <v>0.03</v>
          </cell>
          <cell r="X714">
            <v>2.9000000000000001E-2</v>
          </cell>
          <cell r="Y714">
            <v>2.9000000000000001E-2</v>
          </cell>
          <cell r="Z714">
            <v>2.9000000000000001E-2</v>
          </cell>
          <cell r="AA714">
            <v>2.8000000000000001E-2</v>
          </cell>
          <cell r="AB714">
            <v>2.8000000000000001E-2</v>
          </cell>
          <cell r="AC714">
            <v>2.7E-2</v>
          </cell>
        </row>
        <row r="715">
          <cell r="A715" t="str">
            <v>Ratio expenditure std Single-family - Owner-occupied - C5 (%)</v>
          </cell>
          <cell r="C715">
            <v>2.5000000000000001E-2</v>
          </cell>
          <cell r="D715">
            <v>2.5000000000000001E-2</v>
          </cell>
          <cell r="E715">
            <v>2.5000000000000001E-2</v>
          </cell>
          <cell r="F715">
            <v>2.5999999999999999E-2</v>
          </cell>
          <cell r="G715">
            <v>2.5999999999999999E-2</v>
          </cell>
          <cell r="H715">
            <v>2.5999999999999999E-2</v>
          </cell>
          <cell r="I715">
            <v>2.5999999999999999E-2</v>
          </cell>
          <cell r="J715">
            <v>2.5999999999999999E-2</v>
          </cell>
          <cell r="K715">
            <v>2.5999999999999999E-2</v>
          </cell>
          <cell r="L715">
            <v>2.5999999999999999E-2</v>
          </cell>
          <cell r="M715">
            <v>2.5000000000000001E-2</v>
          </cell>
          <cell r="N715">
            <v>2.4E-2</v>
          </cell>
          <cell r="O715">
            <v>2.3E-2</v>
          </cell>
          <cell r="P715">
            <v>2.1999999999999999E-2</v>
          </cell>
          <cell r="Q715">
            <v>2.1000000000000001E-2</v>
          </cell>
          <cell r="R715">
            <v>0.02</v>
          </cell>
          <cell r="S715">
            <v>2.3E-2</v>
          </cell>
          <cell r="T715">
            <v>1.9E-2</v>
          </cell>
          <cell r="U715">
            <v>1.7999999999999999E-2</v>
          </cell>
          <cell r="V715">
            <v>1.7000000000000001E-2</v>
          </cell>
          <cell r="W715">
            <v>1.7000000000000001E-2</v>
          </cell>
          <cell r="X715">
            <v>1.7000000000000001E-2</v>
          </cell>
          <cell r="Y715">
            <v>1.6E-2</v>
          </cell>
          <cell r="Z715">
            <v>1.6E-2</v>
          </cell>
          <cell r="AA715">
            <v>1.6E-2</v>
          </cell>
          <cell r="AB715">
            <v>1.6E-2</v>
          </cell>
          <cell r="AC715">
            <v>1.4999999999999999E-2</v>
          </cell>
        </row>
        <row r="716">
          <cell r="A716" t="str">
            <v>Ratio expenditure std Single-family - Privately rented - C1 (%)</v>
          </cell>
          <cell r="C716">
            <v>0.151</v>
          </cell>
          <cell r="D716">
            <v>0.152</v>
          </cell>
          <cell r="E716">
            <v>0.14899999999999999</v>
          </cell>
          <cell r="F716">
            <v>0.14899999999999999</v>
          </cell>
          <cell r="G716">
            <v>0.14599999999999999</v>
          </cell>
          <cell r="H716">
            <v>0.14399999999999999</v>
          </cell>
          <cell r="I716">
            <v>0.14299999999999999</v>
          </cell>
          <cell r="J716">
            <v>0.14299999999999999</v>
          </cell>
          <cell r="K716">
            <v>0.14299999999999999</v>
          </cell>
          <cell r="L716">
            <v>0.14299999999999999</v>
          </cell>
          <cell r="M716">
            <v>0.13600000000000001</v>
          </cell>
          <cell r="N716">
            <v>0.13</v>
          </cell>
          <cell r="O716">
            <v>0.121</v>
          </cell>
          <cell r="P716">
            <v>0.11600000000000001</v>
          </cell>
          <cell r="Q716">
            <v>0.112</v>
          </cell>
          <cell r="R716">
            <v>0.109</v>
          </cell>
          <cell r="S716">
            <v>0.11899999999999999</v>
          </cell>
          <cell r="T716">
            <v>0.10199999999999999</v>
          </cell>
          <cell r="U716">
            <v>9.8000000000000004E-2</v>
          </cell>
          <cell r="V716">
            <v>9.5000000000000001E-2</v>
          </cell>
          <cell r="W716">
            <v>9.2999999999999999E-2</v>
          </cell>
          <cell r="X716">
            <v>9.1999999999999998E-2</v>
          </cell>
          <cell r="Y716">
            <v>9.1999999999999998E-2</v>
          </cell>
          <cell r="Z716">
            <v>8.7999999999999995E-2</v>
          </cell>
          <cell r="AA716">
            <v>8.5000000000000006E-2</v>
          </cell>
          <cell r="AB716">
            <v>8.2000000000000003E-2</v>
          </cell>
          <cell r="AC716">
            <v>7.9000000000000001E-2</v>
          </cell>
        </row>
        <row r="717">
          <cell r="A717" t="str">
            <v>Ratio expenditure std Single-family - Privately rented - C2 (%)</v>
          </cell>
          <cell r="C717">
            <v>8.3000000000000004E-2</v>
          </cell>
          <cell r="D717">
            <v>8.4000000000000005E-2</v>
          </cell>
          <cell r="E717">
            <v>8.3000000000000004E-2</v>
          </cell>
          <cell r="F717">
            <v>8.4000000000000005E-2</v>
          </cell>
          <cell r="G717">
            <v>8.3000000000000004E-2</v>
          </cell>
          <cell r="H717">
            <v>8.2000000000000003E-2</v>
          </cell>
          <cell r="I717">
            <v>8.2000000000000003E-2</v>
          </cell>
          <cell r="J717">
            <v>8.2000000000000003E-2</v>
          </cell>
          <cell r="K717">
            <v>8.2000000000000003E-2</v>
          </cell>
          <cell r="L717">
            <v>8.2000000000000003E-2</v>
          </cell>
          <cell r="M717">
            <v>7.9000000000000001E-2</v>
          </cell>
          <cell r="N717">
            <v>7.4999999999999997E-2</v>
          </cell>
          <cell r="O717">
            <v>7.0999999999999994E-2</v>
          </cell>
          <cell r="P717">
            <v>6.8000000000000005E-2</v>
          </cell>
          <cell r="Q717">
            <v>6.6000000000000003E-2</v>
          </cell>
          <cell r="R717">
            <v>6.4000000000000001E-2</v>
          </cell>
          <cell r="S717">
            <v>7.0000000000000007E-2</v>
          </cell>
          <cell r="T717">
            <v>0.06</v>
          </cell>
          <cell r="U717">
            <v>5.8000000000000003E-2</v>
          </cell>
          <cell r="V717">
            <v>5.6000000000000001E-2</v>
          </cell>
          <cell r="W717">
            <v>5.5E-2</v>
          </cell>
          <cell r="X717">
            <v>5.5E-2</v>
          </cell>
          <cell r="Y717">
            <v>5.3999999999999999E-2</v>
          </cell>
          <cell r="Z717">
            <v>5.1999999999999998E-2</v>
          </cell>
          <cell r="AA717">
            <v>5.0999999999999997E-2</v>
          </cell>
          <cell r="AB717">
            <v>4.9000000000000002E-2</v>
          </cell>
          <cell r="AC717">
            <v>4.7E-2</v>
          </cell>
        </row>
        <row r="718">
          <cell r="A718" t="str">
            <v>Ratio expenditure std Single-family - Privately rented - C3 (%)</v>
          </cell>
          <cell r="C718">
            <v>5.8000000000000003E-2</v>
          </cell>
          <cell r="D718">
            <v>5.8999999999999997E-2</v>
          </cell>
          <cell r="E718">
            <v>5.8000000000000003E-2</v>
          </cell>
          <cell r="F718">
            <v>5.8000000000000003E-2</v>
          </cell>
          <cell r="G718">
            <v>5.8000000000000003E-2</v>
          </cell>
          <cell r="H718">
            <v>5.7000000000000002E-2</v>
          </cell>
          <cell r="I718">
            <v>5.7000000000000002E-2</v>
          </cell>
          <cell r="J718">
            <v>5.7000000000000002E-2</v>
          </cell>
          <cell r="K718">
            <v>5.7000000000000002E-2</v>
          </cell>
          <cell r="L718">
            <v>5.7000000000000002E-2</v>
          </cell>
          <cell r="M718">
            <v>5.5E-2</v>
          </cell>
          <cell r="N718">
            <v>5.1999999999999998E-2</v>
          </cell>
          <cell r="O718">
            <v>4.9000000000000002E-2</v>
          </cell>
          <cell r="P718">
            <v>4.8000000000000001E-2</v>
          </cell>
          <cell r="Q718">
            <v>4.5999999999999999E-2</v>
          </cell>
          <cell r="R718">
            <v>4.4999999999999998E-2</v>
          </cell>
          <cell r="S718">
            <v>0.05</v>
          </cell>
          <cell r="T718">
            <v>4.2000000000000003E-2</v>
          </cell>
          <cell r="U718">
            <v>4.1000000000000002E-2</v>
          </cell>
          <cell r="V718">
            <v>0.04</v>
          </cell>
          <cell r="W718">
            <v>3.9E-2</v>
          </cell>
          <cell r="X718">
            <v>3.9E-2</v>
          </cell>
          <cell r="Y718">
            <v>3.7999999999999999E-2</v>
          </cell>
          <cell r="Z718">
            <v>3.6999999999999998E-2</v>
          </cell>
          <cell r="AA718">
            <v>3.5999999999999997E-2</v>
          </cell>
          <cell r="AB718">
            <v>3.5000000000000003E-2</v>
          </cell>
          <cell r="AC718">
            <v>3.3000000000000002E-2</v>
          </cell>
        </row>
        <row r="719">
          <cell r="A719" t="str">
            <v>Ratio expenditure std Single-family - Privately rented - C4 (%)</v>
          </cell>
          <cell r="C719">
            <v>3.9E-2</v>
          </cell>
          <cell r="D719">
            <v>0.04</v>
          </cell>
          <cell r="E719">
            <v>0.04</v>
          </cell>
          <cell r="F719">
            <v>0.04</v>
          </cell>
          <cell r="G719">
            <v>0.04</v>
          </cell>
          <cell r="H719">
            <v>0.04</v>
          </cell>
          <cell r="I719">
            <v>0.04</v>
          </cell>
          <cell r="J719">
            <v>0.04</v>
          </cell>
          <cell r="K719">
            <v>0.04</v>
          </cell>
          <cell r="L719">
            <v>0.04</v>
          </cell>
          <cell r="M719">
            <v>3.7999999999999999E-2</v>
          </cell>
          <cell r="N719">
            <v>3.6999999999999998E-2</v>
          </cell>
          <cell r="O719">
            <v>3.5000000000000003E-2</v>
          </cell>
          <cell r="P719">
            <v>3.4000000000000002E-2</v>
          </cell>
          <cell r="Q719">
            <v>3.3000000000000002E-2</v>
          </cell>
          <cell r="R719">
            <v>3.2000000000000001E-2</v>
          </cell>
          <cell r="S719">
            <v>3.5999999999999997E-2</v>
          </cell>
          <cell r="T719">
            <v>0.03</v>
          </cell>
          <cell r="U719">
            <v>2.9000000000000001E-2</v>
          </cell>
          <cell r="V719">
            <v>2.8000000000000001E-2</v>
          </cell>
          <cell r="W719">
            <v>2.8000000000000001E-2</v>
          </cell>
          <cell r="X719">
            <v>2.8000000000000001E-2</v>
          </cell>
          <cell r="Y719">
            <v>2.7E-2</v>
          </cell>
          <cell r="Z719">
            <v>2.7E-2</v>
          </cell>
          <cell r="AA719">
            <v>2.5999999999999999E-2</v>
          </cell>
          <cell r="AB719">
            <v>2.5000000000000001E-2</v>
          </cell>
          <cell r="AC719">
            <v>2.4E-2</v>
          </cell>
        </row>
        <row r="720">
          <cell r="A720" t="str">
            <v>Ratio expenditure std Single-family - Privately rented - C5 (%)</v>
          </cell>
          <cell r="C720">
            <v>0.02</v>
          </cell>
          <cell r="D720">
            <v>2.1000000000000001E-2</v>
          </cell>
          <cell r="E720">
            <v>2.1000000000000001E-2</v>
          </cell>
          <cell r="F720">
            <v>2.1000000000000001E-2</v>
          </cell>
          <cell r="G720">
            <v>2.1000000000000001E-2</v>
          </cell>
          <cell r="H720">
            <v>2.1000000000000001E-2</v>
          </cell>
          <cell r="I720">
            <v>2.1000000000000001E-2</v>
          </cell>
          <cell r="J720">
            <v>2.1000000000000001E-2</v>
          </cell>
          <cell r="K720">
            <v>2.1000000000000001E-2</v>
          </cell>
          <cell r="L720">
            <v>2.1000000000000001E-2</v>
          </cell>
          <cell r="M720">
            <v>0.02</v>
          </cell>
          <cell r="N720">
            <v>0.02</v>
          </cell>
          <cell r="O720">
            <v>1.9E-2</v>
          </cell>
          <cell r="P720">
            <v>1.7999999999999999E-2</v>
          </cell>
          <cell r="Q720">
            <v>1.7000000000000001E-2</v>
          </cell>
          <cell r="R720">
            <v>1.7000000000000001E-2</v>
          </cell>
          <cell r="S720">
            <v>1.9E-2</v>
          </cell>
          <cell r="T720">
            <v>1.6E-2</v>
          </cell>
          <cell r="U720">
            <v>1.6E-2</v>
          </cell>
          <cell r="V720">
            <v>1.4999999999999999E-2</v>
          </cell>
          <cell r="W720">
            <v>1.4999999999999999E-2</v>
          </cell>
          <cell r="X720">
            <v>1.4999999999999999E-2</v>
          </cell>
          <cell r="Y720">
            <v>1.4999999999999999E-2</v>
          </cell>
          <cell r="Z720">
            <v>1.4E-2</v>
          </cell>
          <cell r="AA720">
            <v>1.4E-2</v>
          </cell>
          <cell r="AB720">
            <v>1.2999999999999999E-2</v>
          </cell>
          <cell r="AC720">
            <v>1.2999999999999999E-2</v>
          </cell>
        </row>
        <row r="721">
          <cell r="A721" t="str">
            <v>Ratio expenditure std Single-family - Social-housing - C1 (%)</v>
          </cell>
          <cell r="C721">
            <v>0.109</v>
          </cell>
          <cell r="D721">
            <v>0.114</v>
          </cell>
          <cell r="E721">
            <v>0.11700000000000001</v>
          </cell>
          <cell r="F721">
            <v>0.123</v>
          </cell>
          <cell r="G721">
            <v>0.127</v>
          </cell>
          <cell r="H721">
            <v>0.13100000000000001</v>
          </cell>
          <cell r="I721">
            <v>0.13500000000000001</v>
          </cell>
          <cell r="J721">
            <v>0.14000000000000001</v>
          </cell>
          <cell r="K721">
            <v>0.14499999999999999</v>
          </cell>
          <cell r="L721">
            <v>0.15</v>
          </cell>
          <cell r="M721">
            <v>0.15</v>
          </cell>
          <cell r="N721">
            <v>0.15</v>
          </cell>
          <cell r="O721">
            <v>0.14799999999999999</v>
          </cell>
          <cell r="P721">
            <v>0.14499999999999999</v>
          </cell>
          <cell r="Q721">
            <v>0.14299999999999999</v>
          </cell>
          <cell r="R721">
            <v>0.14099999999999999</v>
          </cell>
          <cell r="S721">
            <v>0.16200000000000001</v>
          </cell>
          <cell r="T721">
            <v>0.13600000000000001</v>
          </cell>
          <cell r="U721">
            <v>0.13200000000000001</v>
          </cell>
          <cell r="V721">
            <v>0.125</v>
          </cell>
          <cell r="W721">
            <v>0.11899999999999999</v>
          </cell>
          <cell r="X721">
            <v>0.113</v>
          </cell>
          <cell r="Y721">
            <v>0.107</v>
          </cell>
          <cell r="Z721">
            <v>0.10199999999999999</v>
          </cell>
          <cell r="AA721">
            <v>9.7000000000000003E-2</v>
          </cell>
          <cell r="AB721">
            <v>9.2999999999999999E-2</v>
          </cell>
          <cell r="AC721">
            <v>8.6999999999999994E-2</v>
          </cell>
        </row>
        <row r="722">
          <cell r="A722" t="str">
            <v>Ratio expenditure std Single-family - Social-housing - C2 (%)</v>
          </cell>
          <cell r="C722">
            <v>6.3E-2</v>
          </cell>
          <cell r="D722">
            <v>6.6000000000000003E-2</v>
          </cell>
          <cell r="E722">
            <v>6.8000000000000005E-2</v>
          </cell>
          <cell r="F722">
            <v>7.0999999999999994E-2</v>
          </cell>
          <cell r="G722">
            <v>7.3999999999999996E-2</v>
          </cell>
          <cell r="H722">
            <v>7.5999999999999998E-2</v>
          </cell>
          <cell r="I722">
            <v>7.8E-2</v>
          </cell>
          <cell r="J722">
            <v>8.1000000000000003E-2</v>
          </cell>
          <cell r="K722">
            <v>8.4000000000000005E-2</v>
          </cell>
          <cell r="L722">
            <v>8.6999999999999994E-2</v>
          </cell>
          <cell r="M722">
            <v>8.7999999999999995E-2</v>
          </cell>
          <cell r="N722">
            <v>8.7999999999999995E-2</v>
          </cell>
          <cell r="O722">
            <v>8.6999999999999994E-2</v>
          </cell>
          <cell r="P722">
            <v>8.5999999999999993E-2</v>
          </cell>
          <cell r="Q722">
            <v>8.5000000000000006E-2</v>
          </cell>
          <cell r="R722">
            <v>8.3000000000000004E-2</v>
          </cell>
          <cell r="S722">
            <v>9.6000000000000002E-2</v>
          </cell>
          <cell r="T722">
            <v>0.08</v>
          </cell>
          <cell r="U722">
            <v>7.8E-2</v>
          </cell>
          <cell r="V722">
            <v>7.3999999999999996E-2</v>
          </cell>
          <cell r="W722">
            <v>7.0999999999999994E-2</v>
          </cell>
          <cell r="X722">
            <v>6.7000000000000004E-2</v>
          </cell>
          <cell r="Y722">
            <v>6.4000000000000001E-2</v>
          </cell>
          <cell r="Z722">
            <v>6.0999999999999999E-2</v>
          </cell>
          <cell r="AA722">
            <v>5.8000000000000003E-2</v>
          </cell>
          <cell r="AB722">
            <v>5.5E-2</v>
          </cell>
          <cell r="AC722">
            <v>5.1999999999999998E-2</v>
          </cell>
        </row>
        <row r="723">
          <cell r="A723" t="str">
            <v>Ratio expenditure std Single-family - Social-housing - C3 (%)</v>
          </cell>
          <cell r="C723">
            <v>4.5999999999999999E-2</v>
          </cell>
          <cell r="D723">
            <v>4.8000000000000001E-2</v>
          </cell>
          <cell r="E723">
            <v>0.05</v>
          </cell>
          <cell r="F723">
            <v>5.1999999999999998E-2</v>
          </cell>
          <cell r="G723">
            <v>5.3999999999999999E-2</v>
          </cell>
          <cell r="H723">
            <v>5.6000000000000001E-2</v>
          </cell>
          <cell r="I723">
            <v>5.7000000000000002E-2</v>
          </cell>
          <cell r="J723">
            <v>5.8999999999999997E-2</v>
          </cell>
          <cell r="K723">
            <v>6.2E-2</v>
          </cell>
          <cell r="L723">
            <v>6.4000000000000001E-2</v>
          </cell>
          <cell r="M723">
            <v>6.4000000000000001E-2</v>
          </cell>
          <cell r="N723">
            <v>6.4000000000000001E-2</v>
          </cell>
          <cell r="O723">
            <v>6.3E-2</v>
          </cell>
          <cell r="P723">
            <v>6.0999999999999999E-2</v>
          </cell>
          <cell r="Q723">
            <v>0.06</v>
          </cell>
          <cell r="R723">
            <v>5.8999999999999997E-2</v>
          </cell>
          <cell r="S723">
            <v>6.8000000000000005E-2</v>
          </cell>
          <cell r="T723">
            <v>5.7000000000000002E-2</v>
          </cell>
          <cell r="U723">
            <v>5.5E-2</v>
          </cell>
          <cell r="V723">
            <v>5.1999999999999998E-2</v>
          </cell>
          <cell r="W723">
            <v>0.05</v>
          </cell>
          <cell r="X723">
            <v>4.7E-2</v>
          </cell>
          <cell r="Y723">
            <v>4.4999999999999998E-2</v>
          </cell>
          <cell r="Z723">
            <v>4.2999999999999997E-2</v>
          </cell>
          <cell r="AA723">
            <v>4.1000000000000002E-2</v>
          </cell>
          <cell r="AB723">
            <v>3.9E-2</v>
          </cell>
          <cell r="AC723">
            <v>3.6999999999999998E-2</v>
          </cell>
        </row>
        <row r="724">
          <cell r="A724" t="str">
            <v>Ratio expenditure std Single-family - Social-housing - C4 (%)</v>
          </cell>
          <cell r="C724">
            <v>3.2000000000000001E-2</v>
          </cell>
          <cell r="D724">
            <v>3.4000000000000002E-2</v>
          </cell>
          <cell r="E724">
            <v>3.5000000000000003E-2</v>
          </cell>
          <cell r="F724">
            <v>3.6999999999999998E-2</v>
          </cell>
          <cell r="G724">
            <v>3.7999999999999999E-2</v>
          </cell>
          <cell r="H724">
            <v>3.9E-2</v>
          </cell>
          <cell r="I724">
            <v>0.04</v>
          </cell>
          <cell r="J724">
            <v>4.2000000000000003E-2</v>
          </cell>
          <cell r="K724">
            <v>4.2999999999999997E-2</v>
          </cell>
          <cell r="L724">
            <v>4.4999999999999998E-2</v>
          </cell>
          <cell r="M724">
            <v>4.4999999999999998E-2</v>
          </cell>
          <cell r="N724">
            <v>4.4999999999999998E-2</v>
          </cell>
          <cell r="O724">
            <v>4.3999999999999997E-2</v>
          </cell>
          <cell r="P724">
            <v>4.2999999999999997E-2</v>
          </cell>
          <cell r="Q724">
            <v>4.2999999999999997E-2</v>
          </cell>
          <cell r="R724">
            <v>4.2000000000000003E-2</v>
          </cell>
          <cell r="S724">
            <v>4.9000000000000002E-2</v>
          </cell>
          <cell r="T724">
            <v>4.1000000000000002E-2</v>
          </cell>
          <cell r="U724">
            <v>0.04</v>
          </cell>
          <cell r="V724">
            <v>3.7999999999999999E-2</v>
          </cell>
          <cell r="W724">
            <v>3.5999999999999997E-2</v>
          </cell>
          <cell r="X724">
            <v>3.4000000000000002E-2</v>
          </cell>
          <cell r="Y724">
            <v>3.2000000000000001E-2</v>
          </cell>
          <cell r="Z724">
            <v>3.1E-2</v>
          </cell>
          <cell r="AA724">
            <v>2.9000000000000001E-2</v>
          </cell>
          <cell r="AB724">
            <v>2.8000000000000001E-2</v>
          </cell>
          <cell r="AC724">
            <v>2.5999999999999999E-2</v>
          </cell>
        </row>
        <row r="725">
          <cell r="A725" t="str">
            <v>Ratio expenditure std Single-family - Social-housing - C5 (%)</v>
          </cell>
          <cell r="C725">
            <v>1.7000000000000001E-2</v>
          </cell>
          <cell r="D725">
            <v>1.7999999999999999E-2</v>
          </cell>
          <cell r="E725">
            <v>1.9E-2</v>
          </cell>
          <cell r="F725">
            <v>0.02</v>
          </cell>
          <cell r="G725">
            <v>0.02</v>
          </cell>
          <cell r="H725">
            <v>2.1000000000000001E-2</v>
          </cell>
          <cell r="I725">
            <v>2.1000000000000001E-2</v>
          </cell>
          <cell r="J725">
            <v>2.1999999999999999E-2</v>
          </cell>
          <cell r="K725">
            <v>2.3E-2</v>
          </cell>
          <cell r="L725">
            <v>2.4E-2</v>
          </cell>
          <cell r="M725">
            <v>2.4E-2</v>
          </cell>
          <cell r="N725">
            <v>2.4E-2</v>
          </cell>
          <cell r="O725">
            <v>2.4E-2</v>
          </cell>
          <cell r="P725">
            <v>2.3E-2</v>
          </cell>
          <cell r="Q725">
            <v>2.3E-2</v>
          </cell>
          <cell r="R725">
            <v>2.3E-2</v>
          </cell>
          <cell r="S725">
            <v>2.5999999999999999E-2</v>
          </cell>
          <cell r="T725">
            <v>2.1999999999999999E-2</v>
          </cell>
          <cell r="U725">
            <v>2.1000000000000001E-2</v>
          </cell>
          <cell r="V725">
            <v>0.02</v>
          </cell>
          <cell r="W725">
            <v>1.9E-2</v>
          </cell>
          <cell r="X725">
            <v>1.7999999999999999E-2</v>
          </cell>
          <cell r="Y725">
            <v>1.7000000000000001E-2</v>
          </cell>
          <cell r="Z725">
            <v>1.6E-2</v>
          </cell>
          <cell r="AA725">
            <v>1.6E-2</v>
          </cell>
          <cell r="AB725">
            <v>1.4999999999999999E-2</v>
          </cell>
          <cell r="AC725">
            <v>1.4E-2</v>
          </cell>
        </row>
        <row r="726">
          <cell r="A726" t="str">
            <v>Rebound EE (TWh/year)</v>
          </cell>
          <cell r="C726">
            <v>0.91800000000000004</v>
          </cell>
          <cell r="D726">
            <v>0.78500000000000003</v>
          </cell>
          <cell r="E726">
            <v>1.244</v>
          </cell>
          <cell r="F726">
            <v>1.216</v>
          </cell>
          <cell r="G726">
            <v>1.2350000000000001</v>
          </cell>
          <cell r="H726">
            <v>1.3660000000000001</v>
          </cell>
          <cell r="I726">
            <v>1.44</v>
          </cell>
          <cell r="J726">
            <v>1.2809999999999999</v>
          </cell>
          <cell r="K726">
            <v>1.3260000000000001</v>
          </cell>
          <cell r="L726">
            <v>1.2</v>
          </cell>
          <cell r="M726">
            <v>1.077</v>
          </cell>
          <cell r="N726">
            <v>0.97399999999999998</v>
          </cell>
          <cell r="O726">
            <v>0.78600000000000003</v>
          </cell>
          <cell r="P726">
            <v>0.76300000000000001</v>
          </cell>
          <cell r="Q726">
            <v>0.69499999999999995</v>
          </cell>
          <cell r="R726">
            <v>0.59099999999999997</v>
          </cell>
          <cell r="S726">
            <v>0.76700000000000002</v>
          </cell>
          <cell r="T726">
            <v>0.52600000000000002</v>
          </cell>
          <cell r="U726">
            <v>0.49299999999999999</v>
          </cell>
          <cell r="V726">
            <v>0.441</v>
          </cell>
          <cell r="W726">
            <v>0.29899999999999999</v>
          </cell>
          <cell r="X726">
            <v>0.27100000000000002</v>
          </cell>
          <cell r="Y726">
            <v>0.25800000000000001</v>
          </cell>
          <cell r="Z726">
            <v>0.23300000000000001</v>
          </cell>
          <cell r="AA726">
            <v>0.216</v>
          </cell>
          <cell r="AB726">
            <v>0.20200000000000001</v>
          </cell>
          <cell r="AC726">
            <v>0.193</v>
          </cell>
        </row>
        <row r="727">
          <cell r="A727" t="str">
            <v>Rebound heater (TWh/year)</v>
          </cell>
          <cell r="C727">
            <v>0.57799999999999996</v>
          </cell>
          <cell r="D727">
            <v>0.46800000000000003</v>
          </cell>
          <cell r="E727">
            <v>0.624</v>
          </cell>
          <cell r="F727">
            <v>0.60599999999999998</v>
          </cell>
          <cell r="G727">
            <v>0.71199999999999997</v>
          </cell>
          <cell r="H727">
            <v>0.83799999999999997</v>
          </cell>
          <cell r="I727">
            <v>0.95099999999999996</v>
          </cell>
          <cell r="J727">
            <v>0.745</v>
          </cell>
          <cell r="K727">
            <v>0.88200000000000001</v>
          </cell>
          <cell r="L727">
            <v>0.82399999999999995</v>
          </cell>
          <cell r="M727">
            <v>0.755</v>
          </cell>
          <cell r="N727">
            <v>0.69699999999999995</v>
          </cell>
          <cell r="O727">
            <v>0.51300000000000001</v>
          </cell>
          <cell r="P727">
            <v>0.42899999999999999</v>
          </cell>
          <cell r="Q727">
            <v>0.38200000000000001</v>
          </cell>
          <cell r="R727">
            <v>0.308</v>
          </cell>
          <cell r="S727">
            <v>0.38</v>
          </cell>
          <cell r="T727">
            <v>0.26</v>
          </cell>
          <cell r="U727">
            <v>0.251</v>
          </cell>
          <cell r="V727">
            <v>0.23100000000000001</v>
          </cell>
          <cell r="W727">
            <v>0.10100000000000001</v>
          </cell>
          <cell r="X727">
            <v>0.09</v>
          </cell>
          <cell r="Y727">
            <v>9.1999999999999998E-2</v>
          </cell>
          <cell r="Z727">
            <v>8.1000000000000003E-2</v>
          </cell>
          <cell r="AA727">
            <v>7.5999999999999998E-2</v>
          </cell>
          <cell r="AB727">
            <v>7.0999999999999994E-2</v>
          </cell>
          <cell r="AC727">
            <v>6.5000000000000002E-2</v>
          </cell>
        </row>
        <row r="728">
          <cell r="A728" t="str">
            <v>Rebound heater Electricity (TWh/year)</v>
          </cell>
          <cell r="C728">
            <v>0.372</v>
          </cell>
          <cell r="D728">
            <v>0.36799999999999999</v>
          </cell>
          <cell r="E728">
            <v>0.35399999999999998</v>
          </cell>
          <cell r="F728">
            <v>0.38600000000000001</v>
          </cell>
          <cell r="G728">
            <v>0.35299999999999998</v>
          </cell>
          <cell r="H728">
            <v>0.32200000000000001</v>
          </cell>
          <cell r="I728">
            <v>0.29199999999999998</v>
          </cell>
          <cell r="J728">
            <v>0.32100000000000001</v>
          </cell>
          <cell r="K728">
            <v>0.29599999999999999</v>
          </cell>
          <cell r="L728">
            <v>0.30299999999999999</v>
          </cell>
          <cell r="M728">
            <v>0.312</v>
          </cell>
          <cell r="N728">
            <v>0.32200000000000001</v>
          </cell>
          <cell r="O728">
            <v>0.23899999999999999</v>
          </cell>
          <cell r="P728">
            <v>0.249</v>
          </cell>
          <cell r="Q728">
            <v>0.249</v>
          </cell>
          <cell r="R728">
            <v>0.224</v>
          </cell>
          <cell r="S728">
            <v>0.32500000000000001</v>
          </cell>
          <cell r="T728">
            <v>0.2</v>
          </cell>
          <cell r="U728">
            <v>0.193</v>
          </cell>
          <cell r="V728">
            <v>0.17599999999999999</v>
          </cell>
          <cell r="W728">
            <v>6.8000000000000005E-2</v>
          </cell>
          <cell r="X728">
            <v>5.8000000000000003E-2</v>
          </cell>
          <cell r="Y728">
            <v>6.2E-2</v>
          </cell>
          <cell r="Z728">
            <v>5.1999999999999998E-2</v>
          </cell>
          <cell r="AA728">
            <v>4.9000000000000002E-2</v>
          </cell>
          <cell r="AB728">
            <v>4.5999999999999999E-2</v>
          </cell>
          <cell r="AC728">
            <v>4.2000000000000003E-2</v>
          </cell>
        </row>
        <row r="729">
          <cell r="A729" t="str">
            <v>Rebound heater Heating (TWh/year)</v>
          </cell>
          <cell r="C729">
            <v>0.108</v>
          </cell>
          <cell r="D729">
            <v>0</v>
          </cell>
          <cell r="E729">
            <v>0.17699999999999999</v>
          </cell>
          <cell r="F729">
            <v>0.123</v>
          </cell>
          <cell r="G729">
            <v>0.26600000000000001</v>
          </cell>
          <cell r="H729">
            <v>0.42699999999999999</v>
          </cell>
          <cell r="I729">
            <v>0.57299999999999995</v>
          </cell>
          <cell r="J729">
            <v>0.33700000000000002</v>
          </cell>
          <cell r="K729">
            <v>0.501</v>
          </cell>
          <cell r="L729">
            <v>0.436</v>
          </cell>
          <cell r="M729">
            <v>0.35699999999999998</v>
          </cell>
          <cell r="N729">
            <v>0.28999999999999998</v>
          </cell>
          <cell r="O729">
            <v>0.23</v>
          </cell>
          <cell r="P729">
            <v>0.13700000000000001</v>
          </cell>
          <cell r="Q729">
            <v>0.09</v>
          </cell>
          <cell r="R729">
            <v>4.5999999999999999E-2</v>
          </cell>
          <cell r="S729">
            <v>0</v>
          </cell>
          <cell r="T729">
            <v>2.5999999999999999E-2</v>
          </cell>
          <cell r="U729">
            <v>2.5000000000000001E-2</v>
          </cell>
          <cell r="V729">
            <v>2.5000000000000001E-2</v>
          </cell>
          <cell r="W729">
            <v>2.1000000000000001E-2</v>
          </cell>
          <cell r="X729">
            <v>2.1000000000000001E-2</v>
          </cell>
          <cell r="Y729">
            <v>1.9E-2</v>
          </cell>
          <cell r="Z729">
            <v>1.9E-2</v>
          </cell>
          <cell r="AA729">
            <v>1.7999999999999999E-2</v>
          </cell>
          <cell r="AB729">
            <v>1.6E-2</v>
          </cell>
          <cell r="AC729">
            <v>1.4E-2</v>
          </cell>
        </row>
        <row r="730">
          <cell r="A730" t="str">
            <v>Rebound heater Natural gas (TWh/year)</v>
          </cell>
          <cell r="C730">
            <v>2.4E-2</v>
          </cell>
          <cell r="D730">
            <v>2.1999999999999999E-2</v>
          </cell>
          <cell r="E730">
            <v>1.9E-2</v>
          </cell>
          <cell r="F730">
            <v>1.9E-2</v>
          </cell>
          <cell r="G730">
            <v>1.7999999999999999E-2</v>
          </cell>
          <cell r="H730">
            <v>1.7000000000000001E-2</v>
          </cell>
          <cell r="I730">
            <v>1.6E-2</v>
          </cell>
          <cell r="J730">
            <v>1.7999999999999999E-2</v>
          </cell>
          <cell r="K730">
            <v>1.7000000000000001E-2</v>
          </cell>
          <cell r="L730">
            <v>1.7999999999999999E-2</v>
          </cell>
          <cell r="M730">
            <v>1.9E-2</v>
          </cell>
          <cell r="N730">
            <v>1.9E-2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</row>
        <row r="731">
          <cell r="A731" t="str">
            <v>Rebound heater Oil fuel (TWh/year)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</row>
        <row r="732">
          <cell r="A732" t="str">
            <v>Rebound heater Wood fuel (TWh/year)</v>
          </cell>
          <cell r="C732">
            <v>7.2999999999999995E-2</v>
          </cell>
          <cell r="D732">
            <v>7.8E-2</v>
          </cell>
          <cell r="E732">
            <v>7.3999999999999996E-2</v>
          </cell>
          <cell r="F732">
            <v>7.8E-2</v>
          </cell>
          <cell r="G732">
            <v>7.3999999999999996E-2</v>
          </cell>
          <cell r="H732">
            <v>7.1999999999999995E-2</v>
          </cell>
          <cell r="I732">
            <v>6.9000000000000006E-2</v>
          </cell>
          <cell r="J732">
            <v>6.9000000000000006E-2</v>
          </cell>
          <cell r="K732">
            <v>6.8000000000000005E-2</v>
          </cell>
          <cell r="L732">
            <v>6.7000000000000004E-2</v>
          </cell>
          <cell r="M732">
            <v>6.7000000000000004E-2</v>
          </cell>
          <cell r="N732">
            <v>6.7000000000000004E-2</v>
          </cell>
          <cell r="O732">
            <v>4.3999999999999997E-2</v>
          </cell>
          <cell r="P732">
            <v>4.3999999999999997E-2</v>
          </cell>
          <cell r="Q732">
            <v>4.2999999999999997E-2</v>
          </cell>
          <cell r="R732">
            <v>3.7999999999999999E-2</v>
          </cell>
          <cell r="S732">
            <v>5.5E-2</v>
          </cell>
          <cell r="T732">
            <v>3.4000000000000002E-2</v>
          </cell>
          <cell r="U732">
            <v>3.3000000000000002E-2</v>
          </cell>
          <cell r="V732">
            <v>3.1E-2</v>
          </cell>
          <cell r="W732">
            <v>1.2E-2</v>
          </cell>
          <cell r="X732">
            <v>1.0999999999999999E-2</v>
          </cell>
          <cell r="Y732">
            <v>1.0999999999999999E-2</v>
          </cell>
          <cell r="Z732">
            <v>0.01</v>
          </cell>
          <cell r="AA732">
            <v>8.9999999999999993E-3</v>
          </cell>
          <cell r="AB732">
            <v>8.9999999999999993E-3</v>
          </cell>
          <cell r="AC732">
            <v>8.0000000000000002E-3</v>
          </cell>
        </row>
        <row r="733">
          <cell r="A733" t="str">
            <v>Rebound insulation (TWh/year)</v>
          </cell>
          <cell r="C733">
            <v>0.34</v>
          </cell>
          <cell r="D733">
            <v>0.317</v>
          </cell>
          <cell r="E733">
            <v>0.62</v>
          </cell>
          <cell r="F733">
            <v>0.61</v>
          </cell>
          <cell r="G733">
            <v>0.52300000000000002</v>
          </cell>
          <cell r="H733">
            <v>0.52800000000000002</v>
          </cell>
          <cell r="I733">
            <v>0.48899999999999999</v>
          </cell>
          <cell r="J733">
            <v>0.53600000000000003</v>
          </cell>
          <cell r="K733">
            <v>0.44400000000000001</v>
          </cell>
          <cell r="L733">
            <v>0.376</v>
          </cell>
          <cell r="M733">
            <v>0.32200000000000001</v>
          </cell>
          <cell r="N733">
            <v>0.27700000000000002</v>
          </cell>
          <cell r="O733">
            <v>0.27300000000000002</v>
          </cell>
          <cell r="P733">
            <v>0.33400000000000002</v>
          </cell>
          <cell r="Q733">
            <v>0.313</v>
          </cell>
          <cell r="R733">
            <v>0.28299999999999997</v>
          </cell>
          <cell r="S733">
            <v>0.38700000000000001</v>
          </cell>
          <cell r="T733">
            <v>0.26600000000000001</v>
          </cell>
          <cell r="U733">
            <v>0.24199999999999999</v>
          </cell>
          <cell r="V733">
            <v>0.21</v>
          </cell>
          <cell r="W733">
            <v>0.19800000000000001</v>
          </cell>
          <cell r="X733">
            <v>0.18099999999999999</v>
          </cell>
          <cell r="Y733">
            <v>0.16600000000000001</v>
          </cell>
          <cell r="Z733">
            <v>0.152</v>
          </cell>
          <cell r="AA733">
            <v>0.14000000000000001</v>
          </cell>
          <cell r="AB733">
            <v>0.13100000000000001</v>
          </cell>
          <cell r="AC733">
            <v>0.128</v>
          </cell>
        </row>
        <row r="734">
          <cell r="A734" t="str">
            <v>Rebound insulation Electricity (TWh/year)</v>
          </cell>
          <cell r="C734">
            <v>0.108</v>
          </cell>
          <cell r="D734">
            <v>0.09</v>
          </cell>
          <cell r="E734">
            <v>0.159</v>
          </cell>
          <cell r="F734">
            <v>0.129</v>
          </cell>
          <cell r="G734">
            <v>0.109</v>
          </cell>
          <cell r="H734">
            <v>0.106</v>
          </cell>
          <cell r="I734">
            <v>0.113</v>
          </cell>
          <cell r="J734">
            <v>0.115</v>
          </cell>
          <cell r="K734">
            <v>9.8000000000000004E-2</v>
          </cell>
          <cell r="L734">
            <v>8.5000000000000006E-2</v>
          </cell>
          <cell r="M734">
            <v>7.3999999999999996E-2</v>
          </cell>
          <cell r="N734">
            <v>6.3E-2</v>
          </cell>
          <cell r="O734">
            <v>0.06</v>
          </cell>
          <cell r="P734">
            <v>7.4999999999999997E-2</v>
          </cell>
          <cell r="Q734">
            <v>7.0000000000000007E-2</v>
          </cell>
          <cell r="R734">
            <v>0.06</v>
          </cell>
          <cell r="S734">
            <v>6.2E-2</v>
          </cell>
          <cell r="T734">
            <v>5.2999999999999999E-2</v>
          </cell>
          <cell r="U734">
            <v>4.5999999999999999E-2</v>
          </cell>
          <cell r="V734">
            <v>3.9E-2</v>
          </cell>
          <cell r="W734">
            <v>3.5999999999999997E-2</v>
          </cell>
          <cell r="X734">
            <v>3.3000000000000002E-2</v>
          </cell>
          <cell r="Y734">
            <v>0.03</v>
          </cell>
          <cell r="Z734">
            <v>2.8000000000000001E-2</v>
          </cell>
          <cell r="AA734">
            <v>2.5999999999999999E-2</v>
          </cell>
          <cell r="AB734">
            <v>2.4E-2</v>
          </cell>
          <cell r="AC734">
            <v>2.5000000000000001E-2</v>
          </cell>
        </row>
        <row r="735">
          <cell r="A735" t="str">
            <v>Rebound insulation Heating (TWh/year)</v>
          </cell>
          <cell r="C735">
            <v>4.0000000000000001E-3</v>
          </cell>
          <cell r="D735">
            <v>8.0000000000000002E-3</v>
          </cell>
          <cell r="E735">
            <v>0.01</v>
          </cell>
          <cell r="F735">
            <v>1.2999999999999999E-2</v>
          </cell>
          <cell r="G735">
            <v>1.7000000000000001E-2</v>
          </cell>
          <cell r="H735">
            <v>0.02</v>
          </cell>
          <cell r="I735">
            <v>2.3E-2</v>
          </cell>
          <cell r="J735">
            <v>0.05</v>
          </cell>
          <cell r="K735">
            <v>0.05</v>
          </cell>
          <cell r="L735">
            <v>5.1999999999999998E-2</v>
          </cell>
          <cell r="M735">
            <v>5.1999999999999998E-2</v>
          </cell>
          <cell r="N735">
            <v>5.2999999999999999E-2</v>
          </cell>
          <cell r="O735">
            <v>6.3E-2</v>
          </cell>
          <cell r="P735">
            <v>8.1000000000000003E-2</v>
          </cell>
          <cell r="Q735">
            <v>8.1000000000000003E-2</v>
          </cell>
          <cell r="R735">
            <v>8.1000000000000003E-2</v>
          </cell>
          <cell r="S735">
            <v>8.3000000000000004E-2</v>
          </cell>
          <cell r="T735">
            <v>7.8E-2</v>
          </cell>
          <cell r="U735">
            <v>7.3999999999999996E-2</v>
          </cell>
          <cell r="V735">
            <v>6.6000000000000003E-2</v>
          </cell>
          <cell r="W735">
            <v>6.4000000000000001E-2</v>
          </cell>
          <cell r="X735">
            <v>5.8999999999999997E-2</v>
          </cell>
          <cell r="Y735">
            <v>5.3999999999999999E-2</v>
          </cell>
          <cell r="Z735">
            <v>4.9000000000000002E-2</v>
          </cell>
          <cell r="AA735">
            <v>4.4999999999999998E-2</v>
          </cell>
          <cell r="AB735">
            <v>4.2000000000000003E-2</v>
          </cell>
          <cell r="AC735">
            <v>4.1000000000000002E-2</v>
          </cell>
        </row>
        <row r="736">
          <cell r="A736" t="str">
            <v>Rebound insulation Natural gas (TWh/year)</v>
          </cell>
          <cell r="C736">
            <v>0.108</v>
          </cell>
          <cell r="D736">
            <v>0.11799999999999999</v>
          </cell>
          <cell r="E736">
            <v>0.247</v>
          </cell>
          <cell r="F736">
            <v>0.25600000000000001</v>
          </cell>
          <cell r="G736">
            <v>0.23300000000000001</v>
          </cell>
          <cell r="H736">
            <v>0.251</v>
          </cell>
          <cell r="I736">
            <v>0.23</v>
          </cell>
          <cell r="J736">
            <v>0.26400000000000001</v>
          </cell>
          <cell r="K736">
            <v>0.216</v>
          </cell>
          <cell r="L736">
            <v>0.17799999999999999</v>
          </cell>
          <cell r="M736">
            <v>0.14799999999999999</v>
          </cell>
          <cell r="N736">
            <v>0.123</v>
          </cell>
          <cell r="O736">
            <v>0.11700000000000001</v>
          </cell>
          <cell r="P736">
            <v>0.13800000000000001</v>
          </cell>
          <cell r="Q736">
            <v>0.124</v>
          </cell>
          <cell r="R736">
            <v>0.106</v>
          </cell>
          <cell r="S736">
            <v>0.192</v>
          </cell>
          <cell r="T736">
            <v>8.6999999999999994E-2</v>
          </cell>
          <cell r="U736">
            <v>7.8E-2</v>
          </cell>
          <cell r="V736">
            <v>6.4000000000000001E-2</v>
          </cell>
          <cell r="W736">
            <v>5.8999999999999997E-2</v>
          </cell>
          <cell r="X736">
            <v>5.2999999999999999E-2</v>
          </cell>
          <cell r="Y736">
            <v>4.8000000000000001E-2</v>
          </cell>
          <cell r="Z736">
            <v>4.2999999999999997E-2</v>
          </cell>
          <cell r="AA736">
            <v>3.7999999999999999E-2</v>
          </cell>
          <cell r="AB736">
            <v>3.5000000000000003E-2</v>
          </cell>
          <cell r="AC736">
            <v>3.3000000000000002E-2</v>
          </cell>
        </row>
        <row r="737">
          <cell r="A737" t="str">
            <v>Rebound insulation Oil fuel (TWh/year)</v>
          </cell>
          <cell r="C737">
            <v>0.10100000000000001</v>
          </cell>
          <cell r="D737">
            <v>8.2000000000000003E-2</v>
          </cell>
          <cell r="E737">
            <v>0.16900000000000001</v>
          </cell>
          <cell r="F737">
            <v>0.17599999999999999</v>
          </cell>
          <cell r="G737">
            <v>0.128</v>
          </cell>
          <cell r="H737">
            <v>0.113</v>
          </cell>
          <cell r="I737">
            <v>7.4999999999999997E-2</v>
          </cell>
          <cell r="J737">
            <v>5.7000000000000002E-2</v>
          </cell>
          <cell r="K737">
            <v>3.5000000000000003E-2</v>
          </cell>
          <cell r="L737">
            <v>2.1000000000000001E-2</v>
          </cell>
          <cell r="M737">
            <v>1.0999999999999999E-2</v>
          </cell>
          <cell r="N737">
            <v>3.0000000000000001E-3</v>
          </cell>
        </row>
        <row r="738">
          <cell r="A738" t="str">
            <v>Rebound insulation Wood fuel (TWh/year)</v>
          </cell>
          <cell r="C738">
            <v>0.02</v>
          </cell>
          <cell r="D738">
            <v>1.9E-2</v>
          </cell>
          <cell r="E738">
            <v>3.5000000000000003E-2</v>
          </cell>
          <cell r="F738">
            <v>3.6999999999999998E-2</v>
          </cell>
          <cell r="G738">
            <v>3.5999999999999997E-2</v>
          </cell>
          <cell r="H738">
            <v>3.7999999999999999E-2</v>
          </cell>
          <cell r="I738">
            <v>4.9000000000000002E-2</v>
          </cell>
          <cell r="J738">
            <v>4.9000000000000002E-2</v>
          </cell>
          <cell r="K738">
            <v>4.4999999999999998E-2</v>
          </cell>
          <cell r="L738">
            <v>4.1000000000000002E-2</v>
          </cell>
          <cell r="M738">
            <v>3.7999999999999999E-2</v>
          </cell>
          <cell r="N738">
            <v>3.5000000000000003E-2</v>
          </cell>
          <cell r="O738">
            <v>3.4000000000000002E-2</v>
          </cell>
          <cell r="P738">
            <v>3.9E-2</v>
          </cell>
          <cell r="Q738">
            <v>3.7999999999999999E-2</v>
          </cell>
          <cell r="R738">
            <v>3.5999999999999997E-2</v>
          </cell>
          <cell r="S738">
            <v>5.0999999999999997E-2</v>
          </cell>
          <cell r="T738">
            <v>4.8000000000000001E-2</v>
          </cell>
          <cell r="U738">
            <v>4.4999999999999998E-2</v>
          </cell>
          <cell r="V738">
            <v>4.2000000000000003E-2</v>
          </cell>
          <cell r="W738">
            <v>3.9E-2</v>
          </cell>
          <cell r="X738">
            <v>3.6999999999999998E-2</v>
          </cell>
          <cell r="Y738">
            <v>3.4000000000000002E-2</v>
          </cell>
          <cell r="Z738">
            <v>3.2000000000000001E-2</v>
          </cell>
          <cell r="AA738">
            <v>0.03</v>
          </cell>
          <cell r="AB738">
            <v>2.9000000000000001E-2</v>
          </cell>
          <cell r="AC738">
            <v>2.9000000000000001E-2</v>
          </cell>
        </row>
        <row r="739">
          <cell r="A739" t="str">
            <v>Reduced vat (Billion euro)</v>
          </cell>
          <cell r="C739">
            <v>0.95499999999999996</v>
          </cell>
          <cell r="D739">
            <v>0.97599999999999998</v>
          </cell>
          <cell r="E739">
            <v>1.2310000000000001</v>
          </cell>
          <cell r="F739">
            <v>1.252</v>
          </cell>
          <cell r="G739">
            <v>1.1499999999999999</v>
          </cell>
          <cell r="H739">
            <v>1.1120000000000001</v>
          </cell>
          <cell r="I739">
            <v>1.0629999999999999</v>
          </cell>
          <cell r="J739">
            <v>1.1419999999999999</v>
          </cell>
          <cell r="K739">
            <v>1.0189999999999999</v>
          </cell>
          <cell r="L739">
            <v>0.97899999999999998</v>
          </cell>
          <cell r="M739">
            <v>0.96</v>
          </cell>
          <cell r="N739">
            <v>0.93600000000000005</v>
          </cell>
          <cell r="O739">
            <v>0.84399999999999997</v>
          </cell>
          <cell r="P739">
            <v>0.95199999999999996</v>
          </cell>
          <cell r="Q739">
            <v>0.94899999999999995</v>
          </cell>
          <cell r="R739">
            <v>0.875</v>
          </cell>
          <cell r="S739">
            <v>1.0669999999999999</v>
          </cell>
          <cell r="T739">
            <v>0.874</v>
          </cell>
          <cell r="U739">
            <v>0.84599999999999997</v>
          </cell>
          <cell r="V739">
            <v>0.77100000000000002</v>
          </cell>
          <cell r="W739">
            <v>0.89600000000000002</v>
          </cell>
          <cell r="X739">
            <v>0.86399999999999999</v>
          </cell>
          <cell r="Y739">
            <v>0.877</v>
          </cell>
          <cell r="Z739">
            <v>0.85</v>
          </cell>
          <cell r="AA739">
            <v>0.82599999999999996</v>
          </cell>
          <cell r="AB739">
            <v>0.80300000000000005</v>
          </cell>
          <cell r="AC739">
            <v>0.79</v>
          </cell>
        </row>
        <row r="740">
          <cell r="A740" t="str">
            <v>Reduced vat (Thousand households)</v>
          </cell>
          <cell r="C740">
            <v>2408.6390000000001</v>
          </cell>
          <cell r="D740">
            <v>2437.002</v>
          </cell>
          <cell r="E740">
            <v>2707.07</v>
          </cell>
          <cell r="F740">
            <v>2726.9679999999998</v>
          </cell>
          <cell r="G740">
            <v>2703.2040000000002</v>
          </cell>
          <cell r="H740">
            <v>2707.8440000000001</v>
          </cell>
          <cell r="I740">
            <v>2688.9090000000001</v>
          </cell>
          <cell r="J740">
            <v>2862.79</v>
          </cell>
          <cell r="K740">
            <v>2756.395</v>
          </cell>
          <cell r="L740">
            <v>2701.6990000000001</v>
          </cell>
          <cell r="M740">
            <v>2693.6689999999999</v>
          </cell>
          <cell r="N740">
            <v>2653.4319999999998</v>
          </cell>
          <cell r="O740">
            <v>2375.625</v>
          </cell>
          <cell r="P740">
            <v>2731.2890000000002</v>
          </cell>
          <cell r="Q740">
            <v>2676.4859999999999</v>
          </cell>
          <cell r="R740">
            <v>2466.4029999999998</v>
          </cell>
          <cell r="S740">
            <v>2722.0390000000002</v>
          </cell>
          <cell r="T740">
            <v>2421.0749999999998</v>
          </cell>
          <cell r="U740">
            <v>2366.7350000000001</v>
          </cell>
          <cell r="V740">
            <v>2163.5079999999998</v>
          </cell>
          <cell r="W740">
            <v>2501.2570000000001</v>
          </cell>
          <cell r="X740">
            <v>2303.828</v>
          </cell>
          <cell r="Y740">
            <v>2505.3580000000002</v>
          </cell>
          <cell r="Z740">
            <v>2359.5079999999998</v>
          </cell>
          <cell r="AA740">
            <v>2420.297</v>
          </cell>
          <cell r="AB740">
            <v>2503.201</v>
          </cell>
          <cell r="AC740">
            <v>2580.2840000000001</v>
          </cell>
        </row>
        <row r="741">
          <cell r="A741" t="str">
            <v>Reduced vat heater (Billion euro)</v>
          </cell>
          <cell r="C741">
            <v>0.64</v>
          </cell>
          <cell r="D741">
            <v>0.66800000000000004</v>
          </cell>
          <cell r="E741">
            <v>0.625</v>
          </cell>
          <cell r="F741">
            <v>0.64200000000000002</v>
          </cell>
          <cell r="G741">
            <v>0.59699999999999998</v>
          </cell>
          <cell r="H741">
            <v>0.54900000000000004</v>
          </cell>
          <cell r="I741">
            <v>0.504</v>
          </cell>
          <cell r="J741">
            <v>0.56200000000000006</v>
          </cell>
          <cell r="K741">
            <v>0.51500000000000001</v>
          </cell>
          <cell r="L741">
            <v>0.52700000000000002</v>
          </cell>
          <cell r="M741">
            <v>0.54300000000000004</v>
          </cell>
          <cell r="N741">
            <v>0.55600000000000005</v>
          </cell>
          <cell r="O741">
            <v>0.48</v>
          </cell>
          <cell r="P741">
            <v>0.503</v>
          </cell>
          <cell r="Q741">
            <v>0.51400000000000001</v>
          </cell>
          <cell r="R741">
            <v>0.46800000000000003</v>
          </cell>
          <cell r="S741">
            <v>0.5</v>
          </cell>
          <cell r="T741">
            <v>0.44600000000000001</v>
          </cell>
          <cell r="U741">
            <v>0.44500000000000001</v>
          </cell>
          <cell r="V741">
            <v>0.41699999999999998</v>
          </cell>
          <cell r="W741">
            <v>0.55300000000000005</v>
          </cell>
          <cell r="X741">
            <v>0.54</v>
          </cell>
          <cell r="Y741">
            <v>0.56899999999999995</v>
          </cell>
          <cell r="Z741">
            <v>0.55800000000000005</v>
          </cell>
          <cell r="AA741">
            <v>0.54800000000000004</v>
          </cell>
          <cell r="AB741">
            <v>0.53800000000000003</v>
          </cell>
          <cell r="AC741">
            <v>0.52800000000000002</v>
          </cell>
        </row>
        <row r="742">
          <cell r="A742" t="str">
            <v>Reduced vat heater (Thousand households)</v>
          </cell>
          <cell r="C742">
            <v>1807.7809999999999</v>
          </cell>
          <cell r="D742">
            <v>1803.9849999999999</v>
          </cell>
          <cell r="E742">
            <v>1800.174</v>
          </cell>
          <cell r="F742">
            <v>1796.3420000000001</v>
          </cell>
          <cell r="G742">
            <v>1792.502</v>
          </cell>
          <cell r="H742">
            <v>1788.6579999999999</v>
          </cell>
          <cell r="I742">
            <v>1784.8219999999999</v>
          </cell>
          <cell r="J742">
            <v>1782.008</v>
          </cell>
          <cell r="K742">
            <v>1780.3019999999999</v>
          </cell>
          <cell r="L742">
            <v>1778.33</v>
          </cell>
          <cell r="M742">
            <v>1776.059</v>
          </cell>
          <cell r="N742">
            <v>1774.5150000000001</v>
          </cell>
          <cell r="O742">
            <v>1527.65</v>
          </cell>
          <cell r="P742">
            <v>1526.4570000000001</v>
          </cell>
          <cell r="Q742">
            <v>1525.096</v>
          </cell>
          <cell r="R742">
            <v>1348.1369999999999</v>
          </cell>
          <cell r="S742">
            <v>1409.221</v>
          </cell>
          <cell r="T742">
            <v>1271.921</v>
          </cell>
          <cell r="U742">
            <v>1273.6569999999999</v>
          </cell>
          <cell r="V742">
            <v>1188.2619999999999</v>
          </cell>
          <cell r="W742">
            <v>1529.7139999999999</v>
          </cell>
          <cell r="X742">
            <v>1382.9549999999999</v>
          </cell>
          <cell r="Y742">
            <v>1629.095</v>
          </cell>
          <cell r="Z742">
            <v>1525.721</v>
          </cell>
          <cell r="AA742">
            <v>1624.9960000000001</v>
          </cell>
          <cell r="AB742">
            <v>1744.2270000000001</v>
          </cell>
          <cell r="AC742">
            <v>1849.2059999999999</v>
          </cell>
        </row>
        <row r="743">
          <cell r="A743" t="str">
            <v>Reduced vat heater C1 (Thousand households)</v>
          </cell>
          <cell r="C743">
            <v>136.89699999999999</v>
          </cell>
          <cell r="D743">
            <v>136.96700000000001</v>
          </cell>
          <cell r="E743">
            <v>137.03399999999999</v>
          </cell>
          <cell r="F743">
            <v>137.25800000000001</v>
          </cell>
          <cell r="G743">
            <v>137.36199999999999</v>
          </cell>
          <cell r="H743">
            <v>137.62</v>
          </cell>
          <cell r="I743">
            <v>138.054</v>
          </cell>
          <cell r="J743">
            <v>138.77699999999999</v>
          </cell>
          <cell r="K743">
            <v>139.25899999999999</v>
          </cell>
          <cell r="L743">
            <v>139.94900000000001</v>
          </cell>
          <cell r="M743">
            <v>140.541</v>
          </cell>
          <cell r="N743">
            <v>141.08099999999999</v>
          </cell>
          <cell r="O743">
            <v>115.41800000000001</v>
          </cell>
          <cell r="P743">
            <v>115.441</v>
          </cell>
          <cell r="Q743">
            <v>115.256</v>
          </cell>
          <cell r="R743">
            <v>103.947</v>
          </cell>
          <cell r="S743">
            <v>107.419</v>
          </cell>
          <cell r="T743">
            <v>98.382999999999996</v>
          </cell>
          <cell r="U743">
            <v>98.015000000000001</v>
          </cell>
          <cell r="V743">
            <v>92.316000000000003</v>
          </cell>
          <cell r="W743">
            <v>114.599</v>
          </cell>
          <cell r="X743">
            <v>108.19499999999999</v>
          </cell>
          <cell r="Y743">
            <v>120.265</v>
          </cell>
          <cell r="Z743">
            <v>116.068</v>
          </cell>
          <cell r="AA743">
            <v>118.086</v>
          </cell>
          <cell r="AB743">
            <v>120.89400000000001</v>
          </cell>
          <cell r="AC743">
            <v>123.01300000000001</v>
          </cell>
        </row>
        <row r="744">
          <cell r="A744" t="str">
            <v>Reduced vat heater C2 (Thousand households)</v>
          </cell>
          <cell r="C744">
            <v>199.01900000000001</v>
          </cell>
          <cell r="D744">
            <v>198.934</v>
          </cell>
          <cell r="E744">
            <v>198.661</v>
          </cell>
          <cell r="F744">
            <v>198.626</v>
          </cell>
          <cell r="G744">
            <v>198.30500000000001</v>
          </cell>
          <cell r="H744">
            <v>198.23</v>
          </cell>
          <cell r="I744">
            <v>198.47399999999999</v>
          </cell>
          <cell r="J744">
            <v>199.21899999999999</v>
          </cell>
          <cell r="K744">
            <v>199.45</v>
          </cell>
          <cell r="L744">
            <v>200.05</v>
          </cell>
          <cell r="M744">
            <v>200.434</v>
          </cell>
          <cell r="N744">
            <v>200.65199999999999</v>
          </cell>
          <cell r="O744">
            <v>162.63800000000001</v>
          </cell>
          <cell r="P744">
            <v>162.08799999999999</v>
          </cell>
          <cell r="Q744">
            <v>161.13900000000001</v>
          </cell>
          <cell r="R744">
            <v>144.76400000000001</v>
          </cell>
          <cell r="S744">
            <v>148.86699999999999</v>
          </cell>
          <cell r="T744">
            <v>135.72800000000001</v>
          </cell>
          <cell r="U744">
            <v>134.58799999999999</v>
          </cell>
          <cell r="V744">
            <v>126.16</v>
          </cell>
          <cell r="W744">
            <v>168.52500000000001</v>
          </cell>
          <cell r="X744">
            <v>160.916</v>
          </cell>
          <cell r="Y744">
            <v>175.75200000000001</v>
          </cell>
          <cell r="Z744">
            <v>170.86500000000001</v>
          </cell>
          <cell r="AA744">
            <v>172.17</v>
          </cell>
          <cell r="AB744">
            <v>174.35599999999999</v>
          </cell>
          <cell r="AC744">
            <v>175.70500000000001</v>
          </cell>
        </row>
        <row r="745">
          <cell r="A745" t="str">
            <v>Reduced vat heater C3 (Thousand households)</v>
          </cell>
          <cell r="C745">
            <v>266.392</v>
          </cell>
          <cell r="D745">
            <v>265.69600000000003</v>
          </cell>
          <cell r="E745">
            <v>264.60700000000003</v>
          </cell>
          <cell r="F745">
            <v>264.005</v>
          </cell>
          <cell r="G745">
            <v>263.04399999999998</v>
          </cell>
          <cell r="H745">
            <v>262.50799999999998</v>
          </cell>
          <cell r="I745">
            <v>262.44400000000002</v>
          </cell>
          <cell r="J745">
            <v>263.04199999999997</v>
          </cell>
          <cell r="K745">
            <v>262.98200000000003</v>
          </cell>
          <cell r="L745">
            <v>263.40199999999999</v>
          </cell>
          <cell r="M745">
            <v>263.53199999999998</v>
          </cell>
          <cell r="N745">
            <v>263.44</v>
          </cell>
          <cell r="O745">
            <v>217.33799999999999</v>
          </cell>
          <cell r="P745">
            <v>216.46</v>
          </cell>
          <cell r="Q745">
            <v>215.05600000000001</v>
          </cell>
          <cell r="R745">
            <v>192.37299999999999</v>
          </cell>
          <cell r="S745">
            <v>198.154</v>
          </cell>
          <cell r="T745">
            <v>180.16900000000001</v>
          </cell>
          <cell r="U745">
            <v>178.809</v>
          </cell>
          <cell r="V745">
            <v>167.37100000000001</v>
          </cell>
          <cell r="W745">
            <v>230.98500000000001</v>
          </cell>
          <cell r="X745">
            <v>220.31700000000001</v>
          </cell>
          <cell r="Y745">
            <v>240.13300000000001</v>
          </cell>
          <cell r="Z745">
            <v>233.26</v>
          </cell>
          <cell r="AA745">
            <v>235.83799999999999</v>
          </cell>
          <cell r="AB745">
            <v>239.56399999999999</v>
          </cell>
          <cell r="AC745">
            <v>242.125</v>
          </cell>
        </row>
        <row r="746">
          <cell r="A746" t="str">
            <v>Reduced vat heater C4 (Thousand households)</v>
          </cell>
          <cell r="C746">
            <v>345.86500000000001</v>
          </cell>
          <cell r="D746">
            <v>344.84</v>
          </cell>
          <cell r="E746">
            <v>343.43799999999999</v>
          </cell>
          <cell r="F746">
            <v>342.62700000000001</v>
          </cell>
          <cell r="G746">
            <v>341.45</v>
          </cell>
          <cell r="H746">
            <v>340.70600000000002</v>
          </cell>
          <cell r="I746">
            <v>340.41</v>
          </cell>
          <cell r="J746">
            <v>340.74900000000002</v>
          </cell>
          <cell r="K746">
            <v>340.47699999999998</v>
          </cell>
          <cell r="L746">
            <v>340.66500000000002</v>
          </cell>
          <cell r="M746">
            <v>340.58100000000002</v>
          </cell>
          <cell r="N746">
            <v>340.36099999999999</v>
          </cell>
          <cell r="O746">
            <v>288.279</v>
          </cell>
          <cell r="P746">
            <v>287.50299999999999</v>
          </cell>
          <cell r="Q746">
            <v>286.21699999999998</v>
          </cell>
          <cell r="R746">
            <v>254.756</v>
          </cell>
          <cell r="S746">
            <v>263.798</v>
          </cell>
          <cell r="T746">
            <v>239.01</v>
          </cell>
          <cell r="U746">
            <v>237.898</v>
          </cell>
          <cell r="V746">
            <v>222.26900000000001</v>
          </cell>
          <cell r="W746">
            <v>298.56799999999998</v>
          </cell>
          <cell r="X746">
            <v>280.14499999999998</v>
          </cell>
          <cell r="Y746">
            <v>312.27600000000001</v>
          </cell>
          <cell r="Z746">
            <v>299.79199999999997</v>
          </cell>
          <cell r="AA746">
            <v>307.74799999999999</v>
          </cell>
          <cell r="AB746">
            <v>317.92500000000001</v>
          </cell>
          <cell r="AC746">
            <v>326.19299999999998</v>
          </cell>
        </row>
        <row r="747">
          <cell r="A747" t="str">
            <v>Reduced vat heater C5 (Thousand households)</v>
          </cell>
          <cell r="C747">
            <v>859.60799999999995</v>
          </cell>
          <cell r="D747">
            <v>857.548</v>
          </cell>
          <cell r="E747">
            <v>856.43399999999997</v>
          </cell>
          <cell r="F747">
            <v>853.827</v>
          </cell>
          <cell r="G747">
            <v>852.34</v>
          </cell>
          <cell r="H747">
            <v>849.59400000000005</v>
          </cell>
          <cell r="I747">
            <v>845.44100000000003</v>
          </cell>
          <cell r="J747">
            <v>840.221</v>
          </cell>
          <cell r="K747">
            <v>838.13400000000001</v>
          </cell>
          <cell r="L747">
            <v>834.26400000000001</v>
          </cell>
          <cell r="M747">
            <v>830.971</v>
          </cell>
          <cell r="N747">
            <v>828.98099999999999</v>
          </cell>
          <cell r="O747">
            <v>743.97699999999998</v>
          </cell>
          <cell r="P747">
            <v>744.96500000000003</v>
          </cell>
          <cell r="Q747">
            <v>747.42600000000004</v>
          </cell>
          <cell r="R747">
            <v>652.29700000000003</v>
          </cell>
          <cell r="S747">
            <v>690.98400000000004</v>
          </cell>
          <cell r="T747">
            <v>618.63099999999997</v>
          </cell>
          <cell r="U747">
            <v>624.34699999999998</v>
          </cell>
          <cell r="V747">
            <v>580.14599999999996</v>
          </cell>
          <cell r="W747">
            <v>717.03700000000003</v>
          </cell>
          <cell r="X747">
            <v>613.38199999999995</v>
          </cell>
          <cell r="Y747">
            <v>780.67</v>
          </cell>
          <cell r="Z747">
            <v>705.73599999999999</v>
          </cell>
          <cell r="AA747">
            <v>791.15499999999997</v>
          </cell>
          <cell r="AB747">
            <v>891.48800000000006</v>
          </cell>
          <cell r="AC747">
            <v>982.17100000000005</v>
          </cell>
        </row>
        <row r="748">
          <cell r="A748" t="str">
            <v>Reduced vat heater Multi-family (Thousand households)</v>
          </cell>
          <cell r="C748">
            <v>813.56100000000004</v>
          </cell>
          <cell r="D748">
            <v>811.82299999999998</v>
          </cell>
          <cell r="E748">
            <v>812.524</v>
          </cell>
          <cell r="F748">
            <v>810</v>
          </cell>
          <cell r="G748">
            <v>809.39300000000003</v>
          </cell>
          <cell r="H748">
            <v>805.53</v>
          </cell>
          <cell r="I748">
            <v>797.44100000000003</v>
          </cell>
          <cell r="J748">
            <v>784.81799999999998</v>
          </cell>
          <cell r="K748">
            <v>778.77800000000002</v>
          </cell>
          <cell r="L748">
            <v>767.50199999999995</v>
          </cell>
          <cell r="M748">
            <v>757.49099999999999</v>
          </cell>
          <cell r="N748">
            <v>750.029</v>
          </cell>
          <cell r="O748">
            <v>696.29899999999998</v>
          </cell>
          <cell r="P748">
            <v>694.67399999999998</v>
          </cell>
          <cell r="Q748">
            <v>696.77</v>
          </cell>
          <cell r="R748">
            <v>608.26800000000003</v>
          </cell>
          <cell r="S748">
            <v>646.01599999999996</v>
          </cell>
          <cell r="T748">
            <v>580.31600000000003</v>
          </cell>
          <cell r="U748">
            <v>587.23900000000003</v>
          </cell>
          <cell r="V748">
            <v>546.63</v>
          </cell>
          <cell r="W748">
            <v>629.32100000000003</v>
          </cell>
          <cell r="X748">
            <v>490.68099999999998</v>
          </cell>
          <cell r="Y748">
            <v>712.02099999999996</v>
          </cell>
          <cell r="Z748">
            <v>616.12199999999996</v>
          </cell>
          <cell r="AA748">
            <v>745.04200000000003</v>
          </cell>
          <cell r="AB748">
            <v>895.78899999999999</v>
          </cell>
          <cell r="AC748">
            <v>1033.989</v>
          </cell>
        </row>
        <row r="749">
          <cell r="A749" t="str">
            <v>Reduced vat heater Single-family (Thousand households)</v>
          </cell>
          <cell r="C749">
            <v>994.22</v>
          </cell>
          <cell r="D749">
            <v>992.16200000000003</v>
          </cell>
          <cell r="E749">
            <v>987.65</v>
          </cell>
          <cell r="F749">
            <v>986.34199999999998</v>
          </cell>
          <cell r="G749">
            <v>983.10900000000004</v>
          </cell>
          <cell r="H749">
            <v>983.12800000000004</v>
          </cell>
          <cell r="I749">
            <v>987.38099999999997</v>
          </cell>
          <cell r="J749">
            <v>997.19</v>
          </cell>
          <cell r="K749">
            <v>1001.524</v>
          </cell>
          <cell r="L749">
            <v>1010.828</v>
          </cell>
          <cell r="M749">
            <v>1018.568</v>
          </cell>
          <cell r="N749">
            <v>1024.4860000000001</v>
          </cell>
          <cell r="O749">
            <v>831.351</v>
          </cell>
          <cell r="P749">
            <v>831.78300000000002</v>
          </cell>
          <cell r="Q749">
            <v>828.32600000000002</v>
          </cell>
          <cell r="R749">
            <v>739.87</v>
          </cell>
          <cell r="S749">
            <v>763.20500000000004</v>
          </cell>
          <cell r="T749">
            <v>691.60599999999999</v>
          </cell>
          <cell r="U749">
            <v>686.41800000000001</v>
          </cell>
          <cell r="V749">
            <v>641.63199999999995</v>
          </cell>
          <cell r="W749">
            <v>900.39300000000003</v>
          </cell>
          <cell r="X749">
            <v>892.274</v>
          </cell>
          <cell r="Y749">
            <v>917.07500000000005</v>
          </cell>
          <cell r="Z749">
            <v>909.59900000000005</v>
          </cell>
          <cell r="AA749">
            <v>879.95399999999995</v>
          </cell>
          <cell r="AB749">
            <v>848.43799999999999</v>
          </cell>
          <cell r="AC749">
            <v>815.21799999999996</v>
          </cell>
        </row>
        <row r="750">
          <cell r="A750" t="str">
            <v>Reduced vat insulation (Billion euro)</v>
          </cell>
          <cell r="C750">
            <v>0.314</v>
          </cell>
          <cell r="D750">
            <v>0.307</v>
          </cell>
          <cell r="E750">
            <v>0.60699999999999998</v>
          </cell>
          <cell r="F750">
            <v>0.61</v>
          </cell>
          <cell r="G750">
            <v>0.55200000000000005</v>
          </cell>
          <cell r="H750">
            <v>0.56299999999999994</v>
          </cell>
          <cell r="I750">
            <v>0.55900000000000005</v>
          </cell>
          <cell r="J750">
            <v>0.57999999999999996</v>
          </cell>
          <cell r="K750">
            <v>0.504</v>
          </cell>
          <cell r="L750">
            <v>0.45200000000000001</v>
          </cell>
          <cell r="M750">
            <v>0.41699999999999998</v>
          </cell>
          <cell r="N750">
            <v>0.38</v>
          </cell>
          <cell r="O750">
            <v>0.36499999999999999</v>
          </cell>
          <cell r="P750">
            <v>0.44900000000000001</v>
          </cell>
          <cell r="Q750">
            <v>0.435</v>
          </cell>
          <cell r="R750">
            <v>0.40699999999999997</v>
          </cell>
          <cell r="S750">
            <v>0.56699999999999995</v>
          </cell>
          <cell r="T750">
            <v>0.42799999999999999</v>
          </cell>
          <cell r="U750">
            <v>0.40100000000000002</v>
          </cell>
          <cell r="V750">
            <v>0.35399999999999998</v>
          </cell>
          <cell r="W750">
            <v>0.34300000000000003</v>
          </cell>
          <cell r="X750">
            <v>0.32400000000000001</v>
          </cell>
          <cell r="Y750">
            <v>0.308</v>
          </cell>
          <cell r="Z750">
            <v>0.29199999999999998</v>
          </cell>
          <cell r="AA750">
            <v>0.27800000000000002</v>
          </cell>
          <cell r="AB750">
            <v>0.26500000000000001</v>
          </cell>
          <cell r="AC750">
            <v>0.26200000000000001</v>
          </cell>
        </row>
        <row r="751">
          <cell r="A751" t="str">
            <v>Reduced vat insulation (Thousand households)</v>
          </cell>
          <cell r="C751">
            <v>600.85699999999997</v>
          </cell>
          <cell r="D751">
            <v>633.01700000000005</v>
          </cell>
          <cell r="E751">
            <v>906.89599999999996</v>
          </cell>
          <cell r="F751">
            <v>930.62599999999998</v>
          </cell>
          <cell r="G751">
            <v>910.702</v>
          </cell>
          <cell r="H751">
            <v>919.18600000000004</v>
          </cell>
          <cell r="I751">
            <v>904.08699999999999</v>
          </cell>
          <cell r="J751">
            <v>1080.7819999999999</v>
          </cell>
          <cell r="K751">
            <v>976.09299999999996</v>
          </cell>
          <cell r="L751">
            <v>923.36900000000003</v>
          </cell>
          <cell r="M751">
            <v>917.61</v>
          </cell>
          <cell r="N751">
            <v>878.91600000000005</v>
          </cell>
          <cell r="O751">
            <v>847.97500000000002</v>
          </cell>
          <cell r="P751">
            <v>1204.8320000000001</v>
          </cell>
          <cell r="Q751">
            <v>1151.3900000000001</v>
          </cell>
          <cell r="R751">
            <v>1118.2660000000001</v>
          </cell>
          <cell r="S751">
            <v>1312.817</v>
          </cell>
          <cell r="T751">
            <v>1149.153</v>
          </cell>
          <cell r="U751">
            <v>1093.078</v>
          </cell>
          <cell r="V751">
            <v>975.24699999999996</v>
          </cell>
          <cell r="W751">
            <v>971.54300000000001</v>
          </cell>
          <cell r="X751">
            <v>920.87199999999996</v>
          </cell>
          <cell r="Y751">
            <v>876.26300000000003</v>
          </cell>
          <cell r="Z751">
            <v>833.78700000000003</v>
          </cell>
          <cell r="AA751">
            <v>795.30100000000004</v>
          </cell>
          <cell r="AB751">
            <v>758.97500000000002</v>
          </cell>
          <cell r="AC751">
            <v>731.077</v>
          </cell>
        </row>
        <row r="752">
          <cell r="A752" t="str">
            <v>Reduced vat insulation C1 (Thousand households)</v>
          </cell>
          <cell r="C752">
            <v>43.878</v>
          </cell>
          <cell r="D752">
            <v>42.634</v>
          </cell>
          <cell r="E752">
            <v>73.903999999999996</v>
          </cell>
          <cell r="F752">
            <v>80.188000000000002</v>
          </cell>
          <cell r="G752">
            <v>75.97</v>
          </cell>
          <cell r="H752">
            <v>74.741</v>
          </cell>
          <cell r="I752">
            <v>77.36</v>
          </cell>
          <cell r="J752">
            <v>82.552999999999997</v>
          </cell>
          <cell r="K752">
            <v>72.980999999999995</v>
          </cell>
          <cell r="L752">
            <v>65.323999999999998</v>
          </cell>
          <cell r="M752">
            <v>59.128999999999998</v>
          </cell>
          <cell r="N752">
            <v>54.107999999999997</v>
          </cell>
          <cell r="O752">
            <v>52.280999999999999</v>
          </cell>
          <cell r="P752">
            <v>72.489000000000004</v>
          </cell>
          <cell r="Q752">
            <v>67.602999999999994</v>
          </cell>
          <cell r="R752">
            <v>61.874000000000002</v>
          </cell>
          <cell r="S752">
            <v>78.024000000000001</v>
          </cell>
          <cell r="T752">
            <v>70.644999999999996</v>
          </cell>
          <cell r="U752">
            <v>65.506</v>
          </cell>
          <cell r="V752">
            <v>60.582000000000001</v>
          </cell>
          <cell r="W752">
            <v>56.29</v>
          </cell>
          <cell r="X752">
            <v>53.234999999999999</v>
          </cell>
          <cell r="Y752">
            <v>50.651000000000003</v>
          </cell>
          <cell r="Z752">
            <v>47.957000000000001</v>
          </cell>
          <cell r="AA752">
            <v>45.555999999999997</v>
          </cell>
          <cell r="AB752">
            <v>43.418999999999997</v>
          </cell>
          <cell r="AC752">
            <v>41.722999999999999</v>
          </cell>
        </row>
        <row r="753">
          <cell r="A753" t="str">
            <v>Reduced vat insulation C2 (Thousand households)</v>
          </cell>
          <cell r="C753">
            <v>71.819999999999993</v>
          </cell>
          <cell r="D753">
            <v>70.61</v>
          </cell>
          <cell r="E753">
            <v>90.492999999999995</v>
          </cell>
          <cell r="F753">
            <v>92.86</v>
          </cell>
          <cell r="G753">
            <v>93.24</v>
          </cell>
          <cell r="H753">
            <v>93.56</v>
          </cell>
          <cell r="I753">
            <v>95.113</v>
          </cell>
          <cell r="J753">
            <v>102.622</v>
          </cell>
          <cell r="K753">
            <v>91.926000000000002</v>
          </cell>
          <cell r="L753">
            <v>83.195999999999998</v>
          </cell>
          <cell r="M753">
            <v>75.977999999999994</v>
          </cell>
          <cell r="N753">
            <v>69.975999999999999</v>
          </cell>
          <cell r="O753">
            <v>69.691000000000003</v>
          </cell>
          <cell r="P753">
            <v>92.488</v>
          </cell>
          <cell r="Q753">
            <v>87.298000000000002</v>
          </cell>
          <cell r="R753">
            <v>80.492999999999995</v>
          </cell>
          <cell r="S753">
            <v>111.875</v>
          </cell>
          <cell r="T753">
            <v>98.287999999999997</v>
          </cell>
          <cell r="U753">
            <v>91.53</v>
          </cell>
          <cell r="V753">
            <v>85.180999999999997</v>
          </cell>
          <cell r="W753">
            <v>80.424999999999997</v>
          </cell>
          <cell r="X753">
            <v>76.570999999999998</v>
          </cell>
          <cell r="Y753">
            <v>73.085999999999999</v>
          </cell>
          <cell r="Z753">
            <v>69.647000000000006</v>
          </cell>
          <cell r="AA753">
            <v>66.573999999999998</v>
          </cell>
          <cell r="AB753">
            <v>63.71</v>
          </cell>
          <cell r="AC753">
            <v>63.195</v>
          </cell>
        </row>
        <row r="754">
          <cell r="A754" t="str">
            <v>Reduced vat insulation C3 (Thousand households)</v>
          </cell>
          <cell r="C754">
            <v>125.9</v>
          </cell>
          <cell r="D754">
            <v>120.202</v>
          </cell>
          <cell r="E754">
            <v>147.71600000000001</v>
          </cell>
          <cell r="F754">
            <v>141.483</v>
          </cell>
          <cell r="G754">
            <v>126.018</v>
          </cell>
          <cell r="H754">
            <v>126.75700000000001</v>
          </cell>
          <cell r="I754">
            <v>121.855</v>
          </cell>
          <cell r="J754">
            <v>127.343</v>
          </cell>
          <cell r="K754">
            <v>112.29300000000001</v>
          </cell>
          <cell r="L754">
            <v>100.62</v>
          </cell>
          <cell r="M754">
            <v>91.364000000000004</v>
          </cell>
          <cell r="N754">
            <v>83.888000000000005</v>
          </cell>
          <cell r="O754">
            <v>84.26</v>
          </cell>
          <cell r="P754">
            <v>124.23</v>
          </cell>
          <cell r="Q754">
            <v>116.97</v>
          </cell>
          <cell r="R754">
            <v>107.167</v>
          </cell>
          <cell r="S754">
            <v>145.27000000000001</v>
          </cell>
          <cell r="T754">
            <v>122.777</v>
          </cell>
          <cell r="U754">
            <v>113.66800000000001</v>
          </cell>
          <cell r="V754">
            <v>105.351</v>
          </cell>
          <cell r="W754">
            <v>99.444000000000003</v>
          </cell>
          <cell r="X754">
            <v>94.646000000000001</v>
          </cell>
          <cell r="Y754">
            <v>90.269000000000005</v>
          </cell>
          <cell r="Z754">
            <v>86.111000000000004</v>
          </cell>
          <cell r="AA754">
            <v>82.331999999999994</v>
          </cell>
          <cell r="AB754">
            <v>78.701999999999998</v>
          </cell>
          <cell r="AC754">
            <v>76.248000000000005</v>
          </cell>
        </row>
        <row r="755">
          <cell r="A755" t="str">
            <v>Reduced vat insulation C4 (Thousand households)</v>
          </cell>
          <cell r="C755">
            <v>131.65799999999999</v>
          </cell>
          <cell r="D755">
            <v>125.801</v>
          </cell>
          <cell r="E755">
            <v>164.43</v>
          </cell>
          <cell r="F755">
            <v>157.23400000000001</v>
          </cell>
          <cell r="G755">
            <v>141.4</v>
          </cell>
          <cell r="H755">
            <v>141.11000000000001</v>
          </cell>
          <cell r="I755">
            <v>136.23599999999999</v>
          </cell>
          <cell r="J755">
            <v>165.251</v>
          </cell>
          <cell r="K755">
            <v>145.44499999999999</v>
          </cell>
          <cell r="L755">
            <v>129.51599999999999</v>
          </cell>
          <cell r="M755">
            <v>116.57599999999999</v>
          </cell>
          <cell r="N755">
            <v>106.011</v>
          </cell>
          <cell r="O755">
            <v>106.58799999999999</v>
          </cell>
          <cell r="P755">
            <v>185.60300000000001</v>
          </cell>
          <cell r="Q755">
            <v>172.46</v>
          </cell>
          <cell r="R755">
            <v>157.26</v>
          </cell>
          <cell r="S755">
            <v>200.59399999999999</v>
          </cell>
          <cell r="T755">
            <v>168.613</v>
          </cell>
          <cell r="U755">
            <v>155.30600000000001</v>
          </cell>
          <cell r="V755">
            <v>143.24100000000001</v>
          </cell>
          <cell r="W755">
            <v>134.863</v>
          </cell>
          <cell r="X755">
            <v>127.919</v>
          </cell>
          <cell r="Y755">
            <v>121.506</v>
          </cell>
          <cell r="Z755">
            <v>115.53700000000001</v>
          </cell>
          <cell r="AA755">
            <v>110.09099999999999</v>
          </cell>
          <cell r="AB755">
            <v>104.958</v>
          </cell>
          <cell r="AC755">
            <v>101.209</v>
          </cell>
        </row>
        <row r="756">
          <cell r="A756" t="str">
            <v>Reduced vat insulation C5 (Thousand households)</v>
          </cell>
          <cell r="C756">
            <v>227.601</v>
          </cell>
          <cell r="D756">
            <v>273.76900000000001</v>
          </cell>
          <cell r="E756">
            <v>430.35300000000001</v>
          </cell>
          <cell r="F756">
            <v>458.86200000000002</v>
          </cell>
          <cell r="G756">
            <v>474.07400000000001</v>
          </cell>
          <cell r="H756">
            <v>483.01900000000001</v>
          </cell>
          <cell r="I756">
            <v>473.52300000000002</v>
          </cell>
          <cell r="J756">
            <v>603.01300000000003</v>
          </cell>
          <cell r="K756">
            <v>553.447</v>
          </cell>
          <cell r="L756">
            <v>544.71400000000006</v>
          </cell>
          <cell r="M756">
            <v>574.56200000000001</v>
          </cell>
          <cell r="N756">
            <v>564.93200000000002</v>
          </cell>
          <cell r="O756">
            <v>535.15599999999995</v>
          </cell>
          <cell r="P756">
            <v>730.02200000000005</v>
          </cell>
          <cell r="Q756">
            <v>707.05899999999997</v>
          </cell>
          <cell r="R756">
            <v>711.47299999999996</v>
          </cell>
          <cell r="S756">
            <v>777.05399999999997</v>
          </cell>
          <cell r="T756">
            <v>688.83</v>
          </cell>
          <cell r="U756">
            <v>667.06799999999998</v>
          </cell>
          <cell r="V756">
            <v>580.89099999999996</v>
          </cell>
          <cell r="W756">
            <v>600.52099999999996</v>
          </cell>
          <cell r="X756">
            <v>568.50199999999995</v>
          </cell>
          <cell r="Y756">
            <v>540.75</v>
          </cell>
          <cell r="Z756">
            <v>514.53499999999997</v>
          </cell>
          <cell r="AA756">
            <v>490.74700000000001</v>
          </cell>
          <cell r="AB756">
            <v>468.185</v>
          </cell>
          <cell r="AC756">
            <v>448.70299999999997</v>
          </cell>
        </row>
        <row r="757">
          <cell r="A757" t="str">
            <v>Reduced vat insulation Multi-family (Thousand households)</v>
          </cell>
          <cell r="C757">
            <v>157.84200000000001</v>
          </cell>
          <cell r="D757">
            <v>197.58</v>
          </cell>
          <cell r="E757">
            <v>301.471</v>
          </cell>
          <cell r="F757">
            <v>329.40300000000002</v>
          </cell>
          <cell r="G757">
            <v>356.27800000000002</v>
          </cell>
          <cell r="H757">
            <v>363.09500000000003</v>
          </cell>
          <cell r="I757">
            <v>357.505</v>
          </cell>
          <cell r="J757">
            <v>546.63800000000003</v>
          </cell>
          <cell r="K757">
            <v>486.89800000000002</v>
          </cell>
          <cell r="L757">
            <v>464.279</v>
          </cell>
          <cell r="M757">
            <v>474.46199999999999</v>
          </cell>
          <cell r="N757">
            <v>461.42200000000003</v>
          </cell>
          <cell r="O757">
            <v>442.75900000000001</v>
          </cell>
          <cell r="P757">
            <v>690.48199999999997</v>
          </cell>
          <cell r="Q757">
            <v>659.476</v>
          </cell>
          <cell r="R757">
            <v>656.71799999999996</v>
          </cell>
          <cell r="S757">
            <v>708.46699999999998</v>
          </cell>
          <cell r="T757">
            <v>616.10299999999995</v>
          </cell>
          <cell r="U757">
            <v>592.48099999999999</v>
          </cell>
          <cell r="V757">
            <v>539.399</v>
          </cell>
          <cell r="W757">
            <v>551.48500000000001</v>
          </cell>
          <cell r="X757">
            <v>517.39599999999996</v>
          </cell>
          <cell r="Y757">
            <v>487.79500000000002</v>
          </cell>
          <cell r="Z757">
            <v>460.10300000000001</v>
          </cell>
          <cell r="AA757">
            <v>435.00299999999999</v>
          </cell>
          <cell r="AB757">
            <v>412.97300000000001</v>
          </cell>
          <cell r="AC757">
            <v>393.82499999999999</v>
          </cell>
        </row>
        <row r="758">
          <cell r="A758" t="str">
            <v>Reduced vat insulation Single-family (Thousand households)</v>
          </cell>
          <cell r="C758">
            <v>443.01600000000002</v>
          </cell>
          <cell r="D758">
            <v>435.43700000000001</v>
          </cell>
          <cell r="E758">
            <v>605.42499999999995</v>
          </cell>
          <cell r="F758">
            <v>601.22400000000005</v>
          </cell>
          <cell r="G758">
            <v>554.42399999999998</v>
          </cell>
          <cell r="H758">
            <v>556.09100000000001</v>
          </cell>
          <cell r="I758">
            <v>546.58199999999999</v>
          </cell>
          <cell r="J758">
            <v>534.14400000000001</v>
          </cell>
          <cell r="K758">
            <v>489.19499999999999</v>
          </cell>
          <cell r="L758">
            <v>459.09</v>
          </cell>
          <cell r="M758">
            <v>443.14699999999999</v>
          </cell>
          <cell r="N758">
            <v>417.495</v>
          </cell>
          <cell r="O758">
            <v>405.21600000000001</v>
          </cell>
          <cell r="P758">
            <v>514.351</v>
          </cell>
          <cell r="Q758">
            <v>491.91399999999999</v>
          </cell>
          <cell r="R758">
            <v>461.548</v>
          </cell>
          <cell r="S758">
            <v>604.351</v>
          </cell>
          <cell r="T758">
            <v>533.04999999999995</v>
          </cell>
          <cell r="U758">
            <v>500.596</v>
          </cell>
          <cell r="V758">
            <v>435.84800000000001</v>
          </cell>
          <cell r="W758">
            <v>420.05900000000003</v>
          </cell>
          <cell r="X758">
            <v>403.476</v>
          </cell>
          <cell r="Y758">
            <v>388.46699999999998</v>
          </cell>
          <cell r="Z758">
            <v>373.68299999999999</v>
          </cell>
          <cell r="AA758">
            <v>360.298</v>
          </cell>
          <cell r="AB758">
            <v>346.00099999999998</v>
          </cell>
          <cell r="AC758">
            <v>337.25200000000001</v>
          </cell>
        </row>
        <row r="759">
          <cell r="A759" t="str">
            <v>Reduced vat Multi-family (Thousand households)</v>
          </cell>
          <cell r="C759">
            <v>971.40200000000004</v>
          </cell>
          <cell r="D759">
            <v>1009.403</v>
          </cell>
          <cell r="E759">
            <v>1113.9949999999999</v>
          </cell>
          <cell r="F759">
            <v>1139.402</v>
          </cell>
          <cell r="G759">
            <v>1165.671</v>
          </cell>
          <cell r="H759">
            <v>1168.625</v>
          </cell>
          <cell r="I759">
            <v>1154.9459999999999</v>
          </cell>
          <cell r="J759">
            <v>1331.4559999999999</v>
          </cell>
          <cell r="K759">
            <v>1265.6759999999999</v>
          </cell>
          <cell r="L759">
            <v>1231.7809999999999</v>
          </cell>
          <cell r="M759">
            <v>1231.954</v>
          </cell>
          <cell r="N759">
            <v>1211.451</v>
          </cell>
          <cell r="O759">
            <v>1139.057</v>
          </cell>
          <cell r="P759">
            <v>1385.155</v>
          </cell>
          <cell r="Q759">
            <v>1356.2460000000001</v>
          </cell>
          <cell r="R759">
            <v>1264.9849999999999</v>
          </cell>
          <cell r="S759">
            <v>1354.4829999999999</v>
          </cell>
          <cell r="T759">
            <v>1196.4179999999999</v>
          </cell>
          <cell r="U759">
            <v>1179.72</v>
          </cell>
          <cell r="V759">
            <v>1086.028</v>
          </cell>
          <cell r="W759">
            <v>1180.806</v>
          </cell>
          <cell r="X759">
            <v>1008.077</v>
          </cell>
          <cell r="Y759">
            <v>1199.816</v>
          </cell>
          <cell r="Z759">
            <v>1076.2249999999999</v>
          </cell>
          <cell r="AA759">
            <v>1180.0450000000001</v>
          </cell>
          <cell r="AB759">
            <v>1308.7619999999999</v>
          </cell>
          <cell r="AC759">
            <v>1427.8140000000001</v>
          </cell>
        </row>
        <row r="760">
          <cell r="A760" t="str">
            <v>Reduced vat Single-family (Thousand households)</v>
          </cell>
          <cell r="C760">
            <v>1437.2360000000001</v>
          </cell>
          <cell r="D760">
            <v>1427.5989999999999</v>
          </cell>
          <cell r="E760">
            <v>1593.075</v>
          </cell>
          <cell r="F760">
            <v>1587.566</v>
          </cell>
          <cell r="G760">
            <v>1537.5329999999999</v>
          </cell>
          <cell r="H760">
            <v>1539.2180000000001</v>
          </cell>
          <cell r="I760">
            <v>1533.963</v>
          </cell>
          <cell r="J760">
            <v>1531.3340000000001</v>
          </cell>
          <cell r="K760">
            <v>1490.7190000000001</v>
          </cell>
          <cell r="L760">
            <v>1469.9179999999999</v>
          </cell>
          <cell r="M760">
            <v>1461.7149999999999</v>
          </cell>
          <cell r="N760">
            <v>1441.981</v>
          </cell>
          <cell r="O760">
            <v>1236.568</v>
          </cell>
          <cell r="P760">
            <v>1346.133</v>
          </cell>
          <cell r="Q760">
            <v>1320.24</v>
          </cell>
          <cell r="R760">
            <v>1201.4179999999999</v>
          </cell>
          <cell r="S760">
            <v>1367.556</v>
          </cell>
          <cell r="T760">
            <v>1224.6559999999999</v>
          </cell>
          <cell r="U760">
            <v>1187.0139999999999</v>
          </cell>
          <cell r="V760">
            <v>1077.48</v>
          </cell>
          <cell r="W760">
            <v>1320.452</v>
          </cell>
          <cell r="X760">
            <v>1295.75</v>
          </cell>
          <cell r="Y760">
            <v>1305.5419999999999</v>
          </cell>
          <cell r="Z760">
            <v>1283.2819999999999</v>
          </cell>
          <cell r="AA760">
            <v>1240.252</v>
          </cell>
          <cell r="AB760">
            <v>1194.4390000000001</v>
          </cell>
          <cell r="AC760">
            <v>1152.47</v>
          </cell>
        </row>
        <row r="761">
          <cell r="A761" t="str">
            <v>Renovation (Thousand households)</v>
          </cell>
          <cell r="C761">
            <v>600.98400000000004</v>
          </cell>
          <cell r="D761">
            <v>633.01700000000005</v>
          </cell>
          <cell r="E761">
            <v>906.89599999999996</v>
          </cell>
          <cell r="F761">
            <v>930.62599999999998</v>
          </cell>
          <cell r="G761">
            <v>910.702</v>
          </cell>
          <cell r="H761">
            <v>919.18600000000004</v>
          </cell>
          <cell r="I761">
            <v>904.08699999999999</v>
          </cell>
          <cell r="J761">
            <v>1080.7819999999999</v>
          </cell>
          <cell r="K761">
            <v>976.09299999999996</v>
          </cell>
          <cell r="L761">
            <v>923.36900000000003</v>
          </cell>
          <cell r="M761">
            <v>917.61</v>
          </cell>
          <cell r="N761">
            <v>878.91600000000005</v>
          </cell>
          <cell r="O761">
            <v>847.97500000000002</v>
          </cell>
          <cell r="P761">
            <v>1204.8320000000001</v>
          </cell>
          <cell r="Q761">
            <v>1151.3900000000001</v>
          </cell>
          <cell r="R761">
            <v>1118.2660000000001</v>
          </cell>
          <cell r="S761">
            <v>1312.817</v>
          </cell>
          <cell r="T761">
            <v>1149.153</v>
          </cell>
          <cell r="U761">
            <v>1093.078</v>
          </cell>
          <cell r="V761">
            <v>975.24699999999996</v>
          </cell>
          <cell r="W761">
            <v>971.54300000000001</v>
          </cell>
          <cell r="X761">
            <v>920.87199999999996</v>
          </cell>
          <cell r="Y761">
            <v>876.26300000000003</v>
          </cell>
          <cell r="Z761">
            <v>833.78700000000003</v>
          </cell>
          <cell r="AA761">
            <v>795.30100000000004</v>
          </cell>
          <cell r="AB761">
            <v>758.97500000000002</v>
          </cell>
          <cell r="AC761">
            <v>731.077</v>
          </cell>
        </row>
        <row r="762">
          <cell r="A762" t="str">
            <v>Renovation endogenous (Thousand households)</v>
          </cell>
          <cell r="C762">
            <v>532.91399999999999</v>
          </cell>
          <cell r="D762">
            <v>581.73400000000004</v>
          </cell>
          <cell r="E762">
            <v>777.53499999999997</v>
          </cell>
          <cell r="F762">
            <v>815.56299999999999</v>
          </cell>
          <cell r="G762">
            <v>824.89700000000005</v>
          </cell>
          <cell r="H762">
            <v>856.51400000000001</v>
          </cell>
          <cell r="I762">
            <v>817.43700000000001</v>
          </cell>
          <cell r="J762">
            <v>796.89800000000002</v>
          </cell>
          <cell r="K762">
            <v>756.26</v>
          </cell>
          <cell r="L762">
            <v>753.67100000000005</v>
          </cell>
          <cell r="M762">
            <v>787.125</v>
          </cell>
          <cell r="N762">
            <v>779.05899999999997</v>
          </cell>
          <cell r="O762">
            <v>728.98299999999995</v>
          </cell>
          <cell r="P762">
            <v>663.45</v>
          </cell>
          <cell r="Q762">
            <v>679.13499999999999</v>
          </cell>
          <cell r="R762">
            <v>705.87599999999998</v>
          </cell>
          <cell r="S762">
            <v>784.40200000000004</v>
          </cell>
          <cell r="T762">
            <v>681.03300000000002</v>
          </cell>
          <cell r="U762">
            <v>676.05700000000002</v>
          </cell>
          <cell r="V762">
            <v>603.745</v>
          </cell>
          <cell r="W762">
            <v>628.85799999999995</v>
          </cell>
          <cell r="X762">
            <v>603.96400000000006</v>
          </cell>
          <cell r="Y762">
            <v>583.09</v>
          </cell>
          <cell r="Z762">
            <v>561.95699999999999</v>
          </cell>
          <cell r="AA762">
            <v>542.928</v>
          </cell>
          <cell r="AB762">
            <v>525.18799999999999</v>
          </cell>
          <cell r="AC762">
            <v>514.79899999999998</v>
          </cell>
        </row>
        <row r="763">
          <cell r="A763" t="str">
            <v>Renovation from C to A (Thousand households)</v>
          </cell>
          <cell r="C763">
            <v>0.38200000000000001</v>
          </cell>
          <cell r="D763">
            <v>0.59099999999999997</v>
          </cell>
          <cell r="E763">
            <v>3.1</v>
          </cell>
          <cell r="F763">
            <v>4.29</v>
          </cell>
          <cell r="G763">
            <v>5.7549999999999999</v>
          </cell>
          <cell r="H763">
            <v>7.2149999999999999</v>
          </cell>
          <cell r="I763">
            <v>8.4930000000000003</v>
          </cell>
          <cell r="J763">
            <v>9.31</v>
          </cell>
          <cell r="K763">
            <v>9.8829999999999991</v>
          </cell>
          <cell r="L763">
            <v>10.587999999999999</v>
          </cell>
          <cell r="M763">
            <v>11.318</v>
          </cell>
          <cell r="N763">
            <v>12.023</v>
          </cell>
          <cell r="O763">
            <v>12.49</v>
          </cell>
          <cell r="P763">
            <v>12.787000000000001</v>
          </cell>
          <cell r="Q763">
            <v>14.178000000000001</v>
          </cell>
          <cell r="R763">
            <v>14.606</v>
          </cell>
          <cell r="S763">
            <v>15.792999999999999</v>
          </cell>
          <cell r="T763">
            <v>15.682</v>
          </cell>
          <cell r="U763">
            <v>15.837</v>
          </cell>
          <cell r="V763">
            <v>15.771000000000001</v>
          </cell>
          <cell r="W763">
            <v>16.138000000000002</v>
          </cell>
          <cell r="X763">
            <v>15.749000000000001</v>
          </cell>
          <cell r="Y763">
            <v>15.696</v>
          </cell>
          <cell r="Z763">
            <v>15.279</v>
          </cell>
          <cell r="AA763">
            <v>14.928000000000001</v>
          </cell>
          <cell r="AB763">
            <v>14.590999999999999</v>
          </cell>
          <cell r="AC763">
            <v>15.364000000000001</v>
          </cell>
        </row>
        <row r="764">
          <cell r="A764" t="str">
            <v>Renovation from C to B (Thousand households)</v>
          </cell>
          <cell r="C764">
            <v>6.5990000000000002</v>
          </cell>
          <cell r="D764">
            <v>8.31</v>
          </cell>
          <cell r="E764">
            <v>8.5329999999999995</v>
          </cell>
          <cell r="F764">
            <v>10.050000000000001</v>
          </cell>
          <cell r="G764">
            <v>14.62</v>
          </cell>
          <cell r="H764">
            <v>18.731999999999999</v>
          </cell>
          <cell r="I764">
            <v>21.244</v>
          </cell>
          <cell r="J764">
            <v>25.234000000000002</v>
          </cell>
          <cell r="K764">
            <v>24.553000000000001</v>
          </cell>
          <cell r="L764">
            <v>29.771000000000001</v>
          </cell>
          <cell r="M764">
            <v>36.530999999999999</v>
          </cell>
          <cell r="N764">
            <v>42.048999999999999</v>
          </cell>
          <cell r="O764">
            <v>40.305</v>
          </cell>
          <cell r="P764">
            <v>41.508000000000003</v>
          </cell>
          <cell r="Q764">
            <v>53.46</v>
          </cell>
          <cell r="R764">
            <v>67.349000000000004</v>
          </cell>
          <cell r="S764">
            <v>72.802999999999997</v>
          </cell>
          <cell r="T764">
            <v>75.453999999999994</v>
          </cell>
          <cell r="U764">
            <v>78.399000000000001</v>
          </cell>
          <cell r="V764">
            <v>81.588999999999999</v>
          </cell>
          <cell r="W764">
            <v>85.123999999999995</v>
          </cell>
          <cell r="X764">
            <v>79.926000000000002</v>
          </cell>
          <cell r="Y764">
            <v>76.194000000000003</v>
          </cell>
          <cell r="Z764">
            <v>72.28</v>
          </cell>
          <cell r="AA764">
            <v>69.167000000000002</v>
          </cell>
          <cell r="AB764">
            <v>66.367000000000004</v>
          </cell>
          <cell r="AC764">
            <v>65.653999999999996</v>
          </cell>
        </row>
        <row r="765">
          <cell r="A765" t="str">
            <v>Renovation from C to C (Thousand households)</v>
          </cell>
          <cell r="C765">
            <v>54.725999999999999</v>
          </cell>
          <cell r="D765">
            <v>58.439</v>
          </cell>
          <cell r="E765">
            <v>56.503</v>
          </cell>
          <cell r="F765">
            <v>60.658999999999999</v>
          </cell>
          <cell r="G765">
            <v>85.603999999999999</v>
          </cell>
          <cell r="H765">
            <v>100.28</v>
          </cell>
          <cell r="I765">
            <v>104.31100000000001</v>
          </cell>
          <cell r="J765">
            <v>120.044</v>
          </cell>
          <cell r="K765">
            <v>109.22</v>
          </cell>
          <cell r="L765">
            <v>127.938</v>
          </cell>
          <cell r="M765">
            <v>152.93700000000001</v>
          </cell>
          <cell r="N765">
            <v>173.387</v>
          </cell>
          <cell r="O765">
            <v>164.07499999999999</v>
          </cell>
          <cell r="P765">
            <v>168.98</v>
          </cell>
          <cell r="Q765">
            <v>216.803</v>
          </cell>
          <cell r="R765">
            <v>281.315</v>
          </cell>
          <cell r="S765">
            <v>315.65300000000002</v>
          </cell>
          <cell r="T765">
            <v>333.85899999999998</v>
          </cell>
          <cell r="U765">
            <v>356.44200000000001</v>
          </cell>
          <cell r="V765">
            <v>384.14400000000001</v>
          </cell>
          <cell r="W765">
            <v>419.24900000000002</v>
          </cell>
          <cell r="X765">
            <v>407.77499999999998</v>
          </cell>
          <cell r="Y765">
            <v>397.04300000000001</v>
          </cell>
          <cell r="Z765">
            <v>387.15800000000002</v>
          </cell>
          <cell r="AA765">
            <v>377.34</v>
          </cell>
          <cell r="AB765">
            <v>367.58600000000001</v>
          </cell>
          <cell r="AC765">
            <v>358.476</v>
          </cell>
        </row>
        <row r="766">
          <cell r="A766" t="str">
            <v>Renovation from C to D (Thousand households)</v>
          </cell>
          <cell r="C766">
            <v>0.16300000000000001</v>
          </cell>
          <cell r="D766">
            <v>0.156</v>
          </cell>
          <cell r="E766">
            <v>0.13100000000000001</v>
          </cell>
          <cell r="F766">
            <v>0.129</v>
          </cell>
          <cell r="G766">
            <v>0.14499999999999999</v>
          </cell>
          <cell r="H766">
            <v>0.14599999999999999</v>
          </cell>
          <cell r="I766">
            <v>0.13900000000000001</v>
          </cell>
          <cell r="J766">
            <v>0.14699999999999999</v>
          </cell>
          <cell r="K766">
            <v>0.13100000000000001</v>
          </cell>
          <cell r="L766">
            <v>0.13800000000000001</v>
          </cell>
          <cell r="M766">
            <v>0.14799999999999999</v>
          </cell>
          <cell r="N766">
            <v>0.156</v>
          </cell>
          <cell r="O766">
            <v>0.151</v>
          </cell>
          <cell r="P766">
            <v>0.158</v>
          </cell>
          <cell r="Q766">
            <v>0.19500000000000001</v>
          </cell>
          <cell r="R766">
            <v>0.21199999999999999</v>
          </cell>
          <cell r="S766">
            <v>0.25600000000000001</v>
          </cell>
          <cell r="T766">
            <v>0.23</v>
          </cell>
          <cell r="U766">
            <v>0.24399999999999999</v>
          </cell>
          <cell r="V766">
            <v>0.23</v>
          </cell>
          <cell r="W766">
            <v>0.20899999999999999</v>
          </cell>
          <cell r="X766">
            <v>0.16600000000000001</v>
          </cell>
          <cell r="Y766">
            <v>0.21</v>
          </cell>
          <cell r="Z766">
            <v>0.16600000000000001</v>
          </cell>
          <cell r="AA766">
            <v>0.17199999999999999</v>
          </cell>
          <cell r="AB766">
            <v>0.18099999999999999</v>
          </cell>
          <cell r="AC766">
            <v>0.187</v>
          </cell>
        </row>
        <row r="767">
          <cell r="A767" t="str">
            <v>Renovation from D to A (Thousand households)</v>
          </cell>
          <cell r="C767">
            <v>0.25800000000000001</v>
          </cell>
          <cell r="D767">
            <v>0.46300000000000002</v>
          </cell>
          <cell r="E767">
            <v>3.5259999999999998</v>
          </cell>
          <cell r="F767">
            <v>4.532</v>
          </cell>
          <cell r="G767">
            <v>5.3150000000000004</v>
          </cell>
          <cell r="H767">
            <v>6.2439999999999998</v>
          </cell>
          <cell r="I767">
            <v>6.8860000000000001</v>
          </cell>
          <cell r="J767">
            <v>7.76</v>
          </cell>
          <cell r="K767">
            <v>7.9390000000000001</v>
          </cell>
          <cell r="L767">
            <v>8.4369999999999994</v>
          </cell>
          <cell r="M767">
            <v>9.1199999999999992</v>
          </cell>
          <cell r="N767">
            <v>9.6859999999999999</v>
          </cell>
          <cell r="O767">
            <v>8.6890000000000001</v>
          </cell>
          <cell r="P767">
            <v>8.7780000000000005</v>
          </cell>
          <cell r="Q767">
            <v>9.343</v>
          </cell>
          <cell r="R767">
            <v>8.6280000000000001</v>
          </cell>
          <cell r="S767">
            <v>8.98</v>
          </cell>
          <cell r="T767">
            <v>8.1189999999999998</v>
          </cell>
          <cell r="U767">
            <v>7.7759999999999998</v>
          </cell>
          <cell r="V767">
            <v>6.2889999999999997</v>
          </cell>
          <cell r="W767">
            <v>4.03</v>
          </cell>
          <cell r="X767">
            <v>3.6640000000000001</v>
          </cell>
          <cell r="Y767">
            <v>3.5950000000000002</v>
          </cell>
          <cell r="Z767">
            <v>3.2519999999999998</v>
          </cell>
          <cell r="AA767">
            <v>3.0489999999999999</v>
          </cell>
          <cell r="AB767">
            <v>2.823</v>
          </cell>
          <cell r="AC767">
            <v>2.956</v>
          </cell>
        </row>
        <row r="768">
          <cell r="A768" t="str">
            <v>Renovation from D to B (Thousand households)</v>
          </cell>
          <cell r="C768">
            <v>3.0310000000000001</v>
          </cell>
          <cell r="D768">
            <v>4.16</v>
          </cell>
          <cell r="E768">
            <v>13.003</v>
          </cell>
          <cell r="F768">
            <v>16.965</v>
          </cell>
          <cell r="G768">
            <v>20.427</v>
          </cell>
          <cell r="H768">
            <v>25.172000000000001</v>
          </cell>
          <cell r="I768">
            <v>28.827000000000002</v>
          </cell>
          <cell r="J768">
            <v>31.068999999999999</v>
          </cell>
          <cell r="K768">
            <v>33.908999999999999</v>
          </cell>
          <cell r="L768">
            <v>36.814</v>
          </cell>
          <cell r="M768">
            <v>43.36</v>
          </cell>
          <cell r="N768">
            <v>46.712000000000003</v>
          </cell>
          <cell r="O768">
            <v>45.232999999999997</v>
          </cell>
          <cell r="P768">
            <v>42.289000000000001</v>
          </cell>
          <cell r="Q768">
            <v>42.671999999999997</v>
          </cell>
          <cell r="R768">
            <v>38.406999999999996</v>
          </cell>
          <cell r="S768">
            <v>36.752000000000002</v>
          </cell>
          <cell r="T768">
            <v>32.899000000000001</v>
          </cell>
          <cell r="U768">
            <v>30.466999999999999</v>
          </cell>
          <cell r="V768">
            <v>19.103999999999999</v>
          </cell>
          <cell r="W768">
            <v>15.531000000000001</v>
          </cell>
          <cell r="X768">
            <v>14.464</v>
          </cell>
          <cell r="Y768">
            <v>14.112</v>
          </cell>
          <cell r="Z768">
            <v>13.122999999999999</v>
          </cell>
          <cell r="AA768">
            <v>12.54</v>
          </cell>
          <cell r="AB768">
            <v>11.833</v>
          </cell>
          <cell r="AC768">
            <v>12.617000000000001</v>
          </cell>
        </row>
        <row r="769">
          <cell r="A769" t="str">
            <v>Renovation from D to C (Thousand households)</v>
          </cell>
          <cell r="C769">
            <v>28.545000000000002</v>
          </cell>
          <cell r="D769">
            <v>44.953000000000003</v>
          </cell>
          <cell r="E769">
            <v>91.52</v>
          </cell>
          <cell r="F769">
            <v>117.197</v>
          </cell>
          <cell r="G769">
            <v>128.07599999999999</v>
          </cell>
          <cell r="H769">
            <v>131.333</v>
          </cell>
          <cell r="I769">
            <v>130.09200000000001</v>
          </cell>
          <cell r="J769">
            <v>127.38800000000001</v>
          </cell>
          <cell r="K769">
            <v>127.989</v>
          </cell>
          <cell r="L769">
            <v>126.74299999999999</v>
          </cell>
          <cell r="M769">
            <v>146.46600000000001</v>
          </cell>
          <cell r="N769">
            <v>142.24600000000001</v>
          </cell>
          <cell r="O769">
            <v>126.824</v>
          </cell>
          <cell r="P769">
            <v>98.432000000000002</v>
          </cell>
          <cell r="Q769">
            <v>82.299000000000007</v>
          </cell>
          <cell r="R769">
            <v>67.191999999999993</v>
          </cell>
          <cell r="S769">
            <v>92.171999999999997</v>
          </cell>
          <cell r="T769">
            <v>46.064999999999998</v>
          </cell>
          <cell r="U769">
            <v>39.343000000000004</v>
          </cell>
          <cell r="V769">
            <v>16.114999999999998</v>
          </cell>
          <cell r="W769">
            <v>14.976000000000001</v>
          </cell>
          <cell r="X769">
            <v>14.077</v>
          </cell>
          <cell r="Y769">
            <v>13.35</v>
          </cell>
          <cell r="Z769">
            <v>12.478999999999999</v>
          </cell>
          <cell r="AA769">
            <v>11.829000000000001</v>
          </cell>
          <cell r="AB769">
            <v>11.037000000000001</v>
          </cell>
          <cell r="AC769">
            <v>11.198</v>
          </cell>
        </row>
        <row r="770">
          <cell r="A770" t="str">
            <v>Renovation from D to D (Thousand households)</v>
          </cell>
          <cell r="C770">
            <v>147.77500000000001</v>
          </cell>
          <cell r="D770">
            <v>161.38399999999999</v>
          </cell>
          <cell r="E770">
            <v>184.44</v>
          </cell>
          <cell r="F770">
            <v>205.81200000000001</v>
          </cell>
          <cell r="G770">
            <v>215.863</v>
          </cell>
          <cell r="H770">
            <v>217.70599999999999</v>
          </cell>
          <cell r="I770">
            <v>218.71799999999999</v>
          </cell>
          <cell r="J770">
            <v>221.61699999999999</v>
          </cell>
          <cell r="K770">
            <v>223.82300000000001</v>
          </cell>
          <cell r="L770">
            <v>227.34700000000001</v>
          </cell>
          <cell r="M770">
            <v>257.18900000000002</v>
          </cell>
          <cell r="N770">
            <v>264.05500000000001</v>
          </cell>
          <cell r="O770">
            <v>262.70600000000002</v>
          </cell>
          <cell r="P770">
            <v>233.9</v>
          </cell>
          <cell r="Q770">
            <v>206.82</v>
          </cell>
          <cell r="R770">
            <v>184.96600000000001</v>
          </cell>
          <cell r="S770">
            <v>160.36799999999999</v>
          </cell>
          <cell r="T770">
            <v>143.923</v>
          </cell>
          <cell r="U770">
            <v>128.16300000000001</v>
          </cell>
          <cell r="V770">
            <v>65.674999999999997</v>
          </cell>
          <cell r="W770">
            <v>62.667999999999999</v>
          </cell>
          <cell r="X770">
            <v>59.976999999999997</v>
          </cell>
          <cell r="Y770">
            <v>57.195999999999998</v>
          </cell>
          <cell r="Z770">
            <v>54.673000000000002</v>
          </cell>
          <cell r="AA770">
            <v>52.262999999999998</v>
          </cell>
          <cell r="AB770">
            <v>49.265999999999998</v>
          </cell>
          <cell r="AC770">
            <v>46.798000000000002</v>
          </cell>
        </row>
        <row r="771">
          <cell r="A771" t="str">
            <v>Renovation from D to E (Thousand households)</v>
          </cell>
          <cell r="C771">
            <v>3.5999999999999997E-2</v>
          </cell>
          <cell r="D771">
            <v>3.1E-2</v>
          </cell>
          <cell r="E771">
            <v>2.5999999999999999E-2</v>
          </cell>
          <cell r="F771">
            <v>3.5999999999999997E-2</v>
          </cell>
          <cell r="G771">
            <v>3.7999999999999999E-2</v>
          </cell>
          <cell r="H771">
            <v>3.9E-2</v>
          </cell>
          <cell r="I771">
            <v>0.04</v>
          </cell>
          <cell r="J771">
            <v>4.4999999999999998E-2</v>
          </cell>
          <cell r="K771">
            <v>4.8000000000000001E-2</v>
          </cell>
          <cell r="L771">
            <v>5.2999999999999999E-2</v>
          </cell>
          <cell r="M771">
            <v>6.5000000000000002E-2</v>
          </cell>
          <cell r="N771">
            <v>7.4999999999999997E-2</v>
          </cell>
          <cell r="O771">
            <v>8.2000000000000003E-2</v>
          </cell>
          <cell r="P771">
            <v>8.2000000000000003E-2</v>
          </cell>
          <cell r="Q771">
            <v>7.6999999999999999E-2</v>
          </cell>
          <cell r="R771">
            <v>5.8999999999999997E-2</v>
          </cell>
          <cell r="S771">
            <v>6.4000000000000001E-2</v>
          </cell>
          <cell r="T771">
            <v>4.5999999999999999E-2</v>
          </cell>
          <cell r="U771">
            <v>4.3999999999999997E-2</v>
          </cell>
          <cell r="V771">
            <v>1.9E-2</v>
          </cell>
          <cell r="W771">
            <v>1.4999999999999999E-2</v>
          </cell>
          <cell r="X771">
            <v>1.0999999999999999E-2</v>
          </cell>
          <cell r="Y771">
            <v>1.7000000000000001E-2</v>
          </cell>
          <cell r="Z771">
            <v>1.2999999999999999E-2</v>
          </cell>
          <cell r="AA771">
            <v>1.4E-2</v>
          </cell>
          <cell r="AB771">
            <v>1.4999999999999999E-2</v>
          </cell>
          <cell r="AC771">
            <v>1.6E-2</v>
          </cell>
        </row>
        <row r="772">
          <cell r="A772" t="str">
            <v>Renovation from D to F (Thousand households)</v>
          </cell>
          <cell r="C772">
            <v>6.0000000000000001E-3</v>
          </cell>
          <cell r="D772">
            <v>6.0000000000000001E-3</v>
          </cell>
          <cell r="E772">
            <v>5.0000000000000001E-3</v>
          </cell>
          <cell r="F772">
            <v>7.0000000000000001E-3</v>
          </cell>
          <cell r="G772">
            <v>7.0000000000000001E-3</v>
          </cell>
          <cell r="H772">
            <v>6.0000000000000001E-3</v>
          </cell>
          <cell r="I772">
            <v>6.0000000000000001E-3</v>
          </cell>
          <cell r="J772">
            <v>7.0000000000000001E-3</v>
          </cell>
          <cell r="K772">
            <v>7.0000000000000001E-3</v>
          </cell>
          <cell r="L772">
            <v>8.0000000000000002E-3</v>
          </cell>
          <cell r="M772">
            <v>8.9999999999999993E-3</v>
          </cell>
          <cell r="N772">
            <v>0.01</v>
          </cell>
          <cell r="O772">
            <v>1.0999999999999999E-2</v>
          </cell>
          <cell r="P772">
            <v>1.0999999999999999E-2</v>
          </cell>
          <cell r="Q772">
            <v>1.0999999999999999E-2</v>
          </cell>
          <cell r="R772">
            <v>8.0000000000000002E-3</v>
          </cell>
          <cell r="S772">
            <v>8.9999999999999993E-3</v>
          </cell>
          <cell r="T772">
            <v>6.0000000000000001E-3</v>
          </cell>
          <cell r="U772">
            <v>6.0000000000000001E-3</v>
          </cell>
          <cell r="V772">
            <v>4.0000000000000001E-3</v>
          </cell>
          <cell r="W772">
            <v>3.0000000000000001E-3</v>
          </cell>
          <cell r="X772">
            <v>2E-3</v>
          </cell>
          <cell r="Y772">
            <v>4.0000000000000001E-3</v>
          </cell>
          <cell r="Z772">
            <v>3.0000000000000001E-3</v>
          </cell>
          <cell r="AA772">
            <v>3.0000000000000001E-3</v>
          </cell>
          <cell r="AB772">
            <v>3.0000000000000001E-3</v>
          </cell>
          <cell r="AC772">
            <v>3.0000000000000001E-3</v>
          </cell>
        </row>
        <row r="773">
          <cell r="A773" t="str">
            <v>Renovation from E to A (Thousand households)</v>
          </cell>
          <cell r="C773">
            <v>0.06</v>
          </cell>
          <cell r="D773">
            <v>0.113</v>
          </cell>
          <cell r="E773">
            <v>1.4770000000000001</v>
          </cell>
          <cell r="F773">
            <v>1.633</v>
          </cell>
          <cell r="G773">
            <v>1.698</v>
          </cell>
          <cell r="H773">
            <v>1.8140000000000001</v>
          </cell>
          <cell r="I773">
            <v>1.8620000000000001</v>
          </cell>
          <cell r="J773">
            <v>1.956</v>
          </cell>
          <cell r="K773">
            <v>1.9450000000000001</v>
          </cell>
          <cell r="L773">
            <v>1.99</v>
          </cell>
          <cell r="M773">
            <v>1.95</v>
          </cell>
          <cell r="N773">
            <v>1.829</v>
          </cell>
          <cell r="O773">
            <v>0.48699999999999999</v>
          </cell>
          <cell r="P773">
            <v>0.45</v>
          </cell>
          <cell r="Q773">
            <v>0.44</v>
          </cell>
          <cell r="R773">
            <v>0.38600000000000001</v>
          </cell>
          <cell r="S773">
            <v>0.34200000000000003</v>
          </cell>
          <cell r="T773">
            <v>0.28100000000000003</v>
          </cell>
          <cell r="U773">
            <v>0.23699999999999999</v>
          </cell>
          <cell r="V773">
            <v>0.193</v>
          </cell>
          <cell r="W773">
            <v>5.7000000000000002E-2</v>
          </cell>
          <cell r="X773">
            <v>4.3999999999999997E-2</v>
          </cell>
          <cell r="Y773">
            <v>2.8000000000000001E-2</v>
          </cell>
          <cell r="Z773">
            <v>1.7999999999999999E-2</v>
          </cell>
          <cell r="AA773">
            <v>8.0000000000000002E-3</v>
          </cell>
          <cell r="AB773">
            <v>7.0000000000000001E-3</v>
          </cell>
          <cell r="AC773">
            <v>7.0000000000000001E-3</v>
          </cell>
        </row>
        <row r="774">
          <cell r="A774" t="str">
            <v>Renovation from E to B (Thousand households)</v>
          </cell>
          <cell r="C774">
            <v>1.52</v>
          </cell>
          <cell r="D774">
            <v>3.2229999999999999</v>
          </cell>
          <cell r="E774">
            <v>6.0949999999999998</v>
          </cell>
          <cell r="F774">
            <v>6.827</v>
          </cell>
          <cell r="G774">
            <v>7.8789999999999996</v>
          </cell>
          <cell r="H774">
            <v>9.1869999999999994</v>
          </cell>
          <cell r="I774">
            <v>9.8569999999999993</v>
          </cell>
          <cell r="J774">
            <v>10.215</v>
          </cell>
          <cell r="K774">
            <v>10.625999999999999</v>
          </cell>
          <cell r="L774">
            <v>10.346</v>
          </cell>
          <cell r="M774">
            <v>7.593</v>
          </cell>
          <cell r="N774">
            <v>6.1959999999999997</v>
          </cell>
          <cell r="O774">
            <v>3.871</v>
          </cell>
          <cell r="P774">
            <v>3.5390000000000001</v>
          </cell>
          <cell r="Q774">
            <v>3.6629999999999998</v>
          </cell>
          <cell r="R774">
            <v>3.254</v>
          </cell>
          <cell r="S774">
            <v>2.839</v>
          </cell>
          <cell r="T774">
            <v>2.4119999999999999</v>
          </cell>
          <cell r="U774">
            <v>2.0339999999999998</v>
          </cell>
          <cell r="V774">
            <v>1.675</v>
          </cell>
          <cell r="W774">
            <v>1.1439999999999999</v>
          </cell>
          <cell r="X774">
            <v>0.88200000000000001</v>
          </cell>
          <cell r="Y774">
            <v>0.629</v>
          </cell>
          <cell r="Z774">
            <v>0.40300000000000002</v>
          </cell>
          <cell r="AA774">
            <v>0.188</v>
          </cell>
          <cell r="AB774">
            <v>0.17199999999999999</v>
          </cell>
          <cell r="AC774">
            <v>0.183</v>
          </cell>
        </row>
        <row r="775">
          <cell r="A775" t="str">
            <v>Renovation from E to C (Thousand households)</v>
          </cell>
          <cell r="C775">
            <v>12.811999999999999</v>
          </cell>
          <cell r="D775">
            <v>24.166</v>
          </cell>
          <cell r="E775">
            <v>30.751000000000001</v>
          </cell>
          <cell r="F775">
            <v>34.140999999999998</v>
          </cell>
          <cell r="G775">
            <v>36.984000000000002</v>
          </cell>
          <cell r="H775">
            <v>41.99</v>
          </cell>
          <cell r="I775">
            <v>41.000999999999998</v>
          </cell>
          <cell r="J775">
            <v>40.533000000000001</v>
          </cell>
          <cell r="K775">
            <v>39.372999999999998</v>
          </cell>
          <cell r="L775">
            <v>37.048000000000002</v>
          </cell>
          <cell r="M775">
            <v>25.283999999999999</v>
          </cell>
          <cell r="N775">
            <v>15.725</v>
          </cell>
          <cell r="O775">
            <v>11.78</v>
          </cell>
          <cell r="P775">
            <v>10.055999999999999</v>
          </cell>
          <cell r="Q775">
            <v>10.43</v>
          </cell>
          <cell r="R775">
            <v>8.7240000000000002</v>
          </cell>
          <cell r="S775">
            <v>45.52</v>
          </cell>
          <cell r="T775">
            <v>4.9249999999999998</v>
          </cell>
          <cell r="U775">
            <v>3.8780000000000001</v>
          </cell>
          <cell r="V775">
            <v>2.9870000000000001</v>
          </cell>
          <cell r="W775">
            <v>2.2389999999999999</v>
          </cell>
          <cell r="X775">
            <v>1.669</v>
          </cell>
          <cell r="Y775">
            <v>1.1519999999999999</v>
          </cell>
          <cell r="Z775">
            <v>0.70799999999999996</v>
          </cell>
          <cell r="AA775">
            <v>0.32400000000000001</v>
          </cell>
          <cell r="AB775">
            <v>0.29599999999999999</v>
          </cell>
          <cell r="AC775">
            <v>0.32700000000000001</v>
          </cell>
        </row>
        <row r="776">
          <cell r="A776" t="str">
            <v>Renovation from E to D (Thousand households)</v>
          </cell>
          <cell r="C776">
            <v>35.478000000000002</v>
          </cell>
          <cell r="D776">
            <v>46.832000000000001</v>
          </cell>
          <cell r="E776">
            <v>47.006999999999998</v>
          </cell>
          <cell r="F776">
            <v>47.49</v>
          </cell>
          <cell r="G776">
            <v>50.225000000000001</v>
          </cell>
          <cell r="H776">
            <v>49.926000000000002</v>
          </cell>
          <cell r="I776">
            <v>48.453000000000003</v>
          </cell>
          <cell r="J776">
            <v>46.677</v>
          </cell>
          <cell r="K776">
            <v>44.5</v>
          </cell>
          <cell r="L776">
            <v>39.298000000000002</v>
          </cell>
          <cell r="M776">
            <v>23.998999999999999</v>
          </cell>
          <cell r="N776">
            <v>17.004999999999999</v>
          </cell>
          <cell r="O776">
            <v>14.958</v>
          </cell>
          <cell r="P776">
            <v>12.944000000000001</v>
          </cell>
          <cell r="Q776">
            <v>11.789</v>
          </cell>
          <cell r="R776">
            <v>10.090999999999999</v>
          </cell>
          <cell r="S776">
            <v>11.103</v>
          </cell>
          <cell r="T776">
            <v>6.4630000000000001</v>
          </cell>
          <cell r="U776">
            <v>5.2409999999999997</v>
          </cell>
          <cell r="V776">
            <v>4.1680000000000001</v>
          </cell>
          <cell r="W776">
            <v>3.2930000000000001</v>
          </cell>
          <cell r="X776">
            <v>2.504</v>
          </cell>
          <cell r="Y776">
            <v>1.7769999999999999</v>
          </cell>
          <cell r="Z776">
            <v>1.119</v>
          </cell>
          <cell r="AA776">
            <v>0.51900000000000002</v>
          </cell>
          <cell r="AB776">
            <v>0.47299999999999998</v>
          </cell>
          <cell r="AC776">
            <v>0.45200000000000001</v>
          </cell>
        </row>
        <row r="777">
          <cell r="A777" t="str">
            <v>Renovation from E to E (Thousand households)</v>
          </cell>
          <cell r="C777">
            <v>37.296999999999997</v>
          </cell>
          <cell r="D777">
            <v>41.155999999999999</v>
          </cell>
          <cell r="E777">
            <v>37.146999999999998</v>
          </cell>
          <cell r="F777">
            <v>35.972000000000001</v>
          </cell>
          <cell r="G777">
            <v>35.69</v>
          </cell>
          <cell r="H777">
            <v>33.06</v>
          </cell>
          <cell r="I777">
            <v>30.530999999999999</v>
          </cell>
          <cell r="J777">
            <v>28.533000000000001</v>
          </cell>
          <cell r="K777">
            <v>26.545999999999999</v>
          </cell>
          <cell r="L777">
            <v>24.472999999999999</v>
          </cell>
          <cell r="M777">
            <v>15.952</v>
          </cell>
          <cell r="N777">
            <v>5.9080000000000004</v>
          </cell>
          <cell r="O777">
            <v>5.2210000000000001</v>
          </cell>
          <cell r="P777">
            <v>4.4260000000000002</v>
          </cell>
          <cell r="Q777">
            <v>3.8</v>
          </cell>
          <cell r="R777">
            <v>3.1760000000000002</v>
          </cell>
          <cell r="S777">
            <v>2.7669999999999999</v>
          </cell>
          <cell r="T777">
            <v>1.85</v>
          </cell>
          <cell r="U777">
            <v>1.4330000000000001</v>
          </cell>
          <cell r="V777">
            <v>1.081</v>
          </cell>
          <cell r="W777">
            <v>0.84799999999999998</v>
          </cell>
          <cell r="X777">
            <v>0.64</v>
          </cell>
          <cell r="Y777">
            <v>0.45100000000000001</v>
          </cell>
          <cell r="Z777">
            <v>0.28399999999999997</v>
          </cell>
          <cell r="AA777">
            <v>0.13300000000000001</v>
          </cell>
          <cell r="AB777">
            <v>0.125</v>
          </cell>
          <cell r="AC777">
            <v>0.122</v>
          </cell>
        </row>
        <row r="778">
          <cell r="A778" t="str">
            <v>Renovation from E to F (Thousand households)</v>
          </cell>
          <cell r="C778">
            <v>2.8000000000000001E-2</v>
          </cell>
          <cell r="D778">
            <v>2.7E-2</v>
          </cell>
          <cell r="E778">
            <v>1.7999999999999999E-2</v>
          </cell>
          <cell r="F778">
            <v>2.1000000000000001E-2</v>
          </cell>
          <cell r="G778">
            <v>1.9E-2</v>
          </cell>
          <cell r="H778">
            <v>1.7999999999999999E-2</v>
          </cell>
          <cell r="I778">
            <v>1.4999999999999999E-2</v>
          </cell>
          <cell r="J778">
            <v>1.7000000000000001E-2</v>
          </cell>
          <cell r="K778">
            <v>1.4999999999999999E-2</v>
          </cell>
          <cell r="L778">
            <v>1.4999999999999999E-2</v>
          </cell>
          <cell r="M778">
            <v>1.4999999999999999E-2</v>
          </cell>
          <cell r="N778">
            <v>1.4E-2</v>
          </cell>
          <cell r="O778">
            <v>3.0000000000000001E-3</v>
          </cell>
          <cell r="P778">
            <v>3.0000000000000001E-3</v>
          </cell>
          <cell r="Q778">
            <v>3.0000000000000001E-3</v>
          </cell>
          <cell r="R778">
            <v>2E-3</v>
          </cell>
          <cell r="S778">
            <v>2E-3</v>
          </cell>
          <cell r="T778">
            <v>1E-3</v>
          </cell>
          <cell r="U778">
            <v>1E-3</v>
          </cell>
          <cell r="V778">
            <v>1E-3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</row>
        <row r="779">
          <cell r="A779" t="str">
            <v>Renovation from E to G (Thousand households)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</row>
        <row r="780">
          <cell r="A780" t="str">
            <v>Renovation from F to A (Thousand households)</v>
          </cell>
          <cell r="C780">
            <v>5.6000000000000001E-2</v>
          </cell>
          <cell r="D780">
            <v>9.2999999999999999E-2</v>
          </cell>
          <cell r="E780">
            <v>1.7769999999999999</v>
          </cell>
          <cell r="F780">
            <v>1.7969999999999999</v>
          </cell>
          <cell r="G780">
            <v>1.6339999999999999</v>
          </cell>
          <cell r="H780">
            <v>1.5940000000000001</v>
          </cell>
          <cell r="I780">
            <v>1.4359999999999999</v>
          </cell>
          <cell r="J780">
            <v>1.2509999999999999</v>
          </cell>
          <cell r="K780">
            <v>1.0740000000000001</v>
          </cell>
          <cell r="L780">
            <v>0.92800000000000005</v>
          </cell>
          <cell r="M780">
            <v>0.8</v>
          </cell>
          <cell r="N780">
            <v>0.68899999999999995</v>
          </cell>
          <cell r="O780">
            <v>0.53400000000000003</v>
          </cell>
          <cell r="P780">
            <v>0.45</v>
          </cell>
          <cell r="Q780">
            <v>0.40300000000000002</v>
          </cell>
          <cell r="R780">
            <v>0.309</v>
          </cell>
          <cell r="S780">
            <v>0.254</v>
          </cell>
          <cell r="T780">
            <v>0.17299999999999999</v>
          </cell>
          <cell r="U780">
            <v>0.13700000000000001</v>
          </cell>
          <cell r="V780">
            <v>0.105</v>
          </cell>
          <cell r="W780">
            <v>2.1999999999999999E-2</v>
          </cell>
          <cell r="X780">
            <v>1.6E-2</v>
          </cell>
          <cell r="Y780">
            <v>8.9999999999999993E-3</v>
          </cell>
          <cell r="Z780">
            <v>6.0000000000000001E-3</v>
          </cell>
          <cell r="AA780">
            <v>3.0000000000000001E-3</v>
          </cell>
          <cell r="AB780">
            <v>2E-3</v>
          </cell>
          <cell r="AC780">
            <v>2E-3</v>
          </cell>
        </row>
        <row r="781">
          <cell r="A781" t="str">
            <v>Renovation from F to B (Thousand households)</v>
          </cell>
          <cell r="C781">
            <v>0.81100000000000005</v>
          </cell>
          <cell r="D781">
            <v>0.91700000000000004</v>
          </cell>
          <cell r="E781">
            <v>3.1720000000000002</v>
          </cell>
          <cell r="F781">
            <v>3.1259999999999999</v>
          </cell>
          <cell r="G781">
            <v>2.758</v>
          </cell>
          <cell r="H781">
            <v>2.6669999999999998</v>
          </cell>
          <cell r="I781">
            <v>2.6</v>
          </cell>
          <cell r="J781">
            <v>2.2480000000000002</v>
          </cell>
          <cell r="K781">
            <v>1.9550000000000001</v>
          </cell>
          <cell r="L781">
            <v>1.6950000000000001</v>
          </cell>
          <cell r="M781">
            <v>1.468</v>
          </cell>
          <cell r="N781">
            <v>1.2709999999999999</v>
          </cell>
          <cell r="O781">
            <v>1</v>
          </cell>
          <cell r="P781">
            <v>0.85799999999999998</v>
          </cell>
          <cell r="Q781">
            <v>0.79600000000000004</v>
          </cell>
          <cell r="R781">
            <v>0.64800000000000002</v>
          </cell>
          <cell r="S781">
            <v>0.56799999999999995</v>
          </cell>
          <cell r="T781">
            <v>0.436</v>
          </cell>
          <cell r="U781">
            <v>0.35199999999999998</v>
          </cell>
          <cell r="V781">
            <v>0.27800000000000002</v>
          </cell>
          <cell r="W781">
            <v>0.125</v>
          </cell>
          <cell r="X781">
            <v>9.6000000000000002E-2</v>
          </cell>
          <cell r="Y781">
            <v>6.4000000000000001E-2</v>
          </cell>
          <cell r="Z781">
            <v>4.1000000000000002E-2</v>
          </cell>
          <cell r="AA781">
            <v>1.9E-2</v>
          </cell>
          <cell r="AB781">
            <v>1.7000000000000001E-2</v>
          </cell>
          <cell r="AC781">
            <v>1.9E-2</v>
          </cell>
        </row>
        <row r="782">
          <cell r="A782" t="str">
            <v>Renovation from F to C (Thousand households)</v>
          </cell>
          <cell r="C782">
            <v>13.531000000000001</v>
          </cell>
          <cell r="D782">
            <v>19.338000000000001</v>
          </cell>
          <cell r="E782">
            <v>53.018999999999998</v>
          </cell>
          <cell r="F782">
            <v>58.298000000000002</v>
          </cell>
          <cell r="G782">
            <v>49.277999999999999</v>
          </cell>
          <cell r="H782">
            <v>54.606999999999999</v>
          </cell>
          <cell r="I782">
            <v>47.503</v>
          </cell>
          <cell r="J782">
            <v>37.540999999999997</v>
          </cell>
          <cell r="K782">
            <v>29.411999999999999</v>
          </cell>
          <cell r="L782">
            <v>22.917999999999999</v>
          </cell>
          <cell r="M782">
            <v>17.788</v>
          </cell>
          <cell r="N782">
            <v>13.827</v>
          </cell>
          <cell r="O782">
            <v>10.577</v>
          </cell>
          <cell r="P782">
            <v>8.2249999999999996</v>
          </cell>
          <cell r="Q782">
            <v>8.02</v>
          </cell>
          <cell r="R782">
            <v>6.0670000000000002</v>
          </cell>
          <cell r="S782">
            <v>9.6530000000000005</v>
          </cell>
          <cell r="T782">
            <v>2.899</v>
          </cell>
          <cell r="U782">
            <v>2.2549999999999999</v>
          </cell>
          <cell r="V782">
            <v>1.7230000000000001</v>
          </cell>
          <cell r="W782">
            <v>1.2629999999999999</v>
          </cell>
          <cell r="X782">
            <v>0.93100000000000005</v>
          </cell>
          <cell r="Y782">
            <v>0.64</v>
          </cell>
          <cell r="Z782">
            <v>0.39400000000000002</v>
          </cell>
          <cell r="AA782">
            <v>0.17799999999999999</v>
          </cell>
          <cell r="AB782">
            <v>0.161</v>
          </cell>
          <cell r="AC782">
            <v>0.17399999999999999</v>
          </cell>
        </row>
        <row r="783">
          <cell r="A783" t="str">
            <v>Renovation from F to D (Thousand households)</v>
          </cell>
          <cell r="C783">
            <v>13.686999999999999</v>
          </cell>
          <cell r="D783">
            <v>14.896000000000001</v>
          </cell>
          <cell r="E783">
            <v>54.179000000000002</v>
          </cell>
          <cell r="F783">
            <v>54.936999999999998</v>
          </cell>
          <cell r="G783">
            <v>50.488</v>
          </cell>
          <cell r="H783">
            <v>55.854999999999997</v>
          </cell>
          <cell r="I783">
            <v>46.79</v>
          </cell>
          <cell r="J783">
            <v>37.079000000000001</v>
          </cell>
          <cell r="K783">
            <v>29.266999999999999</v>
          </cell>
          <cell r="L783">
            <v>22.919</v>
          </cell>
          <cell r="M783">
            <v>17.82</v>
          </cell>
          <cell r="N783">
            <v>13.76</v>
          </cell>
          <cell r="O783">
            <v>10.647</v>
          </cell>
          <cell r="P783">
            <v>8.1959999999999997</v>
          </cell>
          <cell r="Q783">
            <v>7.7089999999999996</v>
          </cell>
          <cell r="R783">
            <v>5.6909999999999998</v>
          </cell>
          <cell r="S783">
            <v>4.9379999999999997</v>
          </cell>
          <cell r="T783">
            <v>2.7309999999999999</v>
          </cell>
          <cell r="U783">
            <v>1.8740000000000001</v>
          </cell>
          <cell r="V783">
            <v>1.236</v>
          </cell>
          <cell r="W783">
            <v>0.90500000000000003</v>
          </cell>
          <cell r="X783">
            <v>0.63600000000000001</v>
          </cell>
          <cell r="Y783">
            <v>0.42299999999999999</v>
          </cell>
          <cell r="Z783">
            <v>0.255</v>
          </cell>
          <cell r="AA783">
            <v>0.115</v>
          </cell>
          <cell r="AB783">
            <v>0.111</v>
          </cell>
          <cell r="AC783">
            <v>0.128</v>
          </cell>
        </row>
        <row r="784">
          <cell r="A784" t="str">
            <v>Renovation from F to E (Thousand households)</v>
          </cell>
          <cell r="C784">
            <v>31.029</v>
          </cell>
          <cell r="D784">
            <v>31.895</v>
          </cell>
          <cell r="E784">
            <v>22.914999999999999</v>
          </cell>
          <cell r="F784">
            <v>20.140999999999998</v>
          </cell>
          <cell r="G784">
            <v>15.737</v>
          </cell>
          <cell r="H784">
            <v>13.378</v>
          </cell>
          <cell r="I784">
            <v>11.388</v>
          </cell>
          <cell r="J784">
            <v>9.5850000000000009</v>
          </cell>
          <cell r="K784">
            <v>7.7750000000000004</v>
          </cell>
          <cell r="L784">
            <v>6.2590000000000003</v>
          </cell>
          <cell r="M784">
            <v>4.9909999999999997</v>
          </cell>
          <cell r="N784">
            <v>3.9319999999999999</v>
          </cell>
          <cell r="O784">
            <v>3.1659999999999999</v>
          </cell>
          <cell r="P784">
            <v>2.5289999999999999</v>
          </cell>
          <cell r="Q784">
            <v>2.0720000000000001</v>
          </cell>
          <cell r="R784">
            <v>1.6020000000000001</v>
          </cell>
          <cell r="S784">
            <v>1.1930000000000001</v>
          </cell>
          <cell r="T784">
            <v>0.877</v>
          </cell>
          <cell r="U784">
            <v>0.629</v>
          </cell>
          <cell r="V784">
            <v>0.439</v>
          </cell>
          <cell r="W784">
            <v>0.32900000000000001</v>
          </cell>
          <cell r="X784">
            <v>0.23599999999999999</v>
          </cell>
          <cell r="Y784">
            <v>0.16</v>
          </cell>
          <cell r="Z784">
            <v>9.7000000000000003E-2</v>
          </cell>
          <cell r="AA784">
            <v>4.3999999999999997E-2</v>
          </cell>
          <cell r="AB784">
            <v>0.04</v>
          </cell>
          <cell r="AC784">
            <v>0.04</v>
          </cell>
        </row>
        <row r="785">
          <cell r="A785" t="str">
            <v>Renovation from F to F (Thousand households)</v>
          </cell>
          <cell r="C785">
            <v>37.399000000000001</v>
          </cell>
          <cell r="D785">
            <v>39.344999999999999</v>
          </cell>
          <cell r="E785">
            <v>30.620999999999999</v>
          </cell>
          <cell r="F785">
            <v>27.012</v>
          </cell>
          <cell r="G785">
            <v>21.143000000000001</v>
          </cell>
          <cell r="H785">
            <v>16.681999999999999</v>
          </cell>
          <cell r="I785">
            <v>13.923</v>
          </cell>
          <cell r="J785">
            <v>11.231</v>
          </cell>
          <cell r="K785">
            <v>9.0039999999999996</v>
          </cell>
          <cell r="L785">
            <v>7.2110000000000003</v>
          </cell>
          <cell r="M785">
            <v>5.766</v>
          </cell>
          <cell r="N785">
            <v>4.5979999999999999</v>
          </cell>
          <cell r="O785">
            <v>3.7320000000000002</v>
          </cell>
          <cell r="P785">
            <v>3.0190000000000001</v>
          </cell>
          <cell r="Q785">
            <v>2.44</v>
          </cell>
          <cell r="R785">
            <v>1.944</v>
          </cell>
          <cell r="S785">
            <v>1.407</v>
          </cell>
          <cell r="T785">
            <v>1.0940000000000001</v>
          </cell>
          <cell r="U785">
            <v>0.83899999999999997</v>
          </cell>
          <cell r="V785">
            <v>0.63</v>
          </cell>
          <cell r="W785">
            <v>0.48599999999999999</v>
          </cell>
          <cell r="X785">
            <v>0.35899999999999999</v>
          </cell>
          <cell r="Y785">
            <v>0.25</v>
          </cell>
          <cell r="Z785">
            <v>0.154</v>
          </cell>
          <cell r="AA785">
            <v>7.0999999999999994E-2</v>
          </cell>
          <cell r="AB785">
            <v>6.4000000000000001E-2</v>
          </cell>
          <cell r="AC785">
            <v>5.8999999999999997E-2</v>
          </cell>
        </row>
        <row r="786">
          <cell r="A786" t="str">
            <v>Renovation from F to G (Thousand households)</v>
          </cell>
          <cell r="C786">
            <v>4.0000000000000001E-3</v>
          </cell>
          <cell r="D786">
            <v>3.0000000000000001E-3</v>
          </cell>
          <cell r="E786">
            <v>2E-3</v>
          </cell>
          <cell r="F786">
            <v>2E-3</v>
          </cell>
          <cell r="G786">
            <v>1E-3</v>
          </cell>
          <cell r="H786">
            <v>1E-3</v>
          </cell>
          <cell r="I786">
            <v>1E-3</v>
          </cell>
          <cell r="J786">
            <v>1E-3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</row>
        <row r="787">
          <cell r="A787" t="str">
            <v>Renovation from G to A (Thousand households)</v>
          </cell>
          <cell r="C787">
            <v>5.8999999999999997E-2</v>
          </cell>
          <cell r="D787">
            <v>4.2000000000000003E-2</v>
          </cell>
          <cell r="E787">
            <v>1.4139999999999999</v>
          </cell>
          <cell r="F787">
            <v>1.343</v>
          </cell>
          <cell r="G787">
            <v>1.1419999999999999</v>
          </cell>
          <cell r="H787">
            <v>1.0580000000000001</v>
          </cell>
          <cell r="I787">
            <v>0.81699999999999995</v>
          </cell>
          <cell r="J787">
            <v>0.63700000000000001</v>
          </cell>
          <cell r="K787">
            <v>0.49399999999999999</v>
          </cell>
          <cell r="L787">
            <v>0.38300000000000001</v>
          </cell>
          <cell r="M787">
            <v>0.29699999999999999</v>
          </cell>
          <cell r="N787">
            <v>0.22900000000000001</v>
          </cell>
          <cell r="O787">
            <v>1.9E-2</v>
          </cell>
          <cell r="P787">
            <v>1.4E-2</v>
          </cell>
          <cell r="Q787">
            <v>1.0999999999999999E-2</v>
          </cell>
          <cell r="R787">
            <v>7.0000000000000001E-3</v>
          </cell>
          <cell r="S787">
            <v>5.0000000000000001E-3</v>
          </cell>
          <cell r="T787">
            <v>3.0000000000000001E-3</v>
          </cell>
          <cell r="U787">
            <v>2E-3</v>
          </cell>
          <cell r="V787">
            <v>1E-3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</row>
        <row r="788">
          <cell r="A788" t="str">
            <v>Renovation from G to B (Thousand households)</v>
          </cell>
          <cell r="C788">
            <v>0.32400000000000001</v>
          </cell>
          <cell r="D788">
            <v>0.23599999999999999</v>
          </cell>
          <cell r="E788">
            <v>1.9910000000000001</v>
          </cell>
          <cell r="F788">
            <v>1.7869999999999999</v>
          </cell>
          <cell r="G788">
            <v>1.464</v>
          </cell>
          <cell r="H788">
            <v>1.37</v>
          </cell>
          <cell r="I788">
            <v>1.0580000000000001</v>
          </cell>
          <cell r="J788">
            <v>0.80700000000000005</v>
          </cell>
          <cell r="K788">
            <v>0.61799999999999999</v>
          </cell>
          <cell r="L788">
            <v>0.47499999999999998</v>
          </cell>
          <cell r="M788">
            <v>0.36499999999999999</v>
          </cell>
          <cell r="N788">
            <v>0.28100000000000003</v>
          </cell>
          <cell r="O788">
            <v>5.8000000000000003E-2</v>
          </cell>
          <cell r="P788">
            <v>4.7E-2</v>
          </cell>
          <cell r="Q788">
            <v>4.8000000000000001E-2</v>
          </cell>
          <cell r="R788">
            <v>3.6999999999999998E-2</v>
          </cell>
          <cell r="S788">
            <v>2.9000000000000001E-2</v>
          </cell>
          <cell r="T788">
            <v>2.1000000000000001E-2</v>
          </cell>
          <cell r="U788">
            <v>1.6E-2</v>
          </cell>
          <cell r="V788">
            <v>1.2E-2</v>
          </cell>
          <cell r="W788">
            <v>8.0000000000000002E-3</v>
          </cell>
          <cell r="X788">
            <v>5.0000000000000001E-3</v>
          </cell>
          <cell r="Y788">
            <v>3.0000000000000001E-3</v>
          </cell>
          <cell r="Z788">
            <v>2E-3</v>
          </cell>
          <cell r="AA788">
            <v>1E-3</v>
          </cell>
          <cell r="AB788">
            <v>1E-3</v>
          </cell>
          <cell r="AC788">
            <v>1E-3</v>
          </cell>
        </row>
        <row r="789">
          <cell r="A789" t="str">
            <v>Renovation from G to C (Thousand households)</v>
          </cell>
          <cell r="C789">
            <v>13.916</v>
          </cell>
          <cell r="D789">
            <v>10.029</v>
          </cell>
          <cell r="E789">
            <v>14.603999999999999</v>
          </cell>
          <cell r="F789">
            <v>10.958</v>
          </cell>
          <cell r="G789">
            <v>8.2859999999999996</v>
          </cell>
          <cell r="H789">
            <v>8.6029999999999998</v>
          </cell>
          <cell r="I789">
            <v>6.1029999999999998</v>
          </cell>
          <cell r="J789">
            <v>4.3529999999999998</v>
          </cell>
          <cell r="K789">
            <v>3.1749999999999998</v>
          </cell>
          <cell r="L789">
            <v>2.3559999999999999</v>
          </cell>
          <cell r="M789">
            <v>1.764</v>
          </cell>
          <cell r="N789">
            <v>1.3280000000000001</v>
          </cell>
          <cell r="O789">
            <v>0.93899999999999995</v>
          </cell>
          <cell r="P789">
            <v>0.70899999999999996</v>
          </cell>
          <cell r="Q789">
            <v>0.74099999999999999</v>
          </cell>
          <cell r="R789">
            <v>0.53600000000000003</v>
          </cell>
          <cell r="S789">
            <v>0.44400000000000001</v>
          </cell>
          <cell r="T789">
            <v>0.255</v>
          </cell>
          <cell r="U789">
            <v>0.17599999999999999</v>
          </cell>
          <cell r="V789">
            <v>0.11899999999999999</v>
          </cell>
          <cell r="W789">
            <v>8.1000000000000003E-2</v>
          </cell>
          <cell r="X789">
            <v>5.5E-2</v>
          </cell>
          <cell r="Y789">
            <v>3.5000000000000003E-2</v>
          </cell>
          <cell r="Z789">
            <v>0.02</v>
          </cell>
          <cell r="AA789">
            <v>8.0000000000000002E-3</v>
          </cell>
          <cell r="AB789">
            <v>7.0000000000000001E-3</v>
          </cell>
          <cell r="AC789">
            <v>8.0000000000000002E-3</v>
          </cell>
        </row>
        <row r="790">
          <cell r="A790" t="str">
            <v>Renovation from G to D (Thousand households)</v>
          </cell>
          <cell r="C790">
            <v>39.664000000000001</v>
          </cell>
          <cell r="D790">
            <v>30.928000000000001</v>
          </cell>
          <cell r="E790">
            <v>78.930000000000007</v>
          </cell>
          <cell r="F790">
            <v>66.631</v>
          </cell>
          <cell r="G790">
            <v>48.177999999999997</v>
          </cell>
          <cell r="H790">
            <v>45.381999999999998</v>
          </cell>
          <cell r="I790">
            <v>27.271000000000001</v>
          </cell>
          <cell r="J790">
            <v>16.172999999999998</v>
          </cell>
          <cell r="K790">
            <v>9.2810000000000006</v>
          </cell>
          <cell r="L790">
            <v>4.9809999999999999</v>
          </cell>
          <cell r="M790">
            <v>2.3730000000000002</v>
          </cell>
          <cell r="N790">
            <v>0.84399999999999997</v>
          </cell>
          <cell r="O790">
            <v>0.496</v>
          </cell>
          <cell r="P790">
            <v>0.34699999999999998</v>
          </cell>
          <cell r="Q790">
            <v>0.312</v>
          </cell>
          <cell r="R790">
            <v>0.21099999999999999</v>
          </cell>
          <cell r="S790">
            <v>0.16200000000000001</v>
          </cell>
          <cell r="T790">
            <v>9.5000000000000001E-2</v>
          </cell>
          <cell r="U790">
            <v>6.3E-2</v>
          </cell>
          <cell r="V790">
            <v>4.2000000000000003E-2</v>
          </cell>
          <cell r="W790">
            <v>2.9000000000000001E-2</v>
          </cell>
          <cell r="X790">
            <v>0.02</v>
          </cell>
          <cell r="Y790">
            <v>1.2E-2</v>
          </cell>
          <cell r="Z790">
            <v>7.0000000000000001E-3</v>
          </cell>
          <cell r="AA790">
            <v>3.0000000000000001E-3</v>
          </cell>
          <cell r="AB790">
            <v>2E-3</v>
          </cell>
          <cell r="AC790">
            <v>3.0000000000000001E-3</v>
          </cell>
        </row>
        <row r="791">
          <cell r="A791" t="str">
            <v>Renovation from G to E (Thousand households)</v>
          </cell>
          <cell r="C791">
            <v>6.7229999999999999</v>
          </cell>
          <cell r="D791">
            <v>4.6820000000000004</v>
          </cell>
          <cell r="E791">
            <v>10.468999999999999</v>
          </cell>
          <cell r="F791">
            <v>8.5839999999999996</v>
          </cell>
          <cell r="G791">
            <v>6.1390000000000002</v>
          </cell>
          <cell r="H791">
            <v>5.335</v>
          </cell>
          <cell r="I791">
            <v>3.4009999999999998</v>
          </cell>
          <cell r="J791">
            <v>2.2389999999999999</v>
          </cell>
          <cell r="K791">
            <v>1.494</v>
          </cell>
          <cell r="L791">
            <v>1.004</v>
          </cell>
          <cell r="M791">
            <v>0.67800000000000005</v>
          </cell>
          <cell r="N791">
            <v>0.45900000000000002</v>
          </cell>
          <cell r="O791">
            <v>0.33400000000000002</v>
          </cell>
          <cell r="P791">
            <v>0.247</v>
          </cell>
          <cell r="Q791">
            <v>0.21099999999999999</v>
          </cell>
          <cell r="R791">
            <v>0.151</v>
          </cell>
          <cell r="S791">
            <v>0.106</v>
          </cell>
          <cell r="T791">
            <v>7.0000000000000007E-2</v>
          </cell>
          <cell r="U791">
            <v>4.8000000000000001E-2</v>
          </cell>
          <cell r="V791">
            <v>3.2000000000000001E-2</v>
          </cell>
          <cell r="W791">
            <v>2.3E-2</v>
          </cell>
          <cell r="X791">
            <v>1.4999999999999999E-2</v>
          </cell>
          <cell r="Y791">
            <v>0.01</v>
          </cell>
          <cell r="Z791">
            <v>5.0000000000000001E-3</v>
          </cell>
          <cell r="AA791">
            <v>2E-3</v>
          </cell>
          <cell r="AB791">
            <v>2E-3</v>
          </cell>
          <cell r="AC791">
            <v>2E-3</v>
          </cell>
        </row>
        <row r="792">
          <cell r="A792" t="str">
            <v>Renovation from G to F (Thousand households)</v>
          </cell>
          <cell r="C792">
            <v>19.41</v>
          </cell>
          <cell r="D792">
            <v>13.603</v>
          </cell>
          <cell r="E792">
            <v>8.3640000000000008</v>
          </cell>
          <cell r="F792">
            <v>6.3410000000000002</v>
          </cell>
          <cell r="G792">
            <v>4.6280000000000001</v>
          </cell>
          <cell r="H792">
            <v>3.6469999999999998</v>
          </cell>
          <cell r="I792">
            <v>2.6619999999999999</v>
          </cell>
          <cell r="J792">
            <v>2.0209999999999999</v>
          </cell>
          <cell r="K792">
            <v>1.5509999999999999</v>
          </cell>
          <cell r="L792">
            <v>1.2010000000000001</v>
          </cell>
          <cell r="M792">
            <v>0.93700000000000006</v>
          </cell>
          <cell r="N792">
            <v>0.73399999999999999</v>
          </cell>
          <cell r="O792">
            <v>0.57399999999999995</v>
          </cell>
          <cell r="P792">
            <v>0.45200000000000001</v>
          </cell>
          <cell r="Q792">
            <v>0.38</v>
          </cell>
          <cell r="R792">
            <v>0.29099999999999998</v>
          </cell>
          <cell r="S792">
            <v>0.215</v>
          </cell>
          <cell r="T792">
            <v>0.16</v>
          </cell>
          <cell r="U792">
            <v>0.11600000000000001</v>
          </cell>
          <cell r="V792">
            <v>8.2000000000000003E-2</v>
          </cell>
          <cell r="W792">
            <v>0.06</v>
          </cell>
          <cell r="X792">
            <v>4.2000000000000003E-2</v>
          </cell>
          <cell r="Y792">
            <v>2.8000000000000001E-2</v>
          </cell>
          <cell r="Z792">
            <v>1.6E-2</v>
          </cell>
          <cell r="AA792">
            <v>7.0000000000000001E-3</v>
          </cell>
          <cell r="AB792">
            <v>6.0000000000000001E-3</v>
          </cell>
          <cell r="AC792">
            <v>5.0000000000000001E-3</v>
          </cell>
        </row>
        <row r="793">
          <cell r="A793" t="str">
            <v>Renovation from G to G (Thousand households)</v>
          </cell>
          <cell r="C793">
            <v>27.582999999999998</v>
          </cell>
          <cell r="D793">
            <v>21.716999999999999</v>
          </cell>
          <cell r="E793">
            <v>12.795999999999999</v>
          </cell>
          <cell r="F793">
            <v>8.8450000000000006</v>
          </cell>
          <cell r="G793">
            <v>5.6749999999999998</v>
          </cell>
          <cell r="H793">
            <v>3.4660000000000002</v>
          </cell>
          <cell r="I793">
            <v>2.008</v>
          </cell>
          <cell r="J793">
            <v>1.1839999999999999</v>
          </cell>
          <cell r="K793">
            <v>0.65400000000000003</v>
          </cell>
          <cell r="L793">
            <v>0.33200000000000002</v>
          </cell>
          <cell r="M793">
            <v>0.14099999999999999</v>
          </cell>
          <cell r="N793">
            <v>0.03</v>
          </cell>
          <cell r="O793">
            <v>2.1000000000000001E-2</v>
          </cell>
          <cell r="P793">
            <v>1.4999999999999999E-2</v>
          </cell>
          <cell r="Q793">
            <v>1.0999999999999999E-2</v>
          </cell>
          <cell r="R793">
            <v>8.0000000000000002E-3</v>
          </cell>
          <cell r="S793">
            <v>6.0000000000000001E-3</v>
          </cell>
          <cell r="T793">
            <v>4.0000000000000001E-3</v>
          </cell>
          <cell r="U793">
            <v>3.0000000000000001E-3</v>
          </cell>
          <cell r="V793">
            <v>2E-3</v>
          </cell>
          <cell r="W793">
            <v>1E-3</v>
          </cell>
          <cell r="X793">
            <v>1E-3</v>
          </cell>
          <cell r="Y793">
            <v>1E-3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</row>
        <row r="794">
          <cell r="A794" t="str">
            <v>Renovation Multi-family - Owner-occupied (Thousand households)</v>
          </cell>
          <cell r="C794">
            <v>66.858999999999995</v>
          </cell>
          <cell r="D794">
            <v>69.528999999999996</v>
          </cell>
          <cell r="E794">
            <v>68.545000000000002</v>
          </cell>
          <cell r="F794">
            <v>71.629000000000005</v>
          </cell>
          <cell r="G794">
            <v>68.87</v>
          </cell>
          <cell r="H794">
            <v>72.831999999999994</v>
          </cell>
          <cell r="I794">
            <v>73.492999999999995</v>
          </cell>
          <cell r="J794">
            <v>70.084000000000003</v>
          </cell>
          <cell r="K794">
            <v>66.671000000000006</v>
          </cell>
          <cell r="L794">
            <v>63.5</v>
          </cell>
          <cell r="M794">
            <v>60.5</v>
          </cell>
          <cell r="N794">
            <v>57.697000000000003</v>
          </cell>
          <cell r="O794">
            <v>85.98</v>
          </cell>
          <cell r="P794">
            <v>80.191999999999993</v>
          </cell>
          <cell r="Q794">
            <v>78.143000000000001</v>
          </cell>
          <cell r="R794">
            <v>72.691000000000003</v>
          </cell>
          <cell r="S794">
            <v>142.85599999999999</v>
          </cell>
          <cell r="T794">
            <v>88.088999999999999</v>
          </cell>
          <cell r="U794">
            <v>81.698999999999998</v>
          </cell>
          <cell r="V794">
            <v>75.69</v>
          </cell>
          <cell r="W794">
            <v>70.771000000000001</v>
          </cell>
          <cell r="X794">
            <v>66.355000000000004</v>
          </cell>
          <cell r="Y794">
            <v>62.029000000000003</v>
          </cell>
          <cell r="Z794">
            <v>57.92</v>
          </cell>
          <cell r="AA794">
            <v>54.031999999999996</v>
          </cell>
          <cell r="AB794">
            <v>52.097999999999999</v>
          </cell>
          <cell r="AC794">
            <v>51.326999999999998</v>
          </cell>
        </row>
        <row r="795">
          <cell r="A795" t="str">
            <v>Renovation Multi-family - Privately rented (Thousand households)</v>
          </cell>
          <cell r="C795">
            <v>75.745999999999995</v>
          </cell>
          <cell r="D795">
            <v>66.231999999999999</v>
          </cell>
          <cell r="E795">
            <v>94.700999999999993</v>
          </cell>
          <cell r="F795">
            <v>79.852999999999994</v>
          </cell>
          <cell r="G795">
            <v>67.77</v>
          </cell>
          <cell r="H795">
            <v>60.186</v>
          </cell>
          <cell r="I795">
            <v>52.585999999999999</v>
          </cell>
          <cell r="J795">
            <v>232.476</v>
          </cell>
          <cell r="K795">
            <v>187.34299999999999</v>
          </cell>
          <cell r="L795">
            <v>151.661</v>
          </cell>
          <cell r="M795">
            <v>123.423</v>
          </cell>
          <cell r="N795">
            <v>101.114</v>
          </cell>
          <cell r="O795">
            <v>83.858999999999995</v>
          </cell>
          <cell r="P795">
            <v>377.83499999999998</v>
          </cell>
          <cell r="Q795">
            <v>329.00200000000001</v>
          </cell>
          <cell r="R795">
            <v>286.42099999999999</v>
          </cell>
          <cell r="S795">
            <v>254.143</v>
          </cell>
          <cell r="T795">
            <v>214.69200000000001</v>
          </cell>
          <cell r="U795">
            <v>186.93100000000001</v>
          </cell>
          <cell r="V795">
            <v>162.78700000000001</v>
          </cell>
          <cell r="W795">
            <v>146.733</v>
          </cell>
          <cell r="X795">
            <v>132.81800000000001</v>
          </cell>
          <cell r="Y795">
            <v>120.76</v>
          </cell>
          <cell r="Z795">
            <v>110.053</v>
          </cell>
          <cell r="AA795">
            <v>100.691</v>
          </cell>
          <cell r="AB795">
            <v>91.918999999999997</v>
          </cell>
          <cell r="AC795">
            <v>84.403999999999996</v>
          </cell>
        </row>
        <row r="796">
          <cell r="A796" t="str">
            <v>Renovation Multi-family - Social-housing (Thousand households)</v>
          </cell>
          <cell r="C796">
            <v>15.24</v>
          </cell>
          <cell r="D796">
            <v>61.817999999999998</v>
          </cell>
          <cell r="E796">
            <v>138.22499999999999</v>
          </cell>
          <cell r="F796">
            <v>177.92</v>
          </cell>
          <cell r="G796">
            <v>219.637</v>
          </cell>
          <cell r="H796">
            <v>230.077</v>
          </cell>
          <cell r="I796">
            <v>231.42599999999999</v>
          </cell>
          <cell r="J796">
            <v>244.078</v>
          </cell>
          <cell r="K796">
            <v>232.88399999999999</v>
          </cell>
          <cell r="L796">
            <v>249.11799999999999</v>
          </cell>
          <cell r="M796">
            <v>290.54000000000002</v>
          </cell>
          <cell r="N796">
            <v>302.61099999999999</v>
          </cell>
          <cell r="O796">
            <v>272.92</v>
          </cell>
          <cell r="P796">
            <v>232.45400000000001</v>
          </cell>
          <cell r="Q796">
            <v>252.33099999999999</v>
          </cell>
          <cell r="R796">
            <v>297.60500000000002</v>
          </cell>
          <cell r="S796">
            <v>311.46800000000002</v>
          </cell>
          <cell r="T796">
            <v>313.322</v>
          </cell>
          <cell r="U796">
            <v>323.851</v>
          </cell>
          <cell r="V796">
            <v>300.92200000000003</v>
          </cell>
          <cell r="W796">
            <v>333.98</v>
          </cell>
          <cell r="X796">
            <v>318.22300000000001</v>
          </cell>
          <cell r="Y796">
            <v>305.00599999999997</v>
          </cell>
          <cell r="Z796">
            <v>292.13099999999997</v>
          </cell>
          <cell r="AA796">
            <v>280.27999999999997</v>
          </cell>
          <cell r="AB796">
            <v>268.95699999999999</v>
          </cell>
          <cell r="AC796">
            <v>258.09399999999999</v>
          </cell>
        </row>
        <row r="797">
          <cell r="A797" t="str">
            <v>Renovation Multi-family (Thousand households)</v>
          </cell>
          <cell r="C797">
            <v>157.845</v>
          </cell>
          <cell r="D797">
            <v>197.58</v>
          </cell>
          <cell r="E797">
            <v>301.471</v>
          </cell>
          <cell r="F797">
            <v>329.40300000000002</v>
          </cell>
          <cell r="G797">
            <v>356.27800000000002</v>
          </cell>
          <cell r="H797">
            <v>363.09500000000003</v>
          </cell>
          <cell r="I797">
            <v>357.50599999999997</v>
          </cell>
          <cell r="J797">
            <v>546.63800000000003</v>
          </cell>
          <cell r="K797">
            <v>486.89800000000002</v>
          </cell>
          <cell r="L797">
            <v>464.279</v>
          </cell>
          <cell r="M797">
            <v>474.46199999999999</v>
          </cell>
          <cell r="N797">
            <v>461.42200000000003</v>
          </cell>
          <cell r="O797">
            <v>442.75900000000001</v>
          </cell>
          <cell r="P797">
            <v>690.48199999999997</v>
          </cell>
          <cell r="Q797">
            <v>659.476</v>
          </cell>
          <cell r="R797">
            <v>656.71799999999996</v>
          </cell>
          <cell r="S797">
            <v>708.46699999999998</v>
          </cell>
          <cell r="T797">
            <v>616.10299999999995</v>
          </cell>
          <cell r="U797">
            <v>592.48099999999999</v>
          </cell>
          <cell r="V797">
            <v>539.399</v>
          </cell>
          <cell r="W797">
            <v>551.48500000000001</v>
          </cell>
          <cell r="X797">
            <v>517.39599999999996</v>
          </cell>
          <cell r="Y797">
            <v>487.79500000000002</v>
          </cell>
          <cell r="Z797">
            <v>460.10300000000001</v>
          </cell>
          <cell r="AA797">
            <v>435.00299999999999</v>
          </cell>
          <cell r="AB797">
            <v>412.97300000000001</v>
          </cell>
          <cell r="AC797">
            <v>393.82499999999999</v>
          </cell>
        </row>
        <row r="798">
          <cell r="A798" t="str">
            <v>Renovation obligation (Thousand households)</v>
          </cell>
          <cell r="C798">
            <v>68.069999999999993</v>
          </cell>
          <cell r="D798">
            <v>51.283000000000001</v>
          </cell>
          <cell r="E798">
            <v>129.36099999999999</v>
          </cell>
          <cell r="F798">
            <v>115.063</v>
          </cell>
          <cell r="G798">
            <v>85.805000000000007</v>
          </cell>
          <cell r="H798">
            <v>62.671999999999997</v>
          </cell>
          <cell r="I798">
            <v>86.650999999999996</v>
          </cell>
          <cell r="J798">
            <v>283.88299999999998</v>
          </cell>
          <cell r="K798">
            <v>219.834</v>
          </cell>
          <cell r="L798">
            <v>169.697</v>
          </cell>
          <cell r="M798">
            <v>130.48400000000001</v>
          </cell>
          <cell r="N798">
            <v>99.858000000000004</v>
          </cell>
          <cell r="O798">
            <v>118.992</v>
          </cell>
          <cell r="P798">
            <v>541.38199999999995</v>
          </cell>
          <cell r="Q798">
            <v>472.25599999999997</v>
          </cell>
          <cell r="R798">
            <v>412.39</v>
          </cell>
          <cell r="S798">
            <v>528.41499999999996</v>
          </cell>
          <cell r="T798">
            <v>468.12</v>
          </cell>
          <cell r="U798">
            <v>417.02100000000002</v>
          </cell>
          <cell r="V798">
            <v>371.50099999999998</v>
          </cell>
          <cell r="W798">
            <v>342.685</v>
          </cell>
          <cell r="X798">
            <v>316.90800000000002</v>
          </cell>
          <cell r="Y798">
            <v>293.17200000000003</v>
          </cell>
          <cell r="Z798">
            <v>271.82900000000001</v>
          </cell>
          <cell r="AA798">
            <v>252.37299999999999</v>
          </cell>
          <cell r="AB798">
            <v>233.786</v>
          </cell>
          <cell r="AC798">
            <v>216.27799999999999</v>
          </cell>
        </row>
        <row r="799">
          <cell r="A799" t="str">
            <v>Renovation Obligation pb (Thousand households)</v>
          </cell>
          <cell r="C799">
            <v>68.069999999999993</v>
          </cell>
          <cell r="D799">
            <v>51.283000000000001</v>
          </cell>
          <cell r="E799">
            <v>129.36099999999999</v>
          </cell>
          <cell r="F799">
            <v>97.164000000000001</v>
          </cell>
          <cell r="G799">
            <v>72.704999999999998</v>
          </cell>
          <cell r="H799">
            <v>53.692</v>
          </cell>
          <cell r="I799">
            <v>39.497</v>
          </cell>
          <cell r="J799">
            <v>246.13499999999999</v>
          </cell>
          <cell r="K799">
            <v>189.61799999999999</v>
          </cell>
          <cell r="L799">
            <v>145.54300000000001</v>
          </cell>
          <cell r="M799">
            <v>111.23099999999999</v>
          </cell>
          <cell r="N799">
            <v>84.584999999999994</v>
          </cell>
          <cell r="O799">
            <v>65.194999999999993</v>
          </cell>
          <cell r="P799">
            <v>494.72899999999998</v>
          </cell>
          <cell r="Q799">
            <v>432.233</v>
          </cell>
          <cell r="R799">
            <v>378.096</v>
          </cell>
          <cell r="S799">
            <v>329.22300000000001</v>
          </cell>
          <cell r="T799">
            <v>284.28300000000002</v>
          </cell>
          <cell r="U799">
            <v>247.422</v>
          </cell>
          <cell r="V799">
            <v>214.99100000000001</v>
          </cell>
          <cell r="W799">
            <v>194.50800000000001</v>
          </cell>
          <cell r="X799">
            <v>176.35900000000001</v>
          </cell>
          <cell r="Y799">
            <v>160.34700000000001</v>
          </cell>
          <cell r="Z799">
            <v>146.04599999999999</v>
          </cell>
          <cell r="AA799">
            <v>133.38300000000001</v>
          </cell>
          <cell r="AB799">
            <v>121.029</v>
          </cell>
          <cell r="AC799">
            <v>109.84</v>
          </cell>
        </row>
        <row r="800">
          <cell r="A800" t="str">
            <v>Renovation Obligation po (Thousand households)</v>
          </cell>
          <cell r="F800">
            <v>17.899000000000001</v>
          </cell>
          <cell r="G800">
            <v>13.1</v>
          </cell>
          <cell r="H800">
            <v>8.9789999999999992</v>
          </cell>
          <cell r="I800">
            <v>47.154000000000003</v>
          </cell>
          <cell r="J800">
            <v>37.749000000000002</v>
          </cell>
          <cell r="K800">
            <v>30.216000000000001</v>
          </cell>
          <cell r="L800">
            <v>24.154</v>
          </cell>
          <cell r="M800">
            <v>19.253</v>
          </cell>
          <cell r="N800">
            <v>15.272</v>
          </cell>
          <cell r="O800">
            <v>53.796999999999997</v>
          </cell>
          <cell r="P800">
            <v>46.652999999999999</v>
          </cell>
          <cell r="Q800">
            <v>40.023000000000003</v>
          </cell>
          <cell r="R800">
            <v>34.293999999999997</v>
          </cell>
          <cell r="S800">
            <v>199.19200000000001</v>
          </cell>
          <cell r="T800">
            <v>183.83699999999999</v>
          </cell>
          <cell r="U800">
            <v>169.59899999999999</v>
          </cell>
          <cell r="V800">
            <v>156.511</v>
          </cell>
          <cell r="W800">
            <v>148.178</v>
          </cell>
          <cell r="X800">
            <v>140.54900000000001</v>
          </cell>
          <cell r="Y800">
            <v>132.82499999999999</v>
          </cell>
          <cell r="Z800">
            <v>125.78400000000001</v>
          </cell>
          <cell r="AA800">
            <v>118.99</v>
          </cell>
          <cell r="AB800">
            <v>112.75700000000001</v>
          </cell>
          <cell r="AC800">
            <v>106.438</v>
          </cell>
        </row>
        <row r="801">
          <cell r="A801" t="str">
            <v>Renovation Single-family - Owner-occupied (Thousand households)</v>
          </cell>
          <cell r="C801">
            <v>373.90800000000002</v>
          </cell>
          <cell r="D801">
            <v>360.02300000000002</v>
          </cell>
          <cell r="E801">
            <v>458.15300000000002</v>
          </cell>
          <cell r="F801">
            <v>465.93099999999998</v>
          </cell>
          <cell r="G801">
            <v>435.46899999999999</v>
          </cell>
          <cell r="H801">
            <v>448.279</v>
          </cell>
          <cell r="I801">
            <v>445.77100000000002</v>
          </cell>
          <cell r="J801">
            <v>403.73599999999999</v>
          </cell>
          <cell r="K801">
            <v>368.38600000000002</v>
          </cell>
          <cell r="L801">
            <v>339.786</v>
          </cell>
          <cell r="M801">
            <v>316.142</v>
          </cell>
          <cell r="N801">
            <v>296.3</v>
          </cell>
          <cell r="O801">
            <v>284.07299999999998</v>
          </cell>
          <cell r="P801">
            <v>268.70100000000002</v>
          </cell>
          <cell r="Q801">
            <v>264.69499999999999</v>
          </cell>
          <cell r="R801">
            <v>249.39599999999999</v>
          </cell>
          <cell r="S801">
            <v>407.23700000000002</v>
          </cell>
          <cell r="T801">
            <v>356.74900000000002</v>
          </cell>
          <cell r="U801">
            <v>337.65199999999999</v>
          </cell>
          <cell r="V801">
            <v>319.60199999999998</v>
          </cell>
          <cell r="W801">
            <v>305.423</v>
          </cell>
          <cell r="X801">
            <v>295.07900000000001</v>
          </cell>
          <cell r="Y801">
            <v>285.70100000000002</v>
          </cell>
          <cell r="Z801">
            <v>276.21899999999999</v>
          </cell>
          <cell r="AA801">
            <v>267.637</v>
          </cell>
          <cell r="AB801">
            <v>258.41000000000003</v>
          </cell>
          <cell r="AC801">
            <v>254.31100000000001</v>
          </cell>
        </row>
        <row r="802">
          <cell r="A802" t="str">
            <v>Renovation Single-family - Privately rented (Thousand households)</v>
          </cell>
          <cell r="C802">
            <v>54.747</v>
          </cell>
          <cell r="D802">
            <v>45.585999999999999</v>
          </cell>
          <cell r="E802">
            <v>100.999</v>
          </cell>
          <cell r="F802">
            <v>79.918999999999997</v>
          </cell>
          <cell r="G802">
            <v>63.454999999999998</v>
          </cell>
          <cell r="H802">
            <v>53.56</v>
          </cell>
          <cell r="I802">
            <v>43.134</v>
          </cell>
          <cell r="J802">
            <v>67.227999999999994</v>
          </cell>
          <cell r="K802">
            <v>52.518999999999998</v>
          </cell>
          <cell r="L802">
            <v>41.478000000000002</v>
          </cell>
          <cell r="M802">
            <v>33.203000000000003</v>
          </cell>
          <cell r="N802">
            <v>27.021000000000001</v>
          </cell>
          <cell r="O802">
            <v>23.204999999999998</v>
          </cell>
          <cell r="P802">
            <v>157.43299999999999</v>
          </cell>
          <cell r="Q802">
            <v>143.04400000000001</v>
          </cell>
          <cell r="R802">
            <v>129.458</v>
          </cell>
          <cell r="S802">
            <v>118.09099999999999</v>
          </cell>
          <cell r="T802">
            <v>103.76300000000001</v>
          </cell>
          <cell r="U802">
            <v>93.215000000000003</v>
          </cell>
          <cell r="V802">
            <v>83.588999999999999</v>
          </cell>
          <cell r="W802">
            <v>77.870999999999995</v>
          </cell>
          <cell r="X802">
            <v>72.927000000000007</v>
          </cell>
          <cell r="Y802">
            <v>68.302999999999997</v>
          </cell>
          <cell r="Z802">
            <v>64.081999999999994</v>
          </cell>
          <cell r="AA802">
            <v>60.218000000000004</v>
          </cell>
          <cell r="AB802">
            <v>56.081000000000003</v>
          </cell>
          <cell r="AC802">
            <v>52.365000000000002</v>
          </cell>
        </row>
        <row r="803">
          <cell r="A803" t="str">
            <v>Renovation Single-family - Social-housing (Thousand households)</v>
          </cell>
          <cell r="C803">
            <v>14.484</v>
          </cell>
          <cell r="D803">
            <v>29.827999999999999</v>
          </cell>
          <cell r="E803">
            <v>46.274000000000001</v>
          </cell>
          <cell r="F803">
            <v>55.375</v>
          </cell>
          <cell r="G803">
            <v>55.5</v>
          </cell>
          <cell r="H803">
            <v>54.250999999999998</v>
          </cell>
          <cell r="I803">
            <v>57.676000000000002</v>
          </cell>
          <cell r="J803">
            <v>63.179000000000002</v>
          </cell>
          <cell r="K803">
            <v>68.290000000000006</v>
          </cell>
          <cell r="L803">
            <v>77.825999999999993</v>
          </cell>
          <cell r="M803">
            <v>93.801000000000002</v>
          </cell>
          <cell r="N803">
            <v>94.174000000000007</v>
          </cell>
          <cell r="O803">
            <v>97.938000000000002</v>
          </cell>
          <cell r="P803">
            <v>88.216999999999999</v>
          </cell>
          <cell r="Q803">
            <v>84.174000000000007</v>
          </cell>
          <cell r="R803">
            <v>82.694000000000003</v>
          </cell>
          <cell r="S803">
            <v>79.022000000000006</v>
          </cell>
          <cell r="T803">
            <v>72.537999999999997</v>
          </cell>
          <cell r="U803">
            <v>69.73</v>
          </cell>
          <cell r="V803">
            <v>32.656999999999996</v>
          </cell>
          <cell r="W803">
            <v>36.765000000000001</v>
          </cell>
          <cell r="X803">
            <v>35.470999999999997</v>
          </cell>
          <cell r="Y803">
            <v>34.463000000000001</v>
          </cell>
          <cell r="Z803">
            <v>33.381999999999998</v>
          </cell>
          <cell r="AA803">
            <v>32.442</v>
          </cell>
          <cell r="AB803">
            <v>31.51</v>
          </cell>
          <cell r="AC803">
            <v>30.576000000000001</v>
          </cell>
        </row>
        <row r="804">
          <cell r="A804" t="str">
            <v>Renovation Single-family (Thousand households)</v>
          </cell>
          <cell r="C804">
            <v>443.13900000000001</v>
          </cell>
          <cell r="D804">
            <v>435.43700000000001</v>
          </cell>
          <cell r="E804">
            <v>605.42499999999995</v>
          </cell>
          <cell r="F804">
            <v>601.22400000000005</v>
          </cell>
          <cell r="G804">
            <v>554.42399999999998</v>
          </cell>
          <cell r="H804">
            <v>556.09100000000001</v>
          </cell>
          <cell r="I804">
            <v>546.58199999999999</v>
          </cell>
          <cell r="J804">
            <v>534.14400000000001</v>
          </cell>
          <cell r="K804">
            <v>489.19499999999999</v>
          </cell>
          <cell r="L804">
            <v>459.09</v>
          </cell>
          <cell r="M804">
            <v>443.14699999999999</v>
          </cell>
          <cell r="N804">
            <v>417.495</v>
          </cell>
          <cell r="O804">
            <v>405.21600000000001</v>
          </cell>
          <cell r="P804">
            <v>514.351</v>
          </cell>
          <cell r="Q804">
            <v>491.91399999999999</v>
          </cell>
          <cell r="R804">
            <v>461.548</v>
          </cell>
          <cell r="S804">
            <v>604.351</v>
          </cell>
          <cell r="T804">
            <v>533.04999999999995</v>
          </cell>
          <cell r="U804">
            <v>500.596</v>
          </cell>
          <cell r="V804">
            <v>435.84800000000001</v>
          </cell>
          <cell r="W804">
            <v>420.05900000000003</v>
          </cell>
          <cell r="X804">
            <v>403.476</v>
          </cell>
          <cell r="Y804">
            <v>388.46699999999998</v>
          </cell>
          <cell r="Z804">
            <v>373.68299999999999</v>
          </cell>
          <cell r="AA804">
            <v>360.298</v>
          </cell>
          <cell r="AB804">
            <v>346.00099999999998</v>
          </cell>
          <cell r="AC804">
            <v>337.25200000000001</v>
          </cell>
        </row>
        <row r="805">
          <cell r="A805" t="str">
            <v>Renovation with heater replacement (Thousand households)</v>
          </cell>
          <cell r="C805">
            <v>27.279</v>
          </cell>
          <cell r="D805">
            <v>31.629000000000001</v>
          </cell>
          <cell r="E805">
            <v>59.14</v>
          </cell>
          <cell r="F805">
            <v>62.933</v>
          </cell>
          <cell r="G805">
            <v>65.132999999999996</v>
          </cell>
          <cell r="H805">
            <v>67.128</v>
          </cell>
          <cell r="I805">
            <v>66.837000000000003</v>
          </cell>
          <cell r="J805">
            <v>68.040000000000006</v>
          </cell>
          <cell r="K805">
            <v>67.778999999999996</v>
          </cell>
          <cell r="L805">
            <v>70.132000000000005</v>
          </cell>
          <cell r="M805">
            <v>75.438999999999993</v>
          </cell>
          <cell r="N805">
            <v>76.519000000000005</v>
          </cell>
          <cell r="O805">
            <v>61.444000000000003</v>
          </cell>
          <cell r="P805">
            <v>57.826999999999998</v>
          </cell>
          <cell r="Q805">
            <v>59.052</v>
          </cell>
          <cell r="R805">
            <v>53.287999999999997</v>
          </cell>
          <cell r="S805">
            <v>60.783999999999999</v>
          </cell>
          <cell r="T805">
            <v>49.393999999999998</v>
          </cell>
          <cell r="U805">
            <v>49.911000000000001</v>
          </cell>
          <cell r="V805">
            <v>38.89</v>
          </cell>
          <cell r="W805">
            <v>39.223999999999997</v>
          </cell>
          <cell r="X805">
            <v>31.239000000000001</v>
          </cell>
          <cell r="Y805">
            <v>40.802999999999997</v>
          </cell>
          <cell r="Z805">
            <v>34.283999999999999</v>
          </cell>
          <cell r="AA805">
            <v>38.024000000000001</v>
          </cell>
          <cell r="AB805">
            <v>42.177999999999997</v>
          </cell>
          <cell r="AC805">
            <v>46.122999999999998</v>
          </cell>
        </row>
        <row r="806">
          <cell r="A806" t="str">
            <v>Rent C1 (euro/year,household)</v>
          </cell>
          <cell r="C806">
            <v>1048.914</v>
          </cell>
          <cell r="D806">
            <v>955.14800000000002</v>
          </cell>
          <cell r="E806">
            <v>956.00300000000004</v>
          </cell>
          <cell r="F806">
            <v>901.43299999999999</v>
          </cell>
          <cell r="G806">
            <v>846.66700000000003</v>
          </cell>
          <cell r="H806">
            <v>812.21</v>
          </cell>
          <cell r="I806">
            <v>761.69500000000005</v>
          </cell>
          <cell r="J806">
            <v>626.89599999999996</v>
          </cell>
          <cell r="K806">
            <v>601.88300000000004</v>
          </cell>
          <cell r="L806">
            <v>576.25</v>
          </cell>
          <cell r="M806">
            <v>550.38800000000003</v>
          </cell>
          <cell r="N806">
            <v>524.81399999999996</v>
          </cell>
          <cell r="O806">
            <v>515.04200000000003</v>
          </cell>
          <cell r="P806">
            <v>476.387</v>
          </cell>
          <cell r="Q806">
            <v>488.42700000000002</v>
          </cell>
          <cell r="R806">
            <v>489.34199999999998</v>
          </cell>
          <cell r="S806">
            <v>545.14300000000003</v>
          </cell>
          <cell r="T806">
            <v>489.95400000000001</v>
          </cell>
          <cell r="U806">
            <v>490.65100000000001</v>
          </cell>
          <cell r="V806">
            <v>491.53399999999999</v>
          </cell>
          <cell r="W806">
            <v>492.69</v>
          </cell>
          <cell r="X806">
            <v>493.85300000000001</v>
          </cell>
          <cell r="Y806">
            <v>494.08699999999999</v>
          </cell>
          <cell r="Z806">
            <v>494.39699999999999</v>
          </cell>
          <cell r="AA806">
            <v>494.52600000000001</v>
          </cell>
          <cell r="AB806">
            <v>494.45100000000002</v>
          </cell>
          <cell r="AC806">
            <v>504.303</v>
          </cell>
        </row>
        <row r="807">
          <cell r="A807" t="str">
            <v>Rent C2 (euro/year,household)</v>
          </cell>
          <cell r="C807">
            <v>1016.528</v>
          </cell>
          <cell r="D807">
            <v>933.072</v>
          </cell>
          <cell r="E807">
            <v>1049.1949999999999</v>
          </cell>
          <cell r="F807">
            <v>989.96699999999998</v>
          </cell>
          <cell r="G807">
            <v>928.43899999999996</v>
          </cell>
          <cell r="H807">
            <v>886.774</v>
          </cell>
          <cell r="I807">
            <v>830.16600000000005</v>
          </cell>
          <cell r="J807">
            <v>704.04</v>
          </cell>
          <cell r="K807">
            <v>671.92499999999995</v>
          </cell>
          <cell r="L807">
            <v>638.28899999999999</v>
          </cell>
          <cell r="M807">
            <v>603.83500000000004</v>
          </cell>
          <cell r="N807">
            <v>569.452</v>
          </cell>
          <cell r="O807">
            <v>556.31299999999999</v>
          </cell>
          <cell r="P807">
            <v>502.46699999999998</v>
          </cell>
          <cell r="Q807">
            <v>515.48199999999997</v>
          </cell>
          <cell r="R807">
            <v>516.64300000000003</v>
          </cell>
          <cell r="S807">
            <v>578.47500000000002</v>
          </cell>
          <cell r="T807">
            <v>517.55700000000002</v>
          </cell>
          <cell r="U807">
            <v>518.49099999999999</v>
          </cell>
          <cell r="V807">
            <v>519.59</v>
          </cell>
          <cell r="W807">
            <v>521.01800000000003</v>
          </cell>
          <cell r="X807">
            <v>522.45600000000002</v>
          </cell>
          <cell r="Y807">
            <v>522.88900000000001</v>
          </cell>
          <cell r="Z807">
            <v>523.35599999999999</v>
          </cell>
          <cell r="AA807">
            <v>523.62300000000005</v>
          </cell>
          <cell r="AB807">
            <v>523.70399999999995</v>
          </cell>
          <cell r="AC807">
            <v>534.28200000000004</v>
          </cell>
        </row>
        <row r="808">
          <cell r="A808" t="str">
            <v>Rent C3 (euro/year,household)</v>
          </cell>
          <cell r="C808">
            <v>1099.249</v>
          </cell>
          <cell r="D808">
            <v>1003.4349999999999</v>
          </cell>
          <cell r="E808">
            <v>1034.3119999999999</v>
          </cell>
          <cell r="F808">
            <v>969.08500000000004</v>
          </cell>
          <cell r="G808">
            <v>903.154</v>
          </cell>
          <cell r="H808">
            <v>860.053</v>
          </cell>
          <cell r="I808">
            <v>799.85900000000004</v>
          </cell>
          <cell r="J808">
            <v>664.096</v>
          </cell>
          <cell r="K808">
            <v>637.30399999999997</v>
          </cell>
          <cell r="L808">
            <v>609.36900000000003</v>
          </cell>
          <cell r="M808">
            <v>580.95600000000002</v>
          </cell>
          <cell r="N808">
            <v>552.78599999999994</v>
          </cell>
          <cell r="O808">
            <v>541.57799999999997</v>
          </cell>
          <cell r="P808">
            <v>502.71600000000001</v>
          </cell>
          <cell r="Q808">
            <v>516.93600000000004</v>
          </cell>
          <cell r="R808">
            <v>518.84799999999996</v>
          </cell>
          <cell r="S808">
            <v>582.49699999999996</v>
          </cell>
          <cell r="T808">
            <v>520.85599999999999</v>
          </cell>
          <cell r="U808">
            <v>522.09900000000005</v>
          </cell>
          <cell r="V808">
            <v>523.34799999999996</v>
          </cell>
          <cell r="W808">
            <v>525.14099999999996</v>
          </cell>
          <cell r="X808">
            <v>526.77300000000002</v>
          </cell>
          <cell r="Y808">
            <v>527.46799999999996</v>
          </cell>
          <cell r="Z808">
            <v>528.09699999999998</v>
          </cell>
          <cell r="AA808">
            <v>528.5</v>
          </cell>
          <cell r="AB808">
            <v>528.62199999999996</v>
          </cell>
          <cell r="AC808">
            <v>539.428</v>
          </cell>
        </row>
        <row r="809">
          <cell r="A809" t="str">
            <v>Rent C4 (euro/year,household)</v>
          </cell>
          <cell r="C809">
            <v>1022.574</v>
          </cell>
          <cell r="D809">
            <v>934.14400000000001</v>
          </cell>
          <cell r="E809">
            <v>961.27200000000005</v>
          </cell>
          <cell r="F809">
            <v>905.14400000000001</v>
          </cell>
          <cell r="G809">
            <v>846.26199999999994</v>
          </cell>
          <cell r="H809">
            <v>808.25599999999997</v>
          </cell>
          <cell r="I809">
            <v>752.69799999999998</v>
          </cell>
          <cell r="J809">
            <v>624.50599999999997</v>
          </cell>
          <cell r="K809">
            <v>601.88300000000004</v>
          </cell>
          <cell r="L809">
            <v>578.45799999999997</v>
          </cell>
          <cell r="M809">
            <v>554.82600000000002</v>
          </cell>
          <cell r="N809">
            <v>531.53399999999999</v>
          </cell>
          <cell r="O809">
            <v>521.44100000000003</v>
          </cell>
          <cell r="P809">
            <v>493.154</v>
          </cell>
          <cell r="Q809">
            <v>506.435</v>
          </cell>
          <cell r="R809">
            <v>507.50700000000001</v>
          </cell>
          <cell r="S809">
            <v>570.774</v>
          </cell>
          <cell r="T809">
            <v>507.82</v>
          </cell>
          <cell r="U809">
            <v>508.14100000000002</v>
          </cell>
          <cell r="V809">
            <v>508.41800000000001</v>
          </cell>
          <cell r="W809">
            <v>509.86200000000002</v>
          </cell>
          <cell r="X809">
            <v>511.238</v>
          </cell>
          <cell r="Y809">
            <v>511.73700000000002</v>
          </cell>
          <cell r="Z809">
            <v>512.21</v>
          </cell>
          <cell r="AA809">
            <v>512.50699999999995</v>
          </cell>
          <cell r="AB809">
            <v>512.57000000000005</v>
          </cell>
          <cell r="AC809">
            <v>523.11800000000005</v>
          </cell>
        </row>
        <row r="810">
          <cell r="A810" t="str">
            <v>Rent C5 (euro/year,household)</v>
          </cell>
          <cell r="C810">
            <v>929.88400000000001</v>
          </cell>
          <cell r="D810">
            <v>847.89</v>
          </cell>
          <cell r="E810">
            <v>924.32399999999996</v>
          </cell>
          <cell r="F810">
            <v>874.66200000000003</v>
          </cell>
          <cell r="G810">
            <v>821.93799999999999</v>
          </cell>
          <cell r="H810">
            <v>787.05600000000004</v>
          </cell>
          <cell r="I810">
            <v>735.04899999999998</v>
          </cell>
          <cell r="J810">
            <v>579.75</v>
          </cell>
          <cell r="K810">
            <v>561.92100000000005</v>
          </cell>
          <cell r="L810">
            <v>543.88499999999999</v>
          </cell>
          <cell r="M810">
            <v>525.91200000000003</v>
          </cell>
          <cell r="N810">
            <v>508.34199999999998</v>
          </cell>
          <cell r="O810">
            <v>500.10899999999998</v>
          </cell>
          <cell r="P810">
            <v>480.96899999999999</v>
          </cell>
          <cell r="Q810">
            <v>493.601</v>
          </cell>
          <cell r="R810">
            <v>493.71300000000002</v>
          </cell>
          <cell r="S810">
            <v>556.38699999999994</v>
          </cell>
          <cell r="T810">
            <v>492.21100000000001</v>
          </cell>
          <cell r="U810">
            <v>491.76900000000001</v>
          </cell>
          <cell r="V810">
            <v>491.31400000000002</v>
          </cell>
          <cell r="W810">
            <v>492.154</v>
          </cell>
          <cell r="X810">
            <v>492.97399999999999</v>
          </cell>
          <cell r="Y810">
            <v>493.04700000000003</v>
          </cell>
          <cell r="Z810">
            <v>493.142</v>
          </cell>
          <cell r="AA810">
            <v>493.13400000000001</v>
          </cell>
          <cell r="AB810">
            <v>492.94799999999998</v>
          </cell>
          <cell r="AC810">
            <v>503.39499999999998</v>
          </cell>
        </row>
        <row r="811">
          <cell r="A811" t="str">
            <v>Replacement Floor (Million m2)</v>
          </cell>
          <cell r="C811">
            <v>5.7720000000000002</v>
          </cell>
          <cell r="D811">
            <v>5.7030000000000003</v>
          </cell>
          <cell r="E811">
            <v>11.03</v>
          </cell>
          <cell r="F811">
            <v>11.422000000000001</v>
          </cell>
          <cell r="G811">
            <v>10.754</v>
          </cell>
          <cell r="H811">
            <v>11.03</v>
          </cell>
          <cell r="I811">
            <v>11.164999999999999</v>
          </cell>
          <cell r="J811">
            <v>11.954000000000001</v>
          </cell>
          <cell r="K811">
            <v>10.507999999999999</v>
          </cell>
          <cell r="L811">
            <v>9.516</v>
          </cell>
          <cell r="M811">
            <v>8.8450000000000006</v>
          </cell>
          <cell r="N811">
            <v>8.0879999999999992</v>
          </cell>
          <cell r="O811">
            <v>7.819</v>
          </cell>
          <cell r="P811">
            <v>9.7509999999999994</v>
          </cell>
          <cell r="Q811">
            <v>9.468</v>
          </cell>
          <cell r="R811">
            <v>8.81</v>
          </cell>
          <cell r="S811">
            <v>12.601000000000001</v>
          </cell>
          <cell r="T811">
            <v>9.5259999999999998</v>
          </cell>
          <cell r="U811">
            <v>8.9009999999999998</v>
          </cell>
          <cell r="V811">
            <v>7.8449999999999998</v>
          </cell>
          <cell r="W811">
            <v>7.5640000000000001</v>
          </cell>
          <cell r="X811">
            <v>7.165</v>
          </cell>
          <cell r="Y811">
            <v>6.8239999999999998</v>
          </cell>
          <cell r="Z811">
            <v>6.4790000000000001</v>
          </cell>
          <cell r="AA811">
            <v>6.1680000000000001</v>
          </cell>
          <cell r="AB811">
            <v>5.8860000000000001</v>
          </cell>
          <cell r="AC811">
            <v>5.8869999999999996</v>
          </cell>
        </row>
        <row r="812">
          <cell r="A812" t="str">
            <v>Replacement Floor (Thousand households)</v>
          </cell>
          <cell r="C812">
            <v>113.52800000000001</v>
          </cell>
          <cell r="D812">
            <v>120.634</v>
          </cell>
          <cell r="E812">
            <v>215.31299999999999</v>
          </cell>
          <cell r="F812">
            <v>220.84399999999999</v>
          </cell>
          <cell r="G812">
            <v>211.42400000000001</v>
          </cell>
          <cell r="H812">
            <v>214.959</v>
          </cell>
          <cell r="I812">
            <v>213.465</v>
          </cell>
          <cell r="J812">
            <v>274.608</v>
          </cell>
          <cell r="K812">
            <v>240.607</v>
          </cell>
          <cell r="L812">
            <v>219.11099999999999</v>
          </cell>
          <cell r="M812">
            <v>207.06100000000001</v>
          </cell>
          <cell r="N812">
            <v>190.958</v>
          </cell>
          <cell r="O812">
            <v>184.92599999999999</v>
          </cell>
          <cell r="P812">
            <v>259.26600000000002</v>
          </cell>
          <cell r="Q812">
            <v>249.678</v>
          </cell>
          <cell r="R812">
            <v>235.97900000000001</v>
          </cell>
          <cell r="S812">
            <v>312.221</v>
          </cell>
          <cell r="T812">
            <v>230.09800000000001</v>
          </cell>
          <cell r="U812">
            <v>215.679</v>
          </cell>
          <cell r="V812">
            <v>189.04400000000001</v>
          </cell>
          <cell r="W812">
            <v>185.727</v>
          </cell>
          <cell r="X812">
            <v>174.38399999999999</v>
          </cell>
          <cell r="Y812">
            <v>164.523</v>
          </cell>
          <cell r="Z812">
            <v>155.01900000000001</v>
          </cell>
          <cell r="AA812">
            <v>146.49600000000001</v>
          </cell>
          <cell r="AB812">
            <v>139.023</v>
          </cell>
          <cell r="AC812">
            <v>136.70099999999999</v>
          </cell>
        </row>
        <row r="813">
          <cell r="A813" t="str">
            <v>Replacement insulation (Thousand)</v>
          </cell>
          <cell r="C813">
            <v>912.09100000000001</v>
          </cell>
          <cell r="D813">
            <v>953.86800000000005</v>
          </cell>
          <cell r="E813">
            <v>1557.0160000000001</v>
          </cell>
          <cell r="F813">
            <v>1580.9549999999999</v>
          </cell>
          <cell r="G813">
            <v>1507.3330000000001</v>
          </cell>
          <cell r="H813">
            <v>1523.5650000000001</v>
          </cell>
          <cell r="I813">
            <v>1503.885</v>
          </cell>
          <cell r="J813">
            <v>1845.4849999999999</v>
          </cell>
          <cell r="K813">
            <v>1634.01</v>
          </cell>
          <cell r="L813">
            <v>1508.4770000000001</v>
          </cell>
          <cell r="M813">
            <v>1452.8130000000001</v>
          </cell>
          <cell r="N813">
            <v>1360.9179999999999</v>
          </cell>
          <cell r="O813">
            <v>1314.09</v>
          </cell>
          <cell r="P813">
            <v>1838.174</v>
          </cell>
          <cell r="Q813">
            <v>1762.2940000000001</v>
          </cell>
          <cell r="R813">
            <v>1687.201</v>
          </cell>
          <cell r="S813">
            <v>2102.3110000000001</v>
          </cell>
          <cell r="T813">
            <v>1685.932</v>
          </cell>
          <cell r="U813">
            <v>1592.1510000000001</v>
          </cell>
          <cell r="V813">
            <v>1409.2249999999999</v>
          </cell>
          <cell r="W813">
            <v>1394.2639999999999</v>
          </cell>
          <cell r="X813">
            <v>1315.3689999999999</v>
          </cell>
          <cell r="Y813">
            <v>1246.319</v>
          </cell>
          <cell r="Z813">
            <v>1180.365</v>
          </cell>
          <cell r="AA813">
            <v>1120.867</v>
          </cell>
          <cell r="AB813">
            <v>1066.9829999999999</v>
          </cell>
          <cell r="AC813">
            <v>1036.934</v>
          </cell>
        </row>
        <row r="814">
          <cell r="A814" t="str">
            <v>Replacement insulation average (/household)</v>
          </cell>
          <cell r="C814">
            <v>1.518</v>
          </cell>
          <cell r="D814">
            <v>1.5069999999999999</v>
          </cell>
          <cell r="E814">
            <v>1.7170000000000001</v>
          </cell>
          <cell r="F814">
            <v>1.6990000000000001</v>
          </cell>
          <cell r="G814">
            <v>1.655</v>
          </cell>
          <cell r="H814">
            <v>1.6579999999999999</v>
          </cell>
          <cell r="I814">
            <v>1.663</v>
          </cell>
          <cell r="J814">
            <v>1.708</v>
          </cell>
          <cell r="K814">
            <v>1.6739999999999999</v>
          </cell>
          <cell r="L814">
            <v>1.6339999999999999</v>
          </cell>
          <cell r="M814">
            <v>1.583</v>
          </cell>
          <cell r="N814">
            <v>1.548</v>
          </cell>
          <cell r="O814">
            <v>1.55</v>
          </cell>
          <cell r="P814">
            <v>1.526</v>
          </cell>
          <cell r="Q814">
            <v>1.5309999999999999</v>
          </cell>
          <cell r="R814">
            <v>1.5089999999999999</v>
          </cell>
          <cell r="S814">
            <v>1.601</v>
          </cell>
          <cell r="T814">
            <v>1.4670000000000001</v>
          </cell>
          <cell r="U814">
            <v>1.4570000000000001</v>
          </cell>
          <cell r="V814">
            <v>1.4450000000000001</v>
          </cell>
          <cell r="W814">
            <v>1.4350000000000001</v>
          </cell>
          <cell r="X814">
            <v>1.4279999999999999</v>
          </cell>
          <cell r="Y814">
            <v>1.4219999999999999</v>
          </cell>
          <cell r="Z814">
            <v>1.4159999999999999</v>
          </cell>
          <cell r="AA814">
            <v>1.409</v>
          </cell>
          <cell r="AB814">
            <v>1.4059999999999999</v>
          </cell>
          <cell r="AC814">
            <v>1.4179999999999999</v>
          </cell>
        </row>
        <row r="815">
          <cell r="A815" t="str">
            <v>Replacement Roof (Million m2)</v>
          </cell>
          <cell r="C815">
            <v>32.231999999999999</v>
          </cell>
          <cell r="D815">
            <v>32.101999999999997</v>
          </cell>
          <cell r="E815">
            <v>41.072000000000003</v>
          </cell>
          <cell r="F815">
            <v>41.073999999999998</v>
          </cell>
          <cell r="G815">
            <v>39.158000000000001</v>
          </cell>
          <cell r="H815">
            <v>39.316000000000003</v>
          </cell>
          <cell r="I815">
            <v>38.784999999999997</v>
          </cell>
          <cell r="J815">
            <v>40.084000000000003</v>
          </cell>
          <cell r="K815">
            <v>36.893000000000001</v>
          </cell>
          <cell r="L815">
            <v>34.965000000000003</v>
          </cell>
          <cell r="M815">
            <v>34.222999999999999</v>
          </cell>
          <cell r="N815">
            <v>32.704999999999998</v>
          </cell>
          <cell r="O815">
            <v>31.742999999999999</v>
          </cell>
          <cell r="P815">
            <v>40.700000000000003</v>
          </cell>
          <cell r="Q815">
            <v>38.972000000000001</v>
          </cell>
          <cell r="R815">
            <v>37.308999999999997</v>
          </cell>
          <cell r="S815">
            <v>47.25</v>
          </cell>
          <cell r="T815">
            <v>42.61</v>
          </cell>
          <cell r="U815">
            <v>40.362000000000002</v>
          </cell>
          <cell r="V815">
            <v>36.161999999999999</v>
          </cell>
          <cell r="W815">
            <v>35.356000000000002</v>
          </cell>
          <cell r="X815">
            <v>33.856999999999999</v>
          </cell>
          <cell r="Y815">
            <v>32.512999999999998</v>
          </cell>
          <cell r="Z815">
            <v>31.212</v>
          </cell>
          <cell r="AA815">
            <v>30.02</v>
          </cell>
          <cell r="AB815">
            <v>28.808</v>
          </cell>
          <cell r="AC815">
            <v>27.899000000000001</v>
          </cell>
        </row>
        <row r="816">
          <cell r="A816" t="str">
            <v>Replacement Roof (Thousand households)</v>
          </cell>
          <cell r="C816">
            <v>495.41500000000002</v>
          </cell>
          <cell r="D816">
            <v>522.79700000000003</v>
          </cell>
          <cell r="E816">
            <v>703.63300000000004</v>
          </cell>
          <cell r="F816">
            <v>720.73299999999995</v>
          </cell>
          <cell r="G816">
            <v>713.91200000000003</v>
          </cell>
          <cell r="H816">
            <v>718.63199999999995</v>
          </cell>
          <cell r="I816">
            <v>707.48</v>
          </cell>
          <cell r="J816">
            <v>857.12099999999998</v>
          </cell>
          <cell r="K816">
            <v>777.68299999999999</v>
          </cell>
          <cell r="L816">
            <v>738.94899999999996</v>
          </cell>
          <cell r="M816">
            <v>737.05399999999997</v>
          </cell>
          <cell r="N816">
            <v>709.07100000000003</v>
          </cell>
          <cell r="O816">
            <v>685</v>
          </cell>
          <cell r="P816">
            <v>975.255</v>
          </cell>
          <cell r="Q816">
            <v>928.99400000000003</v>
          </cell>
          <cell r="R816">
            <v>904.53</v>
          </cell>
          <cell r="S816">
            <v>1045.701</v>
          </cell>
          <cell r="T816">
            <v>933.21699999999998</v>
          </cell>
          <cell r="U816">
            <v>888.90499999999997</v>
          </cell>
          <cell r="V816">
            <v>796.20399999999995</v>
          </cell>
          <cell r="W816">
            <v>794.21100000000001</v>
          </cell>
          <cell r="X816">
            <v>753.21199999999999</v>
          </cell>
          <cell r="Y816">
            <v>717.15099999999995</v>
          </cell>
          <cell r="Z816">
            <v>682.95699999999999</v>
          </cell>
          <cell r="AA816">
            <v>651.81799999999998</v>
          </cell>
          <cell r="AB816">
            <v>622.43899999999996</v>
          </cell>
          <cell r="AC816">
            <v>597.66899999999998</v>
          </cell>
        </row>
        <row r="817">
          <cell r="A817" t="str">
            <v>Replacement total (Thousand renovating)</v>
          </cell>
          <cell r="C817">
            <v>939.37</v>
          </cell>
          <cell r="D817">
            <v>985.49699999999996</v>
          </cell>
          <cell r="E817">
            <v>1616.155</v>
          </cell>
          <cell r="F817">
            <v>1643.8879999999999</v>
          </cell>
          <cell r="G817">
            <v>1572.4649999999999</v>
          </cell>
          <cell r="H817">
            <v>1590.693</v>
          </cell>
          <cell r="I817">
            <v>1570.722</v>
          </cell>
          <cell r="J817">
            <v>1913.5239999999999</v>
          </cell>
          <cell r="K817">
            <v>1701.788</v>
          </cell>
          <cell r="L817">
            <v>1578.6089999999999</v>
          </cell>
          <cell r="M817">
            <v>1528.252</v>
          </cell>
          <cell r="N817">
            <v>1437.4369999999999</v>
          </cell>
          <cell r="O817">
            <v>1375.5340000000001</v>
          </cell>
          <cell r="P817">
            <v>1896.001</v>
          </cell>
          <cell r="Q817">
            <v>1821.345</v>
          </cell>
          <cell r="R817">
            <v>1740.4880000000001</v>
          </cell>
          <cell r="S817">
            <v>2163.0949999999998</v>
          </cell>
          <cell r="T817">
            <v>1735.326</v>
          </cell>
          <cell r="U817">
            <v>1642.0619999999999</v>
          </cell>
          <cell r="V817">
            <v>1448.115</v>
          </cell>
          <cell r="W817">
            <v>1433.4880000000001</v>
          </cell>
          <cell r="X817">
            <v>1346.6079999999999</v>
          </cell>
          <cell r="Y817">
            <v>1287.1210000000001</v>
          </cell>
          <cell r="Z817">
            <v>1214.6489999999999</v>
          </cell>
          <cell r="AA817">
            <v>1158.8910000000001</v>
          </cell>
          <cell r="AB817">
            <v>1109.1610000000001</v>
          </cell>
          <cell r="AC817">
            <v>1083.057</v>
          </cell>
        </row>
        <row r="818">
          <cell r="A818" t="str">
            <v>Replacement total (Thousand)</v>
          </cell>
          <cell r="C818">
            <v>2719.8719999999998</v>
          </cell>
          <cell r="D818">
            <v>2757.8530000000001</v>
          </cell>
          <cell r="E818">
            <v>3357.1889999999999</v>
          </cell>
          <cell r="F818">
            <v>3377.297</v>
          </cell>
          <cell r="G818">
            <v>3299.8339999999998</v>
          </cell>
          <cell r="H818">
            <v>3312.223</v>
          </cell>
          <cell r="I818">
            <v>3288.7069999999999</v>
          </cell>
          <cell r="J818">
            <v>3627.4929999999999</v>
          </cell>
          <cell r="K818">
            <v>3414.3119999999999</v>
          </cell>
          <cell r="L818">
            <v>3286.806</v>
          </cell>
          <cell r="M818">
            <v>3228.8719999999998</v>
          </cell>
          <cell r="N818">
            <v>3135.433</v>
          </cell>
          <cell r="O818">
            <v>2841.74</v>
          </cell>
          <cell r="P818">
            <v>3364.63</v>
          </cell>
          <cell r="Q818">
            <v>3287.39</v>
          </cell>
          <cell r="R818">
            <v>3035.3380000000002</v>
          </cell>
          <cell r="S818">
            <v>3511.5320000000002</v>
          </cell>
          <cell r="T818">
            <v>2957.8530000000001</v>
          </cell>
          <cell r="U818">
            <v>2865.808</v>
          </cell>
          <cell r="V818">
            <v>2597.4870000000001</v>
          </cell>
          <cell r="W818">
            <v>2923.9780000000001</v>
          </cell>
          <cell r="X818">
            <v>2698.3240000000001</v>
          </cell>
          <cell r="Y818">
            <v>2875.4140000000002</v>
          </cell>
          <cell r="Z818">
            <v>2706.085</v>
          </cell>
          <cell r="AA818">
            <v>2745.864</v>
          </cell>
          <cell r="AB818">
            <v>2811.21</v>
          </cell>
          <cell r="AC818">
            <v>2886.14</v>
          </cell>
        </row>
        <row r="819">
          <cell r="A819" t="str">
            <v>Replacement Wall (Million m2)</v>
          </cell>
          <cell r="C819">
            <v>19.213999999999999</v>
          </cell>
          <cell r="D819">
            <v>17.802</v>
          </cell>
          <cell r="E819">
            <v>48.835999999999999</v>
          </cell>
          <cell r="F819">
            <v>48.610999999999997</v>
          </cell>
          <cell r="G819">
            <v>42.356999999999999</v>
          </cell>
          <cell r="H819">
            <v>43.506</v>
          </cell>
          <cell r="I819">
            <v>42.826999999999998</v>
          </cell>
          <cell r="J819">
            <v>42.606000000000002</v>
          </cell>
          <cell r="K819">
            <v>35.594999999999999</v>
          </cell>
          <cell r="L819">
            <v>30.518000000000001</v>
          </cell>
          <cell r="M819">
            <v>26.673999999999999</v>
          </cell>
          <cell r="N819">
            <v>23.152000000000001</v>
          </cell>
          <cell r="O819">
            <v>21.817</v>
          </cell>
          <cell r="P819">
            <v>24.9</v>
          </cell>
          <cell r="Q819">
            <v>24.443999999999999</v>
          </cell>
          <cell r="R819">
            <v>22.2</v>
          </cell>
          <cell r="S819">
            <v>33.634</v>
          </cell>
          <cell r="T819">
            <v>21.501000000000001</v>
          </cell>
          <cell r="U819">
            <v>19.815999999999999</v>
          </cell>
          <cell r="V819">
            <v>17.213000000000001</v>
          </cell>
          <cell r="W819">
            <v>16.375</v>
          </cell>
          <cell r="X819">
            <v>15.250999999999999</v>
          </cell>
          <cell r="Y819">
            <v>14.294</v>
          </cell>
          <cell r="Z819">
            <v>13.343999999999999</v>
          </cell>
          <cell r="AA819">
            <v>12.513</v>
          </cell>
          <cell r="AB819">
            <v>11.843999999999999</v>
          </cell>
          <cell r="AC819">
            <v>12.038</v>
          </cell>
        </row>
        <row r="820">
          <cell r="A820" t="str">
            <v>Replacement Wall (Thousand households)</v>
          </cell>
          <cell r="C820">
            <v>189.63399999999999</v>
          </cell>
          <cell r="D820">
            <v>184.39099999999999</v>
          </cell>
          <cell r="E820">
            <v>428.92</v>
          </cell>
          <cell r="F820">
            <v>422.29599999999999</v>
          </cell>
          <cell r="G820">
            <v>373.53899999999999</v>
          </cell>
          <cell r="H820">
            <v>378.14</v>
          </cell>
          <cell r="I820">
            <v>368.33499999999998</v>
          </cell>
          <cell r="J820">
            <v>435.01799999999997</v>
          </cell>
          <cell r="K820">
            <v>367.67399999999998</v>
          </cell>
          <cell r="L820">
            <v>320.24099999999999</v>
          </cell>
          <cell r="M820">
            <v>285.94499999999999</v>
          </cell>
          <cell r="N820">
            <v>252.084</v>
          </cell>
          <cell r="O820">
            <v>241.506</v>
          </cell>
          <cell r="P820">
            <v>311.952</v>
          </cell>
          <cell r="Q820">
            <v>303.28300000000002</v>
          </cell>
          <cell r="R820">
            <v>279.56400000000002</v>
          </cell>
          <cell r="S820">
            <v>398.86599999999999</v>
          </cell>
          <cell r="T820">
            <v>255.59100000000001</v>
          </cell>
          <cell r="U820">
            <v>236.244</v>
          </cell>
          <cell r="V820">
            <v>202.80199999999999</v>
          </cell>
          <cell r="W820">
            <v>196.114</v>
          </cell>
          <cell r="X820">
            <v>182.20400000000001</v>
          </cell>
          <cell r="Y820">
            <v>170.08199999999999</v>
          </cell>
          <cell r="Z820">
            <v>158.47800000000001</v>
          </cell>
          <cell r="AA820">
            <v>148.21299999999999</v>
          </cell>
          <cell r="AB820">
            <v>139.86199999999999</v>
          </cell>
          <cell r="AC820">
            <v>139.87299999999999</v>
          </cell>
        </row>
        <row r="821">
          <cell r="A821" t="str">
            <v>Replacement Windows (Million m2)</v>
          </cell>
          <cell r="C821">
            <v>1.726</v>
          </cell>
          <cell r="D821">
            <v>1.877</v>
          </cell>
          <cell r="E821">
            <v>3.085</v>
          </cell>
          <cell r="F821">
            <v>3.234</v>
          </cell>
          <cell r="G821">
            <v>3.0870000000000002</v>
          </cell>
          <cell r="H821">
            <v>3.1589999999999998</v>
          </cell>
          <cell r="I821">
            <v>3.2450000000000001</v>
          </cell>
          <cell r="J821">
            <v>3.895</v>
          </cell>
          <cell r="K821">
            <v>3.4870000000000001</v>
          </cell>
          <cell r="L821">
            <v>3.2429999999999999</v>
          </cell>
          <cell r="M821">
            <v>3.13</v>
          </cell>
          <cell r="N821">
            <v>2.9390000000000001</v>
          </cell>
          <cell r="O821">
            <v>2.88</v>
          </cell>
          <cell r="P821">
            <v>3.8639999999999999</v>
          </cell>
          <cell r="Q821">
            <v>3.7370000000000001</v>
          </cell>
          <cell r="R821">
            <v>3.5590000000000002</v>
          </cell>
          <cell r="S821">
            <v>4.8460000000000001</v>
          </cell>
          <cell r="T821">
            <v>3.7410000000000001</v>
          </cell>
          <cell r="U821">
            <v>3.5249999999999999</v>
          </cell>
          <cell r="V821">
            <v>3.1259999999999999</v>
          </cell>
          <cell r="W821">
            <v>3.07</v>
          </cell>
          <cell r="X821">
            <v>2.903</v>
          </cell>
          <cell r="Y821">
            <v>2.7570000000000001</v>
          </cell>
          <cell r="Z821">
            <v>2.6139999999999999</v>
          </cell>
          <cell r="AA821">
            <v>2.4849999999999999</v>
          </cell>
          <cell r="AB821">
            <v>2.367</v>
          </cell>
          <cell r="AC821">
            <v>2.3420000000000001</v>
          </cell>
        </row>
        <row r="822">
          <cell r="A822" t="str">
            <v>Replacement Windows (Thousand households)</v>
          </cell>
          <cell r="C822">
            <v>113.514</v>
          </cell>
          <cell r="D822">
            <v>126.04600000000001</v>
          </cell>
          <cell r="E822">
            <v>209.149</v>
          </cell>
          <cell r="F822">
            <v>217.08199999999999</v>
          </cell>
          <cell r="G822">
            <v>208.45699999999999</v>
          </cell>
          <cell r="H822">
            <v>211.834</v>
          </cell>
          <cell r="I822">
            <v>214.60499999999999</v>
          </cell>
          <cell r="J822">
            <v>278.738</v>
          </cell>
          <cell r="K822">
            <v>248.04499999999999</v>
          </cell>
          <cell r="L822">
            <v>230.17599999999999</v>
          </cell>
          <cell r="M822">
            <v>222.75299999999999</v>
          </cell>
          <cell r="N822">
            <v>208.80600000000001</v>
          </cell>
          <cell r="O822">
            <v>202.65799999999999</v>
          </cell>
          <cell r="P822">
            <v>291.7</v>
          </cell>
          <cell r="Q822">
            <v>280.33800000000002</v>
          </cell>
          <cell r="R822">
            <v>267.12700000000001</v>
          </cell>
          <cell r="S822">
            <v>345.52199999999999</v>
          </cell>
          <cell r="T822">
            <v>267.02499999999998</v>
          </cell>
          <cell r="U822">
            <v>251.32300000000001</v>
          </cell>
          <cell r="V822">
            <v>221.17500000000001</v>
          </cell>
          <cell r="W822">
            <v>218.21199999999999</v>
          </cell>
          <cell r="X822">
            <v>205.56899999999999</v>
          </cell>
          <cell r="Y822">
            <v>194.56200000000001</v>
          </cell>
          <cell r="Z822">
            <v>183.911</v>
          </cell>
          <cell r="AA822">
            <v>174.34</v>
          </cell>
          <cell r="AB822">
            <v>165.65899999999999</v>
          </cell>
          <cell r="AC822">
            <v>162.69</v>
          </cell>
        </row>
        <row r="823">
          <cell r="A823" t="str">
            <v>Retrofit (Thousand households)</v>
          </cell>
          <cell r="C823">
            <v>2381.4870000000001</v>
          </cell>
          <cell r="D823">
            <v>2405.3719999999998</v>
          </cell>
          <cell r="E823">
            <v>2647.93</v>
          </cell>
          <cell r="F823">
            <v>2664.0360000000001</v>
          </cell>
          <cell r="G823">
            <v>2638.0709999999999</v>
          </cell>
          <cell r="H823">
            <v>2640.7150000000001</v>
          </cell>
          <cell r="I823">
            <v>2622.0720000000001</v>
          </cell>
          <cell r="J823">
            <v>2794.75</v>
          </cell>
          <cell r="K823">
            <v>2688.616</v>
          </cell>
          <cell r="L823">
            <v>2631.5659999999998</v>
          </cell>
          <cell r="M823">
            <v>2618.23</v>
          </cell>
          <cell r="N823">
            <v>2576.913</v>
          </cell>
          <cell r="O823">
            <v>2314.181</v>
          </cell>
          <cell r="P823">
            <v>2673.462</v>
          </cell>
          <cell r="Q823">
            <v>2617.4340000000002</v>
          </cell>
          <cell r="R823">
            <v>2413.1149999999998</v>
          </cell>
          <cell r="S823">
            <v>2661.2550000000001</v>
          </cell>
          <cell r="T823">
            <v>2371.6799999999998</v>
          </cell>
          <cell r="U823">
            <v>2316.8229999999999</v>
          </cell>
          <cell r="V823">
            <v>2124.6179999999999</v>
          </cell>
          <cell r="W823">
            <v>2462.0340000000001</v>
          </cell>
          <cell r="X823">
            <v>2272.5889999999999</v>
          </cell>
          <cell r="Y823">
            <v>2464.5549999999998</v>
          </cell>
          <cell r="Z823">
            <v>2325.223</v>
          </cell>
          <cell r="AA823">
            <v>2382.2730000000001</v>
          </cell>
          <cell r="AB823">
            <v>2461.0230000000001</v>
          </cell>
          <cell r="AC823">
            <v>2534.16</v>
          </cell>
        </row>
        <row r="824">
          <cell r="A824" t="str">
            <v>Retrofit 1 EPC (Thousand households)</v>
          </cell>
          <cell r="C824">
            <v>385.95299999999997</v>
          </cell>
          <cell r="D824">
            <v>359.24700000000001</v>
          </cell>
          <cell r="E824">
            <v>476.10300000000001</v>
          </cell>
          <cell r="F824">
            <v>474.09199999999998</v>
          </cell>
          <cell r="G824">
            <v>557.73199999999997</v>
          </cell>
          <cell r="H824">
            <v>642.43799999999999</v>
          </cell>
          <cell r="I824">
            <v>715.86699999999996</v>
          </cell>
          <cell r="J824">
            <v>729.30799999999999</v>
          </cell>
          <cell r="K824">
            <v>786.54499999999996</v>
          </cell>
          <cell r="L824">
            <v>738.80200000000002</v>
          </cell>
          <cell r="M824">
            <v>698.11500000000001</v>
          </cell>
          <cell r="N824">
            <v>649.70500000000004</v>
          </cell>
          <cell r="O824">
            <v>559.65</v>
          </cell>
          <cell r="P824">
            <v>634.52</v>
          </cell>
          <cell r="Q824">
            <v>572.95899999999995</v>
          </cell>
          <cell r="R824">
            <v>485.81099999999998</v>
          </cell>
          <cell r="S824">
            <v>531.08100000000002</v>
          </cell>
          <cell r="T824">
            <v>428.27300000000002</v>
          </cell>
          <cell r="U824">
            <v>404.35500000000002</v>
          </cell>
          <cell r="V824">
            <v>353.82600000000002</v>
          </cell>
          <cell r="W824">
            <v>322.80700000000002</v>
          </cell>
          <cell r="X824">
            <v>296.75799999999998</v>
          </cell>
          <cell r="Y824">
            <v>292.68900000000002</v>
          </cell>
          <cell r="Z824">
            <v>268.95600000000002</v>
          </cell>
          <cell r="AA824">
            <v>256.60700000000003</v>
          </cell>
          <cell r="AB824">
            <v>246.11799999999999</v>
          </cell>
          <cell r="AC824">
            <v>238.65100000000001</v>
          </cell>
        </row>
        <row r="825">
          <cell r="A825" t="str">
            <v>Retrofit 2 EPC (Thousand households)</v>
          </cell>
          <cell r="C825">
            <v>354.06599999999997</v>
          </cell>
          <cell r="D825">
            <v>379.101</v>
          </cell>
          <cell r="E825">
            <v>476.53199999999998</v>
          </cell>
          <cell r="F825">
            <v>497.14600000000002</v>
          </cell>
          <cell r="G825">
            <v>476.988</v>
          </cell>
          <cell r="H825">
            <v>469.49299999999999</v>
          </cell>
          <cell r="I825">
            <v>462.88</v>
          </cell>
          <cell r="J825">
            <v>564.20600000000002</v>
          </cell>
          <cell r="K825">
            <v>511.10700000000003</v>
          </cell>
          <cell r="L825">
            <v>495.06</v>
          </cell>
          <cell r="M825">
            <v>481.82400000000001</v>
          </cell>
          <cell r="N825">
            <v>473.07100000000003</v>
          </cell>
          <cell r="O825">
            <v>369.38400000000001</v>
          </cell>
          <cell r="P825">
            <v>395.99599999999998</v>
          </cell>
          <cell r="Q825">
            <v>400.32100000000003</v>
          </cell>
          <cell r="R825">
            <v>369.173</v>
          </cell>
          <cell r="S825">
            <v>432.59399999999999</v>
          </cell>
          <cell r="T825">
            <v>349.012</v>
          </cell>
          <cell r="U825">
            <v>337.75299999999999</v>
          </cell>
          <cell r="V825">
            <v>309.79599999999999</v>
          </cell>
          <cell r="W825">
            <v>155.376</v>
          </cell>
          <cell r="X825">
            <v>140.96799999999999</v>
          </cell>
          <cell r="Y825">
            <v>141.59200000000001</v>
          </cell>
          <cell r="Z825">
            <v>128.27500000000001</v>
          </cell>
          <cell r="AA825">
            <v>122.22199999999999</v>
          </cell>
          <cell r="AB825">
            <v>116.864</v>
          </cell>
          <cell r="AC825">
            <v>114.938</v>
          </cell>
        </row>
        <row r="826">
          <cell r="A826" t="str">
            <v>Retrofit 3 EPC (Thousand households)</v>
          </cell>
          <cell r="C826">
            <v>251.61500000000001</v>
          </cell>
          <cell r="D826">
            <v>245.02099999999999</v>
          </cell>
          <cell r="E826">
            <v>361.17399999999998</v>
          </cell>
          <cell r="F826">
            <v>349.79300000000001</v>
          </cell>
          <cell r="G826">
            <v>289.77600000000001</v>
          </cell>
          <cell r="H826">
            <v>264.26400000000001</v>
          </cell>
          <cell r="I826">
            <v>232.858</v>
          </cell>
          <cell r="J826">
            <v>216.75399999999999</v>
          </cell>
          <cell r="K826">
            <v>178.715</v>
          </cell>
          <cell r="L826">
            <v>158.511</v>
          </cell>
          <cell r="M826">
            <v>141.79</v>
          </cell>
          <cell r="N826">
            <v>130.23699999999999</v>
          </cell>
          <cell r="O826">
            <v>94.262</v>
          </cell>
          <cell r="P826">
            <v>89.474000000000004</v>
          </cell>
          <cell r="Q826">
            <v>85.396000000000001</v>
          </cell>
          <cell r="R826">
            <v>77.283000000000001</v>
          </cell>
          <cell r="S826">
            <v>77.977000000000004</v>
          </cell>
          <cell r="T826">
            <v>63.783999999999999</v>
          </cell>
          <cell r="U826">
            <v>57.743000000000002</v>
          </cell>
          <cell r="V826">
            <v>51.652000000000001</v>
          </cell>
          <cell r="W826">
            <v>20.056000000000001</v>
          </cell>
          <cell r="X826">
            <v>17.923999999999999</v>
          </cell>
          <cell r="Y826">
            <v>14.259</v>
          </cell>
          <cell r="Z826">
            <v>12.85</v>
          </cell>
          <cell r="AA826">
            <v>10.356</v>
          </cell>
          <cell r="AB826">
            <v>8.9390000000000001</v>
          </cell>
          <cell r="AC826">
            <v>8.0939999999999994</v>
          </cell>
        </row>
        <row r="827">
          <cell r="A827" t="str">
            <v>Retrofit 4 EPC (Thousand households)</v>
          </cell>
          <cell r="C827">
            <v>61.33</v>
          </cell>
          <cell r="D827">
            <v>51.213000000000001</v>
          </cell>
          <cell r="E827">
            <v>49.726999999999997</v>
          </cell>
          <cell r="F827">
            <v>44.856000000000002</v>
          </cell>
          <cell r="G827">
            <v>34.177</v>
          </cell>
          <cell r="H827">
            <v>28.428000000000001</v>
          </cell>
          <cell r="I827">
            <v>21.995000000000001</v>
          </cell>
          <cell r="J827">
            <v>19.04</v>
          </cell>
          <cell r="K827">
            <v>14.397</v>
          </cell>
          <cell r="L827">
            <v>12.057</v>
          </cell>
          <cell r="M827">
            <v>10.236000000000001</v>
          </cell>
          <cell r="N827">
            <v>8.6910000000000007</v>
          </cell>
          <cell r="O827">
            <v>5.9669999999999996</v>
          </cell>
          <cell r="P827">
            <v>5.1449999999999996</v>
          </cell>
          <cell r="Q827">
            <v>4.6509999999999998</v>
          </cell>
          <cell r="R827">
            <v>3.8</v>
          </cell>
          <cell r="S827">
            <v>3.214</v>
          </cell>
          <cell r="T827">
            <v>2.3809999999999998</v>
          </cell>
          <cell r="U827">
            <v>1.853</v>
          </cell>
          <cell r="V827">
            <v>1.411</v>
          </cell>
          <cell r="W827">
            <v>0.61899999999999999</v>
          </cell>
          <cell r="X827">
            <v>0.45500000000000002</v>
          </cell>
          <cell r="Y827">
            <v>0.29699999999999999</v>
          </cell>
          <cell r="Z827">
            <v>0.185</v>
          </cell>
          <cell r="AA827">
            <v>8.1000000000000003E-2</v>
          </cell>
          <cell r="AB827">
            <v>6.9000000000000006E-2</v>
          </cell>
          <cell r="AC827">
            <v>6.7000000000000004E-2</v>
          </cell>
        </row>
        <row r="828">
          <cell r="A828" t="str">
            <v>Retrofit 5 EPC (Thousand households)</v>
          </cell>
          <cell r="C828">
            <v>0.77300000000000002</v>
          </cell>
          <cell r="D828">
            <v>0.64800000000000002</v>
          </cell>
          <cell r="E828">
            <v>4.173</v>
          </cell>
          <cell r="F828">
            <v>4.0060000000000002</v>
          </cell>
          <cell r="G828">
            <v>3.45</v>
          </cell>
          <cell r="H828">
            <v>3.2639999999999998</v>
          </cell>
          <cell r="I828">
            <v>2.7389999999999999</v>
          </cell>
          <cell r="J828">
            <v>2.2549999999999999</v>
          </cell>
          <cell r="K828">
            <v>1.851</v>
          </cell>
          <cell r="L828">
            <v>1.5309999999999999</v>
          </cell>
          <cell r="M828">
            <v>1.2689999999999999</v>
          </cell>
          <cell r="N828">
            <v>1.0529999999999999</v>
          </cell>
          <cell r="O828">
            <v>0.65900000000000003</v>
          </cell>
          <cell r="P828">
            <v>0.55000000000000004</v>
          </cell>
          <cell r="Q828">
            <v>0.49399999999999999</v>
          </cell>
          <cell r="R828">
            <v>0.38100000000000001</v>
          </cell>
          <cell r="S828">
            <v>0.309</v>
          </cell>
          <cell r="T828">
            <v>0.214</v>
          </cell>
          <cell r="U828">
            <v>0.16700000000000001</v>
          </cell>
          <cell r="V828">
            <v>0.127</v>
          </cell>
          <cell r="W828">
            <v>3.6999999999999998E-2</v>
          </cell>
          <cell r="X828">
            <v>2.7E-2</v>
          </cell>
          <cell r="Y828">
            <v>1.6E-2</v>
          </cell>
          <cell r="Z828">
            <v>0.01</v>
          </cell>
          <cell r="AA828">
            <v>4.0000000000000001E-3</v>
          </cell>
          <cell r="AB828">
            <v>4.0000000000000001E-3</v>
          </cell>
          <cell r="AC828">
            <v>3.0000000000000001E-3</v>
          </cell>
        </row>
        <row r="829">
          <cell r="A829" t="str">
            <v>Retrofit 6 EPC (Thousand households)</v>
          </cell>
          <cell r="C829">
            <v>5.8999999999999997E-2</v>
          </cell>
          <cell r="D829">
            <v>4.2000000000000003E-2</v>
          </cell>
          <cell r="E829">
            <v>1.4139999999999999</v>
          </cell>
          <cell r="F829">
            <v>1.343</v>
          </cell>
          <cell r="G829">
            <v>1.1419999999999999</v>
          </cell>
          <cell r="H829">
            <v>1.0580000000000001</v>
          </cell>
          <cell r="I829">
            <v>0.81699999999999995</v>
          </cell>
          <cell r="J829">
            <v>0.63700000000000001</v>
          </cell>
          <cell r="K829">
            <v>0.49399999999999999</v>
          </cell>
          <cell r="L829">
            <v>0.38300000000000001</v>
          </cell>
          <cell r="M829">
            <v>0.29699999999999999</v>
          </cell>
          <cell r="N829">
            <v>0.22900000000000001</v>
          </cell>
          <cell r="O829">
            <v>1.9E-2</v>
          </cell>
          <cell r="P829">
            <v>1.4E-2</v>
          </cell>
          <cell r="Q829">
            <v>1.0999999999999999E-2</v>
          </cell>
          <cell r="R829">
            <v>7.0000000000000001E-3</v>
          </cell>
          <cell r="S829">
            <v>5.0000000000000001E-3</v>
          </cell>
          <cell r="T829">
            <v>3.0000000000000001E-3</v>
          </cell>
          <cell r="U829">
            <v>2E-3</v>
          </cell>
          <cell r="V829">
            <v>1E-3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</row>
        <row r="830">
          <cell r="A830" t="str">
            <v>Retrofit at least 1 EPC (Thousand households)</v>
          </cell>
          <cell r="C830">
            <v>1053.796</v>
          </cell>
          <cell r="D830">
            <v>1035.2719999999999</v>
          </cell>
          <cell r="E830">
            <v>1369.123</v>
          </cell>
          <cell r="F830">
            <v>1371.2370000000001</v>
          </cell>
          <cell r="G830">
            <v>1363.2650000000001</v>
          </cell>
          <cell r="H830">
            <v>1408.9449999999999</v>
          </cell>
          <cell r="I830">
            <v>1437.1569999999999</v>
          </cell>
          <cell r="J830">
            <v>1532.1990000000001</v>
          </cell>
          <cell r="K830">
            <v>1493.1079999999999</v>
          </cell>
          <cell r="L830">
            <v>1406.345</v>
          </cell>
          <cell r="M830">
            <v>1333.5309999999999</v>
          </cell>
          <cell r="N830">
            <v>1262.9870000000001</v>
          </cell>
          <cell r="O830">
            <v>1029.941</v>
          </cell>
          <cell r="P830">
            <v>1125.6980000000001</v>
          </cell>
          <cell r="Q830">
            <v>1063.8320000000001</v>
          </cell>
          <cell r="R830">
            <v>936.45500000000004</v>
          </cell>
          <cell r="S830">
            <v>1045.18</v>
          </cell>
          <cell r="T830">
            <v>843.66700000000003</v>
          </cell>
          <cell r="U830">
            <v>801.875</v>
          </cell>
          <cell r="V830">
            <v>716.81500000000005</v>
          </cell>
          <cell r="W830">
            <v>498.89600000000002</v>
          </cell>
          <cell r="X830">
            <v>456.13299999999998</v>
          </cell>
          <cell r="Y830">
            <v>448.85300000000001</v>
          </cell>
          <cell r="Z830">
            <v>410.27600000000001</v>
          </cell>
          <cell r="AA830">
            <v>389.27</v>
          </cell>
          <cell r="AB830">
            <v>371.99400000000003</v>
          </cell>
          <cell r="AC830">
            <v>361.75299999999999</v>
          </cell>
        </row>
        <row r="831">
          <cell r="A831" t="str">
            <v>Retrofit at least 2 EPC (Thousand households)</v>
          </cell>
          <cell r="C831">
            <v>667.84299999999996</v>
          </cell>
          <cell r="D831">
            <v>676.02499999999998</v>
          </cell>
          <cell r="E831">
            <v>893.02</v>
          </cell>
          <cell r="F831">
            <v>897.14499999999998</v>
          </cell>
          <cell r="G831">
            <v>805.53300000000002</v>
          </cell>
          <cell r="H831">
            <v>766.50599999999997</v>
          </cell>
          <cell r="I831">
            <v>721.28899999999999</v>
          </cell>
          <cell r="J831">
            <v>802.89099999999996</v>
          </cell>
          <cell r="K831">
            <v>706.56399999999996</v>
          </cell>
          <cell r="L831">
            <v>667.54300000000001</v>
          </cell>
          <cell r="M831">
            <v>635.41600000000005</v>
          </cell>
          <cell r="N831">
            <v>613.28200000000004</v>
          </cell>
          <cell r="O831">
            <v>470.291</v>
          </cell>
          <cell r="P831">
            <v>491.178</v>
          </cell>
          <cell r="Q831">
            <v>490.87299999999999</v>
          </cell>
          <cell r="R831">
            <v>450.64400000000001</v>
          </cell>
          <cell r="S831">
            <v>514.09900000000005</v>
          </cell>
          <cell r="T831">
            <v>415.39400000000001</v>
          </cell>
          <cell r="U831">
            <v>397.51900000000001</v>
          </cell>
          <cell r="V831">
            <v>362.988</v>
          </cell>
          <cell r="W831">
            <v>176.089</v>
          </cell>
          <cell r="X831">
            <v>159.374</v>
          </cell>
          <cell r="Y831">
            <v>156.16399999999999</v>
          </cell>
          <cell r="Z831">
            <v>141.32</v>
          </cell>
          <cell r="AA831">
            <v>132.66300000000001</v>
          </cell>
          <cell r="AB831">
            <v>125.876</v>
          </cell>
          <cell r="AC831">
            <v>123.102</v>
          </cell>
        </row>
        <row r="832">
          <cell r="A832" t="str">
            <v>Retrofit measures 1 (Thousand households)</v>
          </cell>
          <cell r="C832">
            <v>2170.152</v>
          </cell>
          <cell r="D832">
            <v>2187.527</v>
          </cell>
          <cell r="E832">
            <v>2230.2579999999998</v>
          </cell>
          <cell r="F832">
            <v>2242.5369999999998</v>
          </cell>
          <cell r="G832">
            <v>2245.625</v>
          </cell>
          <cell r="H832">
            <v>2242.027</v>
          </cell>
          <cell r="I832">
            <v>2230.3029999999999</v>
          </cell>
          <cell r="J832">
            <v>2319.8589999999999</v>
          </cell>
          <cell r="K832">
            <v>2272.393</v>
          </cell>
          <cell r="L832">
            <v>2252.4989999999998</v>
          </cell>
          <cell r="M832">
            <v>2259.5230000000001</v>
          </cell>
          <cell r="N832">
            <v>2245.2420000000002</v>
          </cell>
          <cell r="O832">
            <v>2000.7180000000001</v>
          </cell>
          <cell r="P832">
            <v>2264.3090000000002</v>
          </cell>
          <cell r="Q832">
            <v>2220.5369999999998</v>
          </cell>
          <cell r="R832">
            <v>2041.588</v>
          </cell>
          <cell r="S832">
            <v>2173.3330000000001</v>
          </cell>
          <cell r="T832">
            <v>2017.367</v>
          </cell>
          <cell r="U832">
            <v>1983.152</v>
          </cell>
          <cell r="V832">
            <v>1836.934</v>
          </cell>
          <cell r="W832">
            <v>2179.556</v>
          </cell>
          <cell r="X832">
            <v>2012.287</v>
          </cell>
          <cell r="Y832">
            <v>2211.337</v>
          </cell>
          <cell r="Z832">
            <v>2090.4009999999998</v>
          </cell>
          <cell r="AA832">
            <v>2156.6550000000002</v>
          </cell>
          <cell r="AB832">
            <v>2242.511</v>
          </cell>
          <cell r="AC832">
            <v>2314.9189999999999</v>
          </cell>
        </row>
        <row r="833">
          <cell r="A833" t="str">
            <v>Retrofit measures 2 (Thousand households)</v>
          </cell>
          <cell r="C833">
            <v>117.774</v>
          </cell>
          <cell r="D833">
            <v>119.748</v>
          </cell>
          <cell r="E833">
            <v>213.155</v>
          </cell>
          <cell r="F833">
            <v>214.57300000000001</v>
          </cell>
          <cell r="G833">
            <v>199.31899999999999</v>
          </cell>
          <cell r="H833">
            <v>202.571</v>
          </cell>
          <cell r="I833">
            <v>195.149</v>
          </cell>
          <cell r="J833">
            <v>222.27799999999999</v>
          </cell>
          <cell r="K833">
            <v>198.13300000000001</v>
          </cell>
          <cell r="L833">
            <v>184.435</v>
          </cell>
          <cell r="M833">
            <v>180.29599999999999</v>
          </cell>
          <cell r="N833">
            <v>170.63900000000001</v>
          </cell>
          <cell r="O833">
            <v>159.416</v>
          </cell>
          <cell r="P833">
            <v>204.084</v>
          </cell>
          <cell r="Q833">
            <v>198.72399999999999</v>
          </cell>
          <cell r="R833">
            <v>188.05600000000001</v>
          </cell>
          <cell r="S833">
            <v>230.78399999999999</v>
          </cell>
          <cell r="T833">
            <v>182.34399999999999</v>
          </cell>
          <cell r="U833">
            <v>173.625</v>
          </cell>
          <cell r="V833">
            <v>149.30199999999999</v>
          </cell>
          <cell r="W833">
            <v>148.15</v>
          </cell>
          <cell r="X833">
            <v>135.874</v>
          </cell>
          <cell r="Y833">
            <v>135.166</v>
          </cell>
          <cell r="Z833">
            <v>124.976</v>
          </cell>
          <cell r="AA833">
            <v>121.85599999999999</v>
          </cell>
          <cell r="AB833">
            <v>119.62</v>
          </cell>
          <cell r="AC833">
            <v>119.69</v>
          </cell>
        </row>
        <row r="834">
          <cell r="A834" t="str">
            <v>Retrofit measures 3 (Thousand households)</v>
          </cell>
          <cell r="C834">
            <v>60.476999999999997</v>
          </cell>
          <cell r="D834">
            <v>62.279000000000003</v>
          </cell>
          <cell r="E834">
            <v>124.389</v>
          </cell>
          <cell r="F834">
            <v>129.48500000000001</v>
          </cell>
          <cell r="G834">
            <v>124.395</v>
          </cell>
          <cell r="H834">
            <v>127.244</v>
          </cell>
          <cell r="I834">
            <v>125.991</v>
          </cell>
          <cell r="J834">
            <v>154.98099999999999</v>
          </cell>
          <cell r="K834">
            <v>134.107</v>
          </cell>
          <cell r="L834">
            <v>120.473</v>
          </cell>
          <cell r="M834">
            <v>112.27500000000001</v>
          </cell>
          <cell r="N834">
            <v>102.50700000000001</v>
          </cell>
          <cell r="O834">
            <v>99.198999999999998</v>
          </cell>
          <cell r="P834">
            <v>133.131</v>
          </cell>
          <cell r="Q834">
            <v>128.46</v>
          </cell>
          <cell r="R834">
            <v>120.839</v>
          </cell>
          <cell r="S834">
            <v>158.08799999999999</v>
          </cell>
          <cell r="T834">
            <v>116.16</v>
          </cell>
          <cell r="U834">
            <v>108.759</v>
          </cell>
          <cell r="V834">
            <v>94.995000000000005</v>
          </cell>
          <cell r="W834">
            <v>92.759</v>
          </cell>
          <cell r="X834">
            <v>86.638000000000005</v>
          </cell>
          <cell r="Y834">
            <v>81.953999999999994</v>
          </cell>
          <cell r="Z834">
            <v>76.84</v>
          </cell>
          <cell r="AA834">
            <v>72.707999999999998</v>
          </cell>
          <cell r="AB834">
            <v>69.251000000000005</v>
          </cell>
          <cell r="AC834">
            <v>69.62</v>
          </cell>
        </row>
        <row r="835">
          <cell r="A835" t="str">
            <v>Retrofit measures 4 (Thousand households)</v>
          </cell>
          <cell r="C835">
            <v>32.676000000000002</v>
          </cell>
          <cell r="D835">
            <v>35.097999999999999</v>
          </cell>
          <cell r="E835">
            <v>73.183999999999997</v>
          </cell>
          <cell r="F835">
            <v>70.043999999999997</v>
          </cell>
          <cell r="G835">
            <v>61.273000000000003</v>
          </cell>
          <cell r="H835">
            <v>61.046999999999997</v>
          </cell>
          <cell r="I835">
            <v>63.012999999999998</v>
          </cell>
          <cell r="J835">
            <v>90.024000000000001</v>
          </cell>
          <cell r="K835">
            <v>76.584000000000003</v>
          </cell>
          <cell r="L835">
            <v>66.778999999999996</v>
          </cell>
          <cell r="M835">
            <v>58.747999999999998</v>
          </cell>
          <cell r="N835">
            <v>51.23</v>
          </cell>
          <cell r="O835">
            <v>49.65</v>
          </cell>
          <cell r="P835">
            <v>66.929000000000002</v>
          </cell>
          <cell r="Q835">
            <v>64.543000000000006</v>
          </cell>
          <cell r="R835">
            <v>58.042999999999999</v>
          </cell>
          <cell r="S835">
            <v>92.882000000000005</v>
          </cell>
          <cell r="T835">
            <v>51.731000000000002</v>
          </cell>
          <cell r="U835">
            <v>47.311</v>
          </cell>
          <cell r="V835">
            <v>39.970999999999997</v>
          </cell>
          <cell r="W835">
            <v>37.997999999999998</v>
          </cell>
          <cell r="X835">
            <v>34.573999999999998</v>
          </cell>
          <cell r="Y835">
            <v>32.607999999999997</v>
          </cell>
          <cell r="Z835">
            <v>29.818000000000001</v>
          </cell>
          <cell r="AA835">
            <v>27.896999999999998</v>
          </cell>
          <cell r="AB835">
            <v>26.498000000000001</v>
          </cell>
          <cell r="AC835">
            <v>26.673999999999999</v>
          </cell>
        </row>
        <row r="836">
          <cell r="A836" t="str">
            <v>Retrofit measures 5 (Thousand households)</v>
          </cell>
          <cell r="C836">
            <v>0.40699999999999997</v>
          </cell>
          <cell r="D836">
            <v>0.72</v>
          </cell>
          <cell r="E836">
            <v>6.9429999999999996</v>
          </cell>
          <cell r="F836">
            <v>7.3959999999999999</v>
          </cell>
          <cell r="G836">
            <v>7.4589999999999996</v>
          </cell>
          <cell r="H836">
            <v>7.827</v>
          </cell>
          <cell r="I836">
            <v>7.6159999999999997</v>
          </cell>
          <cell r="J836">
            <v>7.6070000000000002</v>
          </cell>
          <cell r="K836">
            <v>7.399</v>
          </cell>
          <cell r="L836">
            <v>7.38</v>
          </cell>
          <cell r="M836">
            <v>7.3890000000000002</v>
          </cell>
          <cell r="N836">
            <v>7.2939999999999996</v>
          </cell>
          <cell r="O836">
            <v>5.1989999999999998</v>
          </cell>
          <cell r="P836">
            <v>5.0090000000000003</v>
          </cell>
          <cell r="Q836">
            <v>5.17</v>
          </cell>
          <cell r="R836">
            <v>4.59</v>
          </cell>
          <cell r="S836">
            <v>6.1680000000000001</v>
          </cell>
          <cell r="T836">
            <v>4.0789999999999997</v>
          </cell>
          <cell r="U836">
            <v>3.9780000000000002</v>
          </cell>
          <cell r="V836">
            <v>3.4159999999999999</v>
          </cell>
          <cell r="W836">
            <v>3.5710000000000002</v>
          </cell>
          <cell r="X836">
            <v>3.2160000000000002</v>
          </cell>
          <cell r="Y836">
            <v>3.49</v>
          </cell>
          <cell r="Z836">
            <v>3.1880000000000002</v>
          </cell>
          <cell r="AA836">
            <v>3.157</v>
          </cell>
          <cell r="AB836">
            <v>3.1429999999999998</v>
          </cell>
          <cell r="AC836">
            <v>3.2570000000000001</v>
          </cell>
        </row>
        <row r="837">
          <cell r="A837" t="str">
            <v>Running cost (Billion euro)</v>
          </cell>
          <cell r="C837">
            <v>36.305999999999997</v>
          </cell>
          <cell r="D837">
            <v>37.036999999999999</v>
          </cell>
          <cell r="E837">
            <v>37.598999999999997</v>
          </cell>
          <cell r="F837">
            <v>38.356999999999999</v>
          </cell>
          <cell r="G837">
            <v>38.936</v>
          </cell>
          <cell r="H837">
            <v>39.753999999999998</v>
          </cell>
          <cell r="I837">
            <v>40.512999999999998</v>
          </cell>
          <cell r="J837">
            <v>41.597999999999999</v>
          </cell>
          <cell r="K837">
            <v>42.569000000000003</v>
          </cell>
          <cell r="L837">
            <v>43.552999999999997</v>
          </cell>
          <cell r="M837">
            <v>44.53</v>
          </cell>
          <cell r="N837">
            <v>45.500999999999998</v>
          </cell>
          <cell r="O837">
            <v>46.527999999999999</v>
          </cell>
          <cell r="P837">
            <v>47.585999999999999</v>
          </cell>
          <cell r="Q837">
            <v>48.662999999999997</v>
          </cell>
          <cell r="R837">
            <v>49.695</v>
          </cell>
          <cell r="S837">
            <v>51.241</v>
          </cell>
          <cell r="T837">
            <v>50.838999999999999</v>
          </cell>
          <cell r="U837">
            <v>52.591000000000001</v>
          </cell>
          <cell r="V837">
            <v>53.503</v>
          </cell>
          <cell r="W837">
            <v>53.377000000000002</v>
          </cell>
          <cell r="X837">
            <v>53.171999999999997</v>
          </cell>
          <cell r="Y837">
            <v>52.698999999999998</v>
          </cell>
          <cell r="Z837">
            <v>52.210999999999999</v>
          </cell>
          <cell r="AA837">
            <v>51.817</v>
          </cell>
          <cell r="AB837">
            <v>51.494999999999997</v>
          </cell>
          <cell r="AC837">
            <v>51.165999999999997</v>
          </cell>
        </row>
        <row r="838">
          <cell r="A838" t="str">
            <v>Saving heater (Billion euro)</v>
          </cell>
          <cell r="C838">
            <v>10.913</v>
          </cell>
          <cell r="D838">
            <v>11.455</v>
          </cell>
          <cell r="E838">
            <v>10.116</v>
          </cell>
          <cell r="F838">
            <v>10.378</v>
          </cell>
          <cell r="G838">
            <v>9.5129999999999999</v>
          </cell>
          <cell r="H838">
            <v>8.56</v>
          </cell>
          <cell r="I838">
            <v>7.68</v>
          </cell>
          <cell r="J838">
            <v>8.7789999999999999</v>
          </cell>
          <cell r="K838">
            <v>7.8470000000000004</v>
          </cell>
          <cell r="L838">
            <v>8.0630000000000006</v>
          </cell>
          <cell r="M838">
            <v>8.3439999999999994</v>
          </cell>
          <cell r="N838">
            <v>8.577</v>
          </cell>
          <cell r="O838">
            <v>7.5170000000000003</v>
          </cell>
          <cell r="P838">
            <v>7.9710000000000001</v>
          </cell>
          <cell r="Q838">
            <v>8.1929999999999996</v>
          </cell>
          <cell r="R838">
            <v>7.38</v>
          </cell>
          <cell r="S838">
            <v>7.9820000000000002</v>
          </cell>
          <cell r="T838">
            <v>7.0270000000000001</v>
          </cell>
          <cell r="U838">
            <v>7.0380000000000003</v>
          </cell>
          <cell r="V838">
            <v>6.5359999999999996</v>
          </cell>
          <cell r="W838">
            <v>8.2270000000000003</v>
          </cell>
          <cell r="X838">
            <v>7.8810000000000002</v>
          </cell>
          <cell r="Y838">
            <v>8.4939999999999998</v>
          </cell>
          <cell r="Z838">
            <v>8.1739999999999995</v>
          </cell>
          <cell r="AA838">
            <v>8.1289999999999996</v>
          </cell>
          <cell r="AB838">
            <v>8.11</v>
          </cell>
          <cell r="AC838">
            <v>8.0630000000000006</v>
          </cell>
        </row>
        <row r="839">
          <cell r="A839" t="str">
            <v>Saving insulation (Billion euro)</v>
          </cell>
          <cell r="C839">
            <v>0.80600000000000005</v>
          </cell>
          <cell r="D839">
            <v>0.70599999999999996</v>
          </cell>
          <cell r="E839">
            <v>0.875</v>
          </cell>
          <cell r="F839">
            <v>0.8</v>
          </cell>
          <cell r="G839">
            <v>0.623</v>
          </cell>
          <cell r="H839">
            <v>0.65500000000000003</v>
          </cell>
          <cell r="I839">
            <v>0.65</v>
          </cell>
          <cell r="J839">
            <v>0.64700000000000002</v>
          </cell>
          <cell r="K839">
            <v>0.53200000000000003</v>
          </cell>
          <cell r="L839">
            <v>0.45</v>
          </cell>
          <cell r="M839">
            <v>0.38700000000000001</v>
          </cell>
          <cell r="N839">
            <v>0.32700000000000001</v>
          </cell>
          <cell r="O839">
            <v>0.32900000000000001</v>
          </cell>
          <cell r="P839">
            <v>0.373</v>
          </cell>
          <cell r="Q839">
            <v>0.378</v>
          </cell>
          <cell r="R839">
            <v>0.34399999999999997</v>
          </cell>
          <cell r="S839">
            <v>0.72399999999999998</v>
          </cell>
          <cell r="T839">
            <v>0.38800000000000001</v>
          </cell>
          <cell r="U839">
            <v>0.35799999999999998</v>
          </cell>
          <cell r="V839">
            <v>0.309</v>
          </cell>
          <cell r="W839">
            <v>0.29599999999999999</v>
          </cell>
          <cell r="X839">
            <v>0.28100000000000003</v>
          </cell>
          <cell r="Y839">
            <v>0.26700000000000002</v>
          </cell>
          <cell r="Z839">
            <v>0.253</v>
          </cell>
          <cell r="AA839">
            <v>0.24099999999999999</v>
          </cell>
          <cell r="AB839">
            <v>0.22900000000000001</v>
          </cell>
          <cell r="AC839">
            <v>0.24199999999999999</v>
          </cell>
        </row>
        <row r="840">
          <cell r="A840" t="str">
            <v>Saving insulation (Thousand euro/household)</v>
          </cell>
          <cell r="C840">
            <v>1.3420000000000001</v>
          </cell>
          <cell r="D840">
            <v>1.115</v>
          </cell>
          <cell r="E840">
            <v>0.96499999999999997</v>
          </cell>
          <cell r="F840">
            <v>0.86</v>
          </cell>
          <cell r="G840">
            <v>0.68400000000000005</v>
          </cell>
          <cell r="H840">
            <v>0.71199999999999997</v>
          </cell>
          <cell r="I840">
            <v>0.71899999999999997</v>
          </cell>
          <cell r="J840">
            <v>0.59899999999999998</v>
          </cell>
          <cell r="K840">
            <v>0.54500000000000004</v>
          </cell>
          <cell r="L840">
            <v>0.48799999999999999</v>
          </cell>
          <cell r="M840">
            <v>0.42199999999999999</v>
          </cell>
          <cell r="N840">
            <v>0.372</v>
          </cell>
          <cell r="O840">
            <v>0.38800000000000001</v>
          </cell>
          <cell r="P840">
            <v>0.309</v>
          </cell>
          <cell r="Q840">
            <v>0.32800000000000001</v>
          </cell>
          <cell r="R840">
            <v>0.307</v>
          </cell>
          <cell r="S840">
            <v>0.55100000000000005</v>
          </cell>
          <cell r="T840">
            <v>0.33700000000000002</v>
          </cell>
          <cell r="U840">
            <v>0.32800000000000001</v>
          </cell>
          <cell r="V840">
            <v>0.317</v>
          </cell>
          <cell r="W840">
            <v>0.30499999999999999</v>
          </cell>
          <cell r="X840">
            <v>0.30499999999999999</v>
          </cell>
          <cell r="Y840">
            <v>0.30399999999999999</v>
          </cell>
          <cell r="Z840">
            <v>0.30399999999999999</v>
          </cell>
          <cell r="AA840">
            <v>0.30299999999999999</v>
          </cell>
          <cell r="AB840">
            <v>0.30199999999999999</v>
          </cell>
          <cell r="AC840">
            <v>0.33</v>
          </cell>
        </row>
        <row r="841">
          <cell r="A841" t="str">
            <v>Saving insulation Owner-occupied - C1 (euro/household)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</row>
        <row r="842">
          <cell r="A842" t="str">
            <v>Saving insulation Owner-occupied - C2 (euro/household)</v>
          </cell>
          <cell r="C842">
            <v>0</v>
          </cell>
          <cell r="D842">
            <v>0</v>
          </cell>
          <cell r="E842">
            <v>0</v>
          </cell>
          <cell r="F842">
            <v>55.323999999999998</v>
          </cell>
          <cell r="G842">
            <v>38.401000000000003</v>
          </cell>
          <cell r="H842">
            <v>26.815000000000001</v>
          </cell>
          <cell r="I842">
            <v>104.535</v>
          </cell>
          <cell r="J842">
            <v>90.891999999999996</v>
          </cell>
          <cell r="K842">
            <v>80.703999999999994</v>
          </cell>
          <cell r="L842">
            <v>71.028999999999996</v>
          </cell>
          <cell r="M842">
            <v>62.015000000000001</v>
          </cell>
          <cell r="N842">
            <v>53.692999999999998</v>
          </cell>
          <cell r="O842">
            <v>94.694000000000003</v>
          </cell>
          <cell r="P842">
            <v>85.114000000000004</v>
          </cell>
          <cell r="Q842">
            <v>74.628</v>
          </cell>
          <cell r="R842">
            <v>66.040000000000006</v>
          </cell>
          <cell r="S842">
            <v>211.715</v>
          </cell>
          <cell r="T842">
            <v>195.23</v>
          </cell>
          <cell r="U842">
            <v>191.834</v>
          </cell>
          <cell r="V842">
            <v>189.245</v>
          </cell>
          <cell r="W842">
            <v>188.94200000000001</v>
          </cell>
          <cell r="X842">
            <v>187.381</v>
          </cell>
          <cell r="Y842">
            <v>184.99799999999999</v>
          </cell>
          <cell r="Z842">
            <v>183.40299999999999</v>
          </cell>
          <cell r="AA842">
            <v>181.29900000000001</v>
          </cell>
          <cell r="AB842">
            <v>179.191</v>
          </cell>
          <cell r="AC842">
            <v>251.035</v>
          </cell>
        </row>
        <row r="843">
          <cell r="A843" t="str">
            <v>Saving insulation Owner-occupied - C3 (euro/household)</v>
          </cell>
          <cell r="C843">
            <v>1506.9639999999999</v>
          </cell>
          <cell r="D843">
            <v>1403.162</v>
          </cell>
          <cell r="E843">
            <v>765.21500000000003</v>
          </cell>
          <cell r="F843">
            <v>748.803</v>
          </cell>
          <cell r="G843">
            <v>658.34299999999996</v>
          </cell>
          <cell r="H843">
            <v>660.34100000000001</v>
          </cell>
          <cell r="I843">
            <v>992.42100000000005</v>
          </cell>
          <cell r="J843">
            <v>910.53</v>
          </cell>
          <cell r="K843">
            <v>843.86199999999997</v>
          </cell>
          <cell r="L843">
            <v>789.60900000000004</v>
          </cell>
          <cell r="M843">
            <v>746.19</v>
          </cell>
          <cell r="N843">
            <v>711.78099999999995</v>
          </cell>
          <cell r="O843">
            <v>735.65099999999995</v>
          </cell>
          <cell r="P843">
            <v>706.07500000000005</v>
          </cell>
          <cell r="Q843">
            <v>733.25</v>
          </cell>
          <cell r="R843">
            <v>704.36900000000003</v>
          </cell>
          <cell r="S843">
            <v>985.06899999999996</v>
          </cell>
          <cell r="T843">
            <v>747.50199999999995</v>
          </cell>
          <cell r="U843">
            <v>738.49400000000003</v>
          </cell>
          <cell r="V843">
            <v>732.17600000000004</v>
          </cell>
          <cell r="W843">
            <v>733.96299999999997</v>
          </cell>
          <cell r="X843">
            <v>730.46199999999999</v>
          </cell>
          <cell r="Y843">
            <v>726.15800000000002</v>
          </cell>
          <cell r="Z843">
            <v>722.64599999999996</v>
          </cell>
          <cell r="AA843">
            <v>719.35799999999995</v>
          </cell>
          <cell r="AB843">
            <v>716.31</v>
          </cell>
          <cell r="AC843">
            <v>757.41800000000001</v>
          </cell>
        </row>
        <row r="844">
          <cell r="A844" t="str">
            <v>Saving insulation Owner-occupied - C4 (euro/household)</v>
          </cell>
          <cell r="C844">
            <v>1383.01</v>
          </cell>
          <cell r="D844">
            <v>1307.444</v>
          </cell>
          <cell r="E844">
            <v>1422.193</v>
          </cell>
          <cell r="F844">
            <v>1393.124</v>
          </cell>
          <cell r="G844">
            <v>1208.8009999999999</v>
          </cell>
          <cell r="H844">
            <v>1290.4970000000001</v>
          </cell>
          <cell r="I844">
            <v>1300.5050000000001</v>
          </cell>
          <cell r="J844">
            <v>1192.4929999999999</v>
          </cell>
          <cell r="K844">
            <v>1101.386</v>
          </cell>
          <cell r="L844">
            <v>1022.676</v>
          </cell>
          <cell r="M844">
            <v>955.38699999999994</v>
          </cell>
          <cell r="N844">
            <v>899.03200000000004</v>
          </cell>
          <cell r="O844">
            <v>882.78899999999999</v>
          </cell>
          <cell r="P844">
            <v>843.29300000000001</v>
          </cell>
          <cell r="Q844">
            <v>877.44299999999998</v>
          </cell>
          <cell r="R844">
            <v>844.90200000000004</v>
          </cell>
          <cell r="S844">
            <v>1064.617</v>
          </cell>
          <cell r="T844">
            <v>764.71799999999996</v>
          </cell>
          <cell r="U844">
            <v>751.40800000000002</v>
          </cell>
          <cell r="V844">
            <v>740.49199999999996</v>
          </cell>
          <cell r="W844">
            <v>737.65</v>
          </cell>
          <cell r="X844">
            <v>731.32</v>
          </cell>
          <cell r="Y844">
            <v>723.91399999999999</v>
          </cell>
          <cell r="Z844">
            <v>716.93299999999999</v>
          </cell>
          <cell r="AA844">
            <v>710.255</v>
          </cell>
          <cell r="AB844">
            <v>705.98900000000003</v>
          </cell>
          <cell r="AC844">
            <v>751.42100000000005</v>
          </cell>
        </row>
        <row r="845">
          <cell r="A845" t="str">
            <v>Saving insulation Owner-occupied - C5 (euro/household)</v>
          </cell>
          <cell r="C845">
            <v>1983.193</v>
          </cell>
          <cell r="D845">
            <v>1766.0450000000001</v>
          </cell>
          <cell r="E845">
            <v>2326.2489999999998</v>
          </cell>
          <cell r="F845">
            <v>2227.4679999999998</v>
          </cell>
          <cell r="G845">
            <v>1894.7660000000001</v>
          </cell>
          <cell r="H845">
            <v>2068.453</v>
          </cell>
          <cell r="I845">
            <v>1965.646</v>
          </cell>
          <cell r="J845">
            <v>1713.12</v>
          </cell>
          <cell r="K845">
            <v>1506.8810000000001</v>
          </cell>
          <cell r="L845">
            <v>1339.3489999999999</v>
          </cell>
          <cell r="M845">
            <v>1205.67</v>
          </cell>
          <cell r="N845">
            <v>1100.57</v>
          </cell>
          <cell r="O845">
            <v>995.63</v>
          </cell>
          <cell r="P845">
            <v>938.60500000000002</v>
          </cell>
          <cell r="Q845">
            <v>1002.763</v>
          </cell>
          <cell r="R845">
            <v>948.33399999999995</v>
          </cell>
          <cell r="S845">
            <v>1415.4559999999999</v>
          </cell>
          <cell r="T845">
            <v>888.45899999999995</v>
          </cell>
          <cell r="U845">
            <v>868.83900000000006</v>
          </cell>
          <cell r="V845">
            <v>852.803</v>
          </cell>
          <cell r="W845">
            <v>842.827</v>
          </cell>
          <cell r="X845">
            <v>832.32799999999997</v>
          </cell>
          <cell r="Y845">
            <v>819.71</v>
          </cell>
          <cell r="Z845">
            <v>808.25699999999995</v>
          </cell>
          <cell r="AA845">
            <v>797.50599999999997</v>
          </cell>
          <cell r="AB845">
            <v>786.81299999999999</v>
          </cell>
          <cell r="AC845">
            <v>854.93399999999997</v>
          </cell>
        </row>
        <row r="846">
          <cell r="A846" t="str">
            <v>Saving insulation Privately rented - C1 (euro/household)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</row>
        <row r="847">
          <cell r="A847" t="str">
            <v>Saving insulation Privately rented - C2 (euro/household)</v>
          </cell>
          <cell r="C847">
            <v>624.66600000000005</v>
          </cell>
          <cell r="D847">
            <v>552.03099999999995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217.762</v>
          </cell>
          <cell r="K847">
            <v>172.72800000000001</v>
          </cell>
          <cell r="L847">
            <v>123.902</v>
          </cell>
          <cell r="M847">
            <v>72.171999999999997</v>
          </cell>
          <cell r="N847">
            <v>18.879000000000001</v>
          </cell>
          <cell r="O847">
            <v>16.934000000000001</v>
          </cell>
          <cell r="P847">
            <v>81.408000000000001</v>
          </cell>
          <cell r="Q847">
            <v>86.013000000000005</v>
          </cell>
          <cell r="R847">
            <v>87.971000000000004</v>
          </cell>
          <cell r="S847">
            <v>121.39700000000001</v>
          </cell>
          <cell r="T847">
            <v>90.986000000000004</v>
          </cell>
          <cell r="U847">
            <v>92.120999999999995</v>
          </cell>
          <cell r="V847">
            <v>93.221000000000004</v>
          </cell>
          <cell r="W847">
            <v>95.067999999999998</v>
          </cell>
          <cell r="X847">
            <v>96.555000000000007</v>
          </cell>
          <cell r="Y847">
            <v>97.427999999999997</v>
          </cell>
          <cell r="Z847">
            <v>98.391999999999996</v>
          </cell>
          <cell r="AA847">
            <v>99.126000000000005</v>
          </cell>
          <cell r="AB847">
            <v>99.22</v>
          </cell>
          <cell r="AC847">
            <v>109.176</v>
          </cell>
        </row>
        <row r="848">
          <cell r="A848" t="str">
            <v>Saving insulation Privately rented - C3 (euro/household)</v>
          </cell>
          <cell r="C848">
            <v>1712.1990000000001</v>
          </cell>
          <cell r="D848">
            <v>1527.8789999999999</v>
          </cell>
          <cell r="E848">
            <v>638.60900000000004</v>
          </cell>
          <cell r="F848">
            <v>536.32399999999996</v>
          </cell>
          <cell r="G848">
            <v>440.44600000000003</v>
          </cell>
          <cell r="H848">
            <v>404.18099999999998</v>
          </cell>
          <cell r="I848">
            <v>361.76900000000001</v>
          </cell>
          <cell r="J848">
            <v>654.42999999999995</v>
          </cell>
          <cell r="K848">
            <v>559.62099999999998</v>
          </cell>
          <cell r="L848">
            <v>457.51799999999997</v>
          </cell>
          <cell r="M848">
            <v>350.58600000000001</v>
          </cell>
          <cell r="N848">
            <v>242.23</v>
          </cell>
          <cell r="O848">
            <v>232.679</v>
          </cell>
          <cell r="P848">
            <v>225.566</v>
          </cell>
          <cell r="Q848">
            <v>243.35400000000001</v>
          </cell>
          <cell r="R848">
            <v>247.619</v>
          </cell>
          <cell r="S848">
            <v>388.89299999999997</v>
          </cell>
          <cell r="T848">
            <v>255.60499999999999</v>
          </cell>
          <cell r="U848">
            <v>259.67599999999999</v>
          </cell>
          <cell r="V848">
            <v>264.327</v>
          </cell>
          <cell r="W848">
            <v>268.00700000000001</v>
          </cell>
          <cell r="X848">
            <v>271.69200000000001</v>
          </cell>
          <cell r="Y848">
            <v>273.26</v>
          </cell>
          <cell r="Z848">
            <v>275.02499999999998</v>
          </cell>
          <cell r="AA848">
            <v>276.28100000000001</v>
          </cell>
          <cell r="AB848">
            <v>276.60199999999998</v>
          </cell>
          <cell r="AC848">
            <v>292.29199999999997</v>
          </cell>
        </row>
        <row r="849">
          <cell r="A849" t="str">
            <v>Saving insulation Privately rented - C4 (euro/household)</v>
          </cell>
          <cell r="C849">
            <v>2158.9940000000001</v>
          </cell>
          <cell r="D849">
            <v>1930.4110000000001</v>
          </cell>
          <cell r="E849">
            <v>1034.973</v>
          </cell>
          <cell r="F849">
            <v>884.89099999999996</v>
          </cell>
          <cell r="G849">
            <v>763.95100000000002</v>
          </cell>
          <cell r="H849">
            <v>733.05899999999997</v>
          </cell>
          <cell r="I849">
            <v>658.89700000000005</v>
          </cell>
          <cell r="J849">
            <v>682.47</v>
          </cell>
          <cell r="K849">
            <v>601.07000000000005</v>
          </cell>
          <cell r="L849">
            <v>515.35599999999999</v>
          </cell>
          <cell r="M849">
            <v>426.99200000000002</v>
          </cell>
          <cell r="N849">
            <v>338.17099999999999</v>
          </cell>
          <cell r="O849">
            <v>319.73200000000003</v>
          </cell>
          <cell r="P849">
            <v>235.48099999999999</v>
          </cell>
          <cell r="Q849">
            <v>253.411</v>
          </cell>
          <cell r="R849">
            <v>256.70499999999998</v>
          </cell>
          <cell r="S849">
            <v>399.59300000000002</v>
          </cell>
          <cell r="T849">
            <v>262.62299999999999</v>
          </cell>
          <cell r="U849">
            <v>266.887</v>
          </cell>
          <cell r="V849">
            <v>272.03199999999998</v>
          </cell>
          <cell r="W849">
            <v>275.774</v>
          </cell>
          <cell r="X849">
            <v>279.56299999999999</v>
          </cell>
          <cell r="Y849">
            <v>281.41399999999999</v>
          </cell>
          <cell r="Z849">
            <v>283.39999999999998</v>
          </cell>
          <cell r="AA849">
            <v>284.85500000000002</v>
          </cell>
          <cell r="AB849">
            <v>285.80399999999997</v>
          </cell>
          <cell r="AC849">
            <v>303.62400000000002</v>
          </cell>
        </row>
        <row r="850">
          <cell r="A850" t="str">
            <v>Saving insulation Privately rented - C5 (euro/household)</v>
          </cell>
          <cell r="C850">
            <v>1677.633</v>
          </cell>
          <cell r="D850">
            <v>1465.144</v>
          </cell>
          <cell r="E850">
            <v>1555.83</v>
          </cell>
          <cell r="F850">
            <v>1397.81</v>
          </cell>
          <cell r="G850">
            <v>1230.836</v>
          </cell>
          <cell r="H850">
            <v>1133.105</v>
          </cell>
          <cell r="I850">
            <v>969.35599999999999</v>
          </cell>
          <cell r="J850">
            <v>550.23199999999997</v>
          </cell>
          <cell r="K850">
            <v>488.82100000000003</v>
          </cell>
          <cell r="L850">
            <v>426.601</v>
          </cell>
          <cell r="M850">
            <v>364.49299999999999</v>
          </cell>
          <cell r="N850">
            <v>303.81900000000002</v>
          </cell>
          <cell r="O850">
            <v>283.36900000000003</v>
          </cell>
          <cell r="P850">
            <v>201.66</v>
          </cell>
          <cell r="Q850">
            <v>222.637</v>
          </cell>
          <cell r="R850">
            <v>225.63399999999999</v>
          </cell>
          <cell r="S850">
            <v>381.26900000000001</v>
          </cell>
          <cell r="T850">
            <v>229.02600000000001</v>
          </cell>
          <cell r="U850">
            <v>232.71299999999999</v>
          </cell>
          <cell r="V850">
            <v>237.12700000000001</v>
          </cell>
          <cell r="W850">
            <v>240.327</v>
          </cell>
          <cell r="X850">
            <v>243.67</v>
          </cell>
          <cell r="Y850">
            <v>244.989</v>
          </cell>
          <cell r="Z850">
            <v>246.411</v>
          </cell>
          <cell r="AA850">
            <v>247.26900000000001</v>
          </cell>
          <cell r="AB850">
            <v>247.572</v>
          </cell>
          <cell r="AC850">
            <v>267.31400000000002</v>
          </cell>
        </row>
        <row r="851">
          <cell r="A851" t="str">
            <v>Saving insulation Social-housing - C5 (euro/household)</v>
          </cell>
          <cell r="C851">
            <v>1159.749</v>
          </cell>
          <cell r="D851">
            <v>543.65300000000002</v>
          </cell>
          <cell r="E851">
            <v>288.964</v>
          </cell>
          <cell r="F851">
            <v>251.547</v>
          </cell>
          <cell r="G851">
            <v>182.51400000000001</v>
          </cell>
          <cell r="H851">
            <v>171.94300000000001</v>
          </cell>
          <cell r="I851">
            <v>177.82499999999999</v>
          </cell>
          <cell r="J851">
            <v>182.119</v>
          </cell>
          <cell r="K851">
            <v>202.85</v>
          </cell>
          <cell r="L851">
            <v>211.255</v>
          </cell>
          <cell r="M851">
            <v>189.88399999999999</v>
          </cell>
          <cell r="N851">
            <v>158.97200000000001</v>
          </cell>
          <cell r="O851">
            <v>174.99299999999999</v>
          </cell>
          <cell r="P851">
            <v>180.19499999999999</v>
          </cell>
          <cell r="Q851">
            <v>176.01300000000001</v>
          </cell>
          <cell r="R851">
            <v>152.08199999999999</v>
          </cell>
          <cell r="S851">
            <v>240.75399999999999</v>
          </cell>
          <cell r="T851">
            <v>127.9</v>
          </cell>
          <cell r="U851">
            <v>119.51600000000001</v>
          </cell>
          <cell r="V851">
            <v>65.876000000000005</v>
          </cell>
          <cell r="W851">
            <v>66.489000000000004</v>
          </cell>
          <cell r="X851">
            <v>66.918000000000006</v>
          </cell>
          <cell r="Y851">
            <v>67.158000000000001</v>
          </cell>
          <cell r="Z851">
            <v>67.454999999999998</v>
          </cell>
          <cell r="AA851">
            <v>67.739999999999995</v>
          </cell>
          <cell r="AB851">
            <v>68.010000000000005</v>
          </cell>
          <cell r="AC851">
            <v>70.826999999999998</v>
          </cell>
        </row>
        <row r="852">
          <cell r="A852" t="str">
            <v>Saving total (Billion euro)</v>
          </cell>
          <cell r="C852">
            <v>11.72</v>
          </cell>
          <cell r="D852">
            <v>12.161</v>
          </cell>
          <cell r="E852">
            <v>10.991</v>
          </cell>
          <cell r="F852">
            <v>11.178000000000001</v>
          </cell>
          <cell r="G852">
            <v>10.135999999999999</v>
          </cell>
          <cell r="H852">
            <v>9.2149999999999999</v>
          </cell>
          <cell r="I852">
            <v>8.33</v>
          </cell>
          <cell r="J852">
            <v>9.4260000000000002</v>
          </cell>
          <cell r="K852">
            <v>8.3789999999999996</v>
          </cell>
          <cell r="L852">
            <v>8.5129999999999999</v>
          </cell>
          <cell r="M852">
            <v>8.7309999999999999</v>
          </cell>
          <cell r="N852">
            <v>8.9039999999999999</v>
          </cell>
          <cell r="O852">
            <v>7.8460000000000001</v>
          </cell>
          <cell r="P852">
            <v>8.3439999999999994</v>
          </cell>
          <cell r="Q852">
            <v>8.5709999999999997</v>
          </cell>
          <cell r="R852">
            <v>7.7240000000000002</v>
          </cell>
          <cell r="S852">
            <v>8.7059999999999995</v>
          </cell>
          <cell r="T852">
            <v>7.4139999999999997</v>
          </cell>
          <cell r="U852">
            <v>7.3959999999999999</v>
          </cell>
          <cell r="V852">
            <v>6.8460000000000001</v>
          </cell>
          <cell r="W852">
            <v>8.5229999999999997</v>
          </cell>
          <cell r="X852">
            <v>8.1620000000000008</v>
          </cell>
          <cell r="Y852">
            <v>8.7609999999999992</v>
          </cell>
          <cell r="Z852">
            <v>8.4269999999999996</v>
          </cell>
          <cell r="AA852">
            <v>8.3699999999999992</v>
          </cell>
          <cell r="AB852">
            <v>8.3390000000000004</v>
          </cell>
          <cell r="AC852">
            <v>8.3040000000000003</v>
          </cell>
        </row>
        <row r="853">
          <cell r="A853" t="str">
            <v>Share of subsidies going to Social-housing (Million euro)</v>
          </cell>
          <cell r="C853">
            <v>0.03</v>
          </cell>
          <cell r="D853">
            <v>0.05</v>
          </cell>
          <cell r="E853">
            <v>4.2000000000000003E-2</v>
          </cell>
          <cell r="F853">
            <v>4.7E-2</v>
          </cell>
          <cell r="G853">
            <v>4.9000000000000002E-2</v>
          </cell>
          <cell r="H853">
            <v>4.7E-2</v>
          </cell>
          <cell r="I853">
            <v>4.7E-2</v>
          </cell>
          <cell r="J853">
            <v>5.1999999999999998E-2</v>
          </cell>
          <cell r="K853">
            <v>5.8999999999999997E-2</v>
          </cell>
          <cell r="L853">
            <v>6.8000000000000005E-2</v>
          </cell>
          <cell r="M853">
            <v>7.5999999999999998E-2</v>
          </cell>
          <cell r="N853">
            <v>7.6999999999999999E-2</v>
          </cell>
          <cell r="O853">
            <v>8.5000000000000006E-2</v>
          </cell>
          <cell r="P853">
            <v>7.1999999999999995E-2</v>
          </cell>
          <cell r="Q853">
            <v>7.2999999999999995E-2</v>
          </cell>
          <cell r="R853">
            <v>0.08</v>
          </cell>
          <cell r="S853">
            <v>7.0999999999999994E-2</v>
          </cell>
          <cell r="T853">
            <v>7.5999999999999998E-2</v>
          </cell>
          <cell r="U853">
            <v>7.8E-2</v>
          </cell>
          <cell r="V853">
            <v>6.2E-2</v>
          </cell>
          <cell r="W853">
            <v>5.8999999999999997E-2</v>
          </cell>
          <cell r="X853">
            <v>5.8000000000000003E-2</v>
          </cell>
          <cell r="Y853">
            <v>5.7000000000000002E-2</v>
          </cell>
          <cell r="Z853">
            <v>5.6000000000000001E-2</v>
          </cell>
          <cell r="AA853">
            <v>5.6000000000000001E-2</v>
          </cell>
          <cell r="AB853">
            <v>5.7000000000000002E-2</v>
          </cell>
          <cell r="AC853">
            <v>5.6000000000000001E-2</v>
          </cell>
        </row>
        <row r="854">
          <cell r="A854" t="str">
            <v>Share subsidies C1 (%)</v>
          </cell>
          <cell r="C854">
            <v>0.42499999999999999</v>
          </cell>
          <cell r="D854">
            <v>0.43099999999999999</v>
          </cell>
          <cell r="E854">
            <v>0.66800000000000004</v>
          </cell>
          <cell r="F854">
            <v>0.69399999999999995</v>
          </cell>
          <cell r="G854">
            <v>0.70899999999999996</v>
          </cell>
          <cell r="H854">
            <v>0.72799999999999998</v>
          </cell>
          <cell r="I854">
            <v>0.74399999999999999</v>
          </cell>
          <cell r="J854">
            <v>0.71399999999999997</v>
          </cell>
          <cell r="K854">
            <v>0.71599999999999997</v>
          </cell>
          <cell r="L854">
            <v>0.70699999999999996</v>
          </cell>
          <cell r="M854">
            <v>0.69899999999999995</v>
          </cell>
          <cell r="N854">
            <v>0.69299999999999995</v>
          </cell>
          <cell r="O854">
            <v>0.68100000000000005</v>
          </cell>
          <cell r="P854">
            <v>0.65200000000000002</v>
          </cell>
          <cell r="Q854">
            <v>0.64900000000000002</v>
          </cell>
          <cell r="R854">
            <v>0.65100000000000002</v>
          </cell>
          <cell r="S854">
            <v>0.628</v>
          </cell>
          <cell r="T854">
            <v>0.628</v>
          </cell>
          <cell r="U854">
            <v>0.626</v>
          </cell>
          <cell r="V854">
            <v>0.628</v>
          </cell>
          <cell r="W854">
            <v>0.65300000000000002</v>
          </cell>
          <cell r="X854">
            <v>0.65900000000000003</v>
          </cell>
          <cell r="Y854">
            <v>0.65300000000000002</v>
          </cell>
          <cell r="Z854">
            <v>0.66</v>
          </cell>
          <cell r="AA854">
            <v>0.65600000000000003</v>
          </cell>
          <cell r="AB854">
            <v>0.65200000000000002</v>
          </cell>
          <cell r="AC854">
            <v>0.64900000000000002</v>
          </cell>
        </row>
        <row r="855">
          <cell r="A855" t="str">
            <v>Share subsidies C2 (%)</v>
          </cell>
          <cell r="C855">
            <v>0.379</v>
          </cell>
          <cell r="D855">
            <v>0.38400000000000001</v>
          </cell>
          <cell r="E855">
            <v>0.503</v>
          </cell>
          <cell r="F855">
            <v>0.51800000000000002</v>
          </cell>
          <cell r="G855">
            <v>0.53600000000000003</v>
          </cell>
          <cell r="H855">
            <v>0.55000000000000004</v>
          </cell>
          <cell r="I855">
            <v>0.56100000000000005</v>
          </cell>
          <cell r="J855">
            <v>0.54100000000000004</v>
          </cell>
          <cell r="K855">
            <v>0.54300000000000004</v>
          </cell>
          <cell r="L855">
            <v>0.53900000000000003</v>
          </cell>
          <cell r="M855">
            <v>0.53500000000000003</v>
          </cell>
          <cell r="N855">
            <v>0.53300000000000003</v>
          </cell>
          <cell r="O855">
            <v>0.52500000000000002</v>
          </cell>
          <cell r="P855">
            <v>0.50600000000000001</v>
          </cell>
          <cell r="Q855">
            <v>0.50600000000000001</v>
          </cell>
          <cell r="R855">
            <v>0.50800000000000001</v>
          </cell>
          <cell r="S855">
            <v>0.497</v>
          </cell>
          <cell r="T855">
            <v>0.49399999999999999</v>
          </cell>
          <cell r="U855">
            <v>0.49199999999999999</v>
          </cell>
          <cell r="V855">
            <v>0.49399999999999999</v>
          </cell>
          <cell r="W855">
            <v>0.53</v>
          </cell>
          <cell r="X855">
            <v>0.53600000000000003</v>
          </cell>
          <cell r="Y855">
            <v>0.53200000000000003</v>
          </cell>
          <cell r="Z855">
            <v>0.54</v>
          </cell>
          <cell r="AA855">
            <v>0.53500000000000003</v>
          </cell>
          <cell r="AB855">
            <v>0.53100000000000003</v>
          </cell>
          <cell r="AC855">
            <v>0.52500000000000002</v>
          </cell>
        </row>
        <row r="856">
          <cell r="A856" t="str">
            <v>Share subsidies C3 (%)</v>
          </cell>
          <cell r="C856">
            <v>0.27600000000000002</v>
          </cell>
          <cell r="D856">
            <v>0.27900000000000003</v>
          </cell>
          <cell r="E856">
            <v>0.39800000000000002</v>
          </cell>
          <cell r="F856">
            <v>0.40200000000000002</v>
          </cell>
          <cell r="G856">
            <v>0.40100000000000002</v>
          </cell>
          <cell r="H856">
            <v>0.41299999999999998</v>
          </cell>
          <cell r="I856">
            <v>0.41299999999999998</v>
          </cell>
          <cell r="J856">
            <v>0.39500000000000002</v>
          </cell>
          <cell r="K856">
            <v>0.39300000000000002</v>
          </cell>
          <cell r="L856">
            <v>0.38600000000000001</v>
          </cell>
          <cell r="M856">
            <v>0.38100000000000001</v>
          </cell>
          <cell r="N856">
            <v>0.378</v>
          </cell>
          <cell r="O856">
            <v>0.374</v>
          </cell>
          <cell r="P856">
            <v>0.36</v>
          </cell>
          <cell r="Q856">
            <v>0.36099999999999999</v>
          </cell>
          <cell r="R856">
            <v>0.36199999999999999</v>
          </cell>
          <cell r="S856">
            <v>0.34599999999999997</v>
          </cell>
          <cell r="T856">
            <v>0.34799999999999998</v>
          </cell>
          <cell r="U856">
            <v>0.34599999999999997</v>
          </cell>
          <cell r="V856">
            <v>0.34799999999999998</v>
          </cell>
          <cell r="W856">
            <v>0.374</v>
          </cell>
          <cell r="X856">
            <v>0.378</v>
          </cell>
          <cell r="Y856">
            <v>0.375</v>
          </cell>
          <cell r="Z856">
            <v>0.38100000000000001</v>
          </cell>
          <cell r="AA856">
            <v>0.378</v>
          </cell>
          <cell r="AB856">
            <v>0.374</v>
          </cell>
          <cell r="AC856">
            <v>0.372</v>
          </cell>
        </row>
        <row r="857">
          <cell r="A857" t="str">
            <v>Share subsidies C4 (%)</v>
          </cell>
          <cell r="C857">
            <v>0.216</v>
          </cell>
          <cell r="D857">
            <v>0.22</v>
          </cell>
          <cell r="E857">
            <v>0.32900000000000001</v>
          </cell>
          <cell r="F857">
            <v>0.33300000000000002</v>
          </cell>
          <cell r="G857">
            <v>0.33300000000000002</v>
          </cell>
          <cell r="H857">
            <v>0.34</v>
          </cell>
          <cell r="I857">
            <v>0.34599999999999997</v>
          </cell>
          <cell r="J857">
            <v>0.33400000000000002</v>
          </cell>
          <cell r="K857">
            <v>0.33300000000000002</v>
          </cell>
          <cell r="L857">
            <v>0.32600000000000001</v>
          </cell>
          <cell r="M857">
            <v>0.31900000000000001</v>
          </cell>
          <cell r="N857">
            <v>0.314</v>
          </cell>
          <cell r="O857">
            <v>0.313</v>
          </cell>
          <cell r="P857">
            <v>0.29899999999999999</v>
          </cell>
          <cell r="Q857">
            <v>0.29899999999999999</v>
          </cell>
          <cell r="R857">
            <v>0.30099999999999999</v>
          </cell>
          <cell r="S857">
            <v>0.29299999999999998</v>
          </cell>
          <cell r="T857">
            <v>0.29299999999999998</v>
          </cell>
          <cell r="U857">
            <v>0.29199999999999998</v>
          </cell>
          <cell r="V857">
            <v>0.29299999999999998</v>
          </cell>
          <cell r="W857">
            <v>0.317</v>
          </cell>
          <cell r="X857">
            <v>0.32200000000000001</v>
          </cell>
          <cell r="Y857">
            <v>0.318</v>
          </cell>
          <cell r="Z857">
            <v>0.32400000000000001</v>
          </cell>
          <cell r="AA857">
            <v>0.32100000000000001</v>
          </cell>
          <cell r="AB857">
            <v>0.317</v>
          </cell>
          <cell r="AC857">
            <v>0.313</v>
          </cell>
        </row>
        <row r="858">
          <cell r="A858" t="str">
            <v>Share subsidies C5 (%)</v>
          </cell>
          <cell r="C858">
            <v>0.11799999999999999</v>
          </cell>
          <cell r="D858">
            <v>0.121</v>
          </cell>
          <cell r="E858">
            <v>0.185</v>
          </cell>
          <cell r="F858">
            <v>0.18099999999999999</v>
          </cell>
          <cell r="G858">
            <v>0.17899999999999999</v>
          </cell>
          <cell r="H858">
            <v>0.188</v>
          </cell>
          <cell r="I858">
            <v>0.192</v>
          </cell>
          <cell r="J858">
            <v>0.188</v>
          </cell>
          <cell r="K858">
            <v>0.191</v>
          </cell>
          <cell r="L858">
            <v>0.184</v>
          </cell>
          <cell r="M858">
            <v>0.17399999999999999</v>
          </cell>
          <cell r="N858">
            <v>0.16700000000000001</v>
          </cell>
          <cell r="O858">
            <v>0.16700000000000001</v>
          </cell>
          <cell r="P858">
            <v>0.16700000000000001</v>
          </cell>
          <cell r="Q858">
            <v>0.16400000000000001</v>
          </cell>
          <cell r="R858">
            <v>0.16400000000000001</v>
          </cell>
          <cell r="S858">
            <v>0.16800000000000001</v>
          </cell>
          <cell r="T858">
            <v>0.161</v>
          </cell>
          <cell r="U858">
            <v>0.158</v>
          </cell>
          <cell r="V858">
            <v>0.154</v>
          </cell>
          <cell r="W858">
            <v>0.16</v>
          </cell>
          <cell r="X858">
            <v>0.16500000000000001</v>
          </cell>
          <cell r="Y858">
            <v>0.155</v>
          </cell>
          <cell r="Z858">
            <v>0.16</v>
          </cell>
          <cell r="AA858">
            <v>0.155</v>
          </cell>
          <cell r="AB858">
            <v>0.14799999999999999</v>
          </cell>
          <cell r="AC858">
            <v>0.14299999999999999</v>
          </cell>
        </row>
        <row r="859">
          <cell r="A859" t="str">
            <v>Stock (Million)</v>
          </cell>
          <cell r="B859">
            <v>30.225000000000001</v>
          </cell>
          <cell r="C859">
            <v>30.445</v>
          </cell>
          <cell r="D859">
            <v>30.713000000000001</v>
          </cell>
          <cell r="E859">
            <v>30.981000000000002</v>
          </cell>
          <cell r="F859">
            <v>31.248000000000001</v>
          </cell>
          <cell r="G859">
            <v>31.515000000000001</v>
          </cell>
          <cell r="H859">
            <v>31.782</v>
          </cell>
          <cell r="I859">
            <v>31.960999999999999</v>
          </cell>
          <cell r="J859">
            <v>32.139000000000003</v>
          </cell>
          <cell r="K859">
            <v>32.316000000000003</v>
          </cell>
          <cell r="L859">
            <v>32.494</v>
          </cell>
          <cell r="M859">
            <v>32.671999999999997</v>
          </cell>
          <cell r="N859">
            <v>32.848999999999997</v>
          </cell>
          <cell r="O859">
            <v>33.026000000000003</v>
          </cell>
          <cell r="P859">
            <v>33.203000000000003</v>
          </cell>
          <cell r="Q859">
            <v>33.380000000000003</v>
          </cell>
          <cell r="R859">
            <v>33.557000000000002</v>
          </cell>
          <cell r="S859">
            <v>33.606000000000002</v>
          </cell>
          <cell r="T859">
            <v>33.655999999999999</v>
          </cell>
          <cell r="U859">
            <v>33.704999999999998</v>
          </cell>
          <cell r="V859">
            <v>33.755000000000003</v>
          </cell>
          <cell r="W859">
            <v>33.804000000000002</v>
          </cell>
          <cell r="X859">
            <v>33.853000000000002</v>
          </cell>
          <cell r="Y859">
            <v>33.902999999999999</v>
          </cell>
          <cell r="Z859">
            <v>33.951999999999998</v>
          </cell>
          <cell r="AA859">
            <v>34.000999999999998</v>
          </cell>
          <cell r="AB859">
            <v>34.049999999999997</v>
          </cell>
          <cell r="AC859">
            <v>34.091999999999999</v>
          </cell>
        </row>
        <row r="860">
          <cell r="A860" t="str">
            <v>Stock A (Million)</v>
          </cell>
          <cell r="B860">
            <v>0.39700000000000002</v>
          </cell>
          <cell r="C860">
            <v>0.54500000000000004</v>
          </cell>
          <cell r="D860">
            <v>0.77500000000000002</v>
          </cell>
          <cell r="E860">
            <v>1.014</v>
          </cell>
          <cell r="F860">
            <v>1.262</v>
          </cell>
          <cell r="G860">
            <v>1.51</v>
          </cell>
          <cell r="H860">
            <v>1.7589999999999999</v>
          </cell>
          <cell r="I860">
            <v>1.9470000000000001</v>
          </cell>
          <cell r="J860">
            <v>2.1509999999999998</v>
          </cell>
          <cell r="K860">
            <v>2.3519999999999999</v>
          </cell>
          <cell r="L860">
            <v>2.5609999999999999</v>
          </cell>
          <cell r="M860">
            <v>2.7789999999999999</v>
          </cell>
          <cell r="N860">
            <v>3.0059999999999998</v>
          </cell>
          <cell r="O860">
            <v>3.2250000000000001</v>
          </cell>
          <cell r="P860">
            <v>3.456</v>
          </cell>
          <cell r="Q860">
            <v>3.6960000000000002</v>
          </cell>
          <cell r="R860">
            <v>3.9380000000000002</v>
          </cell>
          <cell r="S860">
            <v>4.1139999999999999</v>
          </cell>
          <cell r="T860">
            <v>4.2869999999999999</v>
          </cell>
          <cell r="U860">
            <v>4.4640000000000004</v>
          </cell>
          <cell r="V860">
            <v>4.6390000000000002</v>
          </cell>
          <cell r="W860">
            <v>4.7679999999999998</v>
          </cell>
          <cell r="X860">
            <v>4.8940000000000001</v>
          </cell>
          <cell r="Y860">
            <v>5.0179999999999998</v>
          </cell>
          <cell r="Z860">
            <v>5.14</v>
          </cell>
          <cell r="AA860">
            <v>5.2590000000000003</v>
          </cell>
          <cell r="AB860">
            <v>5.3769999999999998</v>
          </cell>
          <cell r="AC860">
            <v>5.4960000000000004</v>
          </cell>
        </row>
        <row r="861">
          <cell r="A861" t="str">
            <v>Stock B (Million)</v>
          </cell>
          <cell r="B861">
            <v>2.1560000000000001</v>
          </cell>
          <cell r="C861">
            <v>2.4350000000000001</v>
          </cell>
          <cell r="D861">
            <v>2.7589999999999999</v>
          </cell>
          <cell r="E861">
            <v>3.1080000000000001</v>
          </cell>
          <cell r="F861">
            <v>3.4849999999999999</v>
          </cell>
          <cell r="G861">
            <v>3.88</v>
          </cell>
          <cell r="H861">
            <v>4.298</v>
          </cell>
          <cell r="I861">
            <v>4.71</v>
          </cell>
          <cell r="J861">
            <v>5.1550000000000002</v>
          </cell>
          <cell r="K861">
            <v>5.6230000000000002</v>
          </cell>
          <cell r="L861">
            <v>6.1159999999999997</v>
          </cell>
          <cell r="M861">
            <v>6.6289999999999996</v>
          </cell>
          <cell r="N861">
            <v>7.16</v>
          </cell>
          <cell r="O861">
            <v>7.6289999999999996</v>
          </cell>
          <cell r="P861">
            <v>8.1199999999999992</v>
          </cell>
          <cell r="Q861">
            <v>8.6240000000000006</v>
          </cell>
          <cell r="R861">
            <v>9.1059999999999999</v>
          </cell>
          <cell r="S861">
            <v>9.5779999999999994</v>
          </cell>
          <cell r="T861">
            <v>10.029</v>
          </cell>
          <cell r="U861">
            <v>10.477</v>
          </cell>
          <cell r="V861">
            <v>10.901</v>
          </cell>
          <cell r="W861">
            <v>11.173</v>
          </cell>
          <cell r="X861">
            <v>11.425000000000001</v>
          </cell>
          <cell r="Y861">
            <v>11.68</v>
          </cell>
          <cell r="Z861">
            <v>11.916</v>
          </cell>
          <cell r="AA861">
            <v>12.146000000000001</v>
          </cell>
          <cell r="AB861">
            <v>12.371</v>
          </cell>
          <cell r="AC861">
            <v>12.590999999999999</v>
          </cell>
        </row>
        <row r="862">
          <cell r="A862" t="str">
            <v>Stock C (Million)</v>
          </cell>
          <cell r="B862">
            <v>5.55</v>
          </cell>
          <cell r="C862">
            <v>6.0179999999999998</v>
          </cell>
          <cell r="D862">
            <v>6.4219999999999997</v>
          </cell>
          <cell r="E862">
            <v>7.0019999999999998</v>
          </cell>
          <cell r="F862">
            <v>7.5830000000000002</v>
          </cell>
          <cell r="G862">
            <v>8.1660000000000004</v>
          </cell>
          <cell r="H862">
            <v>8.7690000000000001</v>
          </cell>
          <cell r="I862">
            <v>9.3789999999999996</v>
          </cell>
          <cell r="J862">
            <v>9.9779999999999998</v>
          </cell>
          <cell r="K862">
            <v>10.547000000000001</v>
          </cell>
          <cell r="L862">
            <v>11.045</v>
          </cell>
          <cell r="M862">
            <v>11.486000000000001</v>
          </cell>
          <cell r="N862">
            <v>11.86</v>
          </cell>
          <cell r="O862">
            <v>12.102</v>
          </cell>
          <cell r="P862">
            <v>12.430999999999999</v>
          </cell>
          <cell r="Q862">
            <v>12.670999999999999</v>
          </cell>
          <cell r="R862">
            <v>12.821</v>
          </cell>
          <cell r="S862">
            <v>13.044</v>
          </cell>
          <cell r="T862">
            <v>13.095000000000001</v>
          </cell>
          <cell r="U862">
            <v>13.098000000000001</v>
          </cell>
          <cell r="V862">
            <v>13.045999999999999</v>
          </cell>
          <cell r="W862">
            <v>13.007999999999999</v>
          </cell>
          <cell r="X862">
            <v>12.962999999999999</v>
          </cell>
          <cell r="Y862">
            <v>12.907999999999999</v>
          </cell>
          <cell r="Z862">
            <v>12.849</v>
          </cell>
          <cell r="AA862">
            <v>12.782999999999999</v>
          </cell>
          <cell r="AB862">
            <v>12.712</v>
          </cell>
          <cell r="AC862">
            <v>12.637</v>
          </cell>
        </row>
        <row r="863">
          <cell r="A863" t="str">
            <v>Stock D (Million)</v>
          </cell>
          <cell r="B863">
            <v>12.773999999999999</v>
          </cell>
          <cell r="C863">
            <v>12.688000000000001</v>
          </cell>
          <cell r="D863">
            <v>12.589</v>
          </cell>
          <cell r="E863">
            <v>12.481999999999999</v>
          </cell>
          <cell r="F863">
            <v>12.31</v>
          </cell>
          <cell r="G863">
            <v>12.032999999999999</v>
          </cell>
          <cell r="H863">
            <v>11.680999999999999</v>
          </cell>
          <cell r="I863">
            <v>11.26</v>
          </cell>
          <cell r="J863">
            <v>10.956</v>
          </cell>
          <cell r="K863">
            <v>10.538</v>
          </cell>
          <cell r="L863">
            <v>10.066000000000001</v>
          </cell>
          <cell r="M863">
            <v>9.5239999999999991</v>
          </cell>
          <cell r="N863">
            <v>8.9529999999999994</v>
          </cell>
          <cell r="O863">
            <v>8.4779999999999998</v>
          </cell>
          <cell r="P863">
            <v>7.8449999999999998</v>
          </cell>
          <cell r="Q863">
            <v>7.25</v>
          </cell>
          <cell r="R863">
            <v>6.7320000000000002</v>
          </cell>
          <cell r="S863">
            <v>6.1260000000000003</v>
          </cell>
          <cell r="T863">
            <v>5.6390000000000002</v>
          </cell>
          <cell r="U863">
            <v>5.18</v>
          </cell>
          <cell r="V863">
            <v>4.7850000000000001</v>
          </cell>
          <cell r="W863">
            <v>4.5540000000000003</v>
          </cell>
          <cell r="X863">
            <v>4.3440000000000003</v>
          </cell>
          <cell r="Y863">
            <v>4.1340000000000003</v>
          </cell>
          <cell r="Z863">
            <v>3.9449999999999998</v>
          </cell>
          <cell r="AA863">
            <v>3.7639999999999998</v>
          </cell>
          <cell r="AB863">
            <v>3.5449999999999999</v>
          </cell>
          <cell r="AC863">
            <v>3.327</v>
          </cell>
        </row>
        <row r="864">
          <cell r="A864" t="str">
            <v>Stock Direct electric (Million)</v>
          </cell>
          <cell r="B864">
            <v>8.3170000000000002</v>
          </cell>
          <cell r="C864">
            <v>8.0120000000000005</v>
          </cell>
          <cell r="D864">
            <v>7.72</v>
          </cell>
          <cell r="E864">
            <v>7.4039999999999999</v>
          </cell>
          <cell r="F864">
            <v>7.0990000000000002</v>
          </cell>
          <cell r="G864">
            <v>6.7809999999999997</v>
          </cell>
          <cell r="H864">
            <v>6.45</v>
          </cell>
          <cell r="I864">
            <v>6.0890000000000004</v>
          </cell>
          <cell r="J864">
            <v>5.7549999999999999</v>
          </cell>
          <cell r="K864">
            <v>5.407</v>
          </cell>
          <cell r="L864">
            <v>5.0659999999999998</v>
          </cell>
          <cell r="M864">
            <v>4.7359999999999998</v>
          </cell>
          <cell r="N864">
            <v>4.4139999999999997</v>
          </cell>
          <cell r="O864">
            <v>4.0890000000000004</v>
          </cell>
          <cell r="P864">
            <v>3.778</v>
          </cell>
          <cell r="Q864">
            <v>3.4769999999999999</v>
          </cell>
          <cell r="R864">
            <v>3.1789999999999998</v>
          </cell>
          <cell r="S864">
            <v>2.8879999999999999</v>
          </cell>
          <cell r="T864">
            <v>2.593</v>
          </cell>
          <cell r="U864">
            <v>2.3029999999999999</v>
          </cell>
          <cell r="V864">
            <v>2.0169999999999999</v>
          </cell>
          <cell r="W864">
            <v>1.9470000000000001</v>
          </cell>
          <cell r="X864">
            <v>1.87</v>
          </cell>
          <cell r="Y864">
            <v>1.8160000000000001</v>
          </cell>
          <cell r="Z864">
            <v>1.754</v>
          </cell>
          <cell r="AA864">
            <v>1.7010000000000001</v>
          </cell>
          <cell r="AB864">
            <v>1.66</v>
          </cell>
          <cell r="AC864">
            <v>1.629</v>
          </cell>
        </row>
        <row r="865">
          <cell r="A865" t="str">
            <v>Stock District heating (Million)</v>
          </cell>
          <cell r="B865">
            <v>1.421</v>
          </cell>
          <cell r="C865">
            <v>1.5649999999999999</v>
          </cell>
          <cell r="D865">
            <v>1.619</v>
          </cell>
          <cell r="E865">
            <v>1.8680000000000001</v>
          </cell>
          <cell r="F865">
            <v>2.0470000000000002</v>
          </cell>
          <cell r="G865">
            <v>2.375</v>
          </cell>
          <cell r="H865">
            <v>2.8740000000000001</v>
          </cell>
          <cell r="I865">
            <v>3.5209999999999999</v>
          </cell>
          <cell r="J865">
            <v>3.9180000000000001</v>
          </cell>
          <cell r="K865">
            <v>4.4889999999999999</v>
          </cell>
          <cell r="L865">
            <v>4.9939999999999998</v>
          </cell>
          <cell r="M865">
            <v>5.4189999999999996</v>
          </cell>
          <cell r="N865">
            <v>5.7720000000000002</v>
          </cell>
          <cell r="O865">
            <v>6.0640000000000001</v>
          </cell>
          <cell r="P865">
            <v>6.2549999999999999</v>
          </cell>
          <cell r="Q865">
            <v>6.3949999999999996</v>
          </cell>
          <cell r="R865">
            <v>6.484</v>
          </cell>
          <cell r="S865">
            <v>6.48</v>
          </cell>
          <cell r="T865">
            <v>6.5060000000000002</v>
          </cell>
          <cell r="U865">
            <v>6.53</v>
          </cell>
          <cell r="V865">
            <v>6.5540000000000003</v>
          </cell>
          <cell r="W865">
            <v>6.5759999999999996</v>
          </cell>
          <cell r="X865">
            <v>6.5970000000000004</v>
          </cell>
          <cell r="Y865">
            <v>6.6180000000000003</v>
          </cell>
          <cell r="Z865">
            <v>6.6379999999999999</v>
          </cell>
          <cell r="AA865">
            <v>6.6580000000000004</v>
          </cell>
          <cell r="AB865">
            <v>6.6970000000000001</v>
          </cell>
          <cell r="AC865">
            <v>6.7350000000000003</v>
          </cell>
        </row>
        <row r="866">
          <cell r="A866" t="str">
            <v>Stock E (Million)</v>
          </cell>
          <cell r="B866">
            <v>5.024</v>
          </cell>
          <cell r="C866">
            <v>4.8410000000000002</v>
          </cell>
          <cell r="D866">
            <v>4.6219999999999999</v>
          </cell>
          <cell r="E866">
            <v>4.3940000000000001</v>
          </cell>
          <cell r="F866">
            <v>4.1429999999999998</v>
          </cell>
          <cell r="G866">
            <v>3.8820000000000001</v>
          </cell>
          <cell r="H866">
            <v>3.6160000000000001</v>
          </cell>
          <cell r="I866">
            <v>3.3519999999999999</v>
          </cell>
          <cell r="J866">
            <v>2.86</v>
          </cell>
          <cell r="K866">
            <v>2.4329999999999998</v>
          </cell>
          <cell r="L866">
            <v>2.0550000000000002</v>
          </cell>
          <cell r="M866">
            <v>1.74</v>
          </cell>
          <cell r="N866">
            <v>1.4670000000000001</v>
          </cell>
          <cell r="O866">
            <v>1.266</v>
          </cell>
          <cell r="P866">
            <v>1.089</v>
          </cell>
          <cell r="Q866">
            <v>0.93</v>
          </cell>
          <cell r="R866">
            <v>0.79500000000000004</v>
          </cell>
          <cell r="S866">
            <v>0.622</v>
          </cell>
          <cell r="T866">
            <v>0.51300000000000001</v>
          </cell>
          <cell r="U866">
            <v>0.41599999999999998</v>
          </cell>
          <cell r="V866">
            <v>0.33100000000000002</v>
          </cell>
          <cell r="W866">
            <v>0.26200000000000001</v>
          </cell>
          <cell r="X866">
            <v>0.19900000000000001</v>
          </cell>
          <cell r="Y866">
            <v>0.14199999999999999</v>
          </cell>
          <cell r="Z866">
            <v>0.09</v>
          </cell>
          <cell r="AA866">
            <v>4.2999999999999997E-2</v>
          </cell>
          <cell r="AB866">
            <v>3.9E-2</v>
          </cell>
          <cell r="AC866">
            <v>3.5999999999999997E-2</v>
          </cell>
        </row>
        <row r="867">
          <cell r="A867" t="str">
            <v>Stock efficient (Million)</v>
          </cell>
          <cell r="B867">
            <v>2.5529999999999999</v>
          </cell>
          <cell r="C867">
            <v>2.98</v>
          </cell>
          <cell r="D867">
            <v>3.5339999999999998</v>
          </cell>
          <cell r="E867">
            <v>4.1219999999999999</v>
          </cell>
          <cell r="F867">
            <v>4.7460000000000004</v>
          </cell>
          <cell r="G867">
            <v>5.391</v>
          </cell>
          <cell r="H867">
            <v>6.0570000000000004</v>
          </cell>
          <cell r="I867">
            <v>6.6580000000000004</v>
          </cell>
          <cell r="J867">
            <v>7.306</v>
          </cell>
          <cell r="K867">
            <v>7.976</v>
          </cell>
          <cell r="L867">
            <v>8.6769999999999996</v>
          </cell>
          <cell r="M867">
            <v>9.4079999999999995</v>
          </cell>
          <cell r="N867">
            <v>10.166</v>
          </cell>
          <cell r="O867">
            <v>10.853999999999999</v>
          </cell>
          <cell r="P867">
            <v>11.574999999999999</v>
          </cell>
          <cell r="Q867">
            <v>12.32</v>
          </cell>
          <cell r="R867">
            <v>13.044</v>
          </cell>
          <cell r="S867">
            <v>13.692</v>
          </cell>
          <cell r="T867">
            <v>14.316000000000001</v>
          </cell>
          <cell r="U867">
            <v>14.941000000000001</v>
          </cell>
          <cell r="V867">
            <v>15.541</v>
          </cell>
          <cell r="W867">
            <v>15.941000000000001</v>
          </cell>
          <cell r="X867">
            <v>16.318999999999999</v>
          </cell>
          <cell r="Y867">
            <v>16.698</v>
          </cell>
          <cell r="Z867">
            <v>17.056000000000001</v>
          </cell>
          <cell r="AA867">
            <v>17.405000000000001</v>
          </cell>
          <cell r="AB867">
            <v>17.748000000000001</v>
          </cell>
          <cell r="AC867">
            <v>18.087</v>
          </cell>
        </row>
        <row r="868">
          <cell r="A868" t="str">
            <v>Stock Electricity-Heat pump air (Million)</v>
          </cell>
          <cell r="B868">
            <v>0.57899999999999996</v>
          </cell>
          <cell r="C868">
            <v>0.91300000000000003</v>
          </cell>
          <cell r="D868">
            <v>1.286</v>
          </cell>
          <cell r="E868">
            <v>1.6120000000000001</v>
          </cell>
          <cell r="F868">
            <v>1.958</v>
          </cell>
          <cell r="G868">
            <v>2.2749999999999999</v>
          </cell>
          <cell r="H868">
            <v>2.5619999999999998</v>
          </cell>
          <cell r="I868">
            <v>2.8079999999999998</v>
          </cell>
          <cell r="J868">
            <v>3.0950000000000002</v>
          </cell>
          <cell r="K868">
            <v>3.3530000000000002</v>
          </cell>
          <cell r="L868">
            <v>3.621</v>
          </cell>
          <cell r="M868">
            <v>3.903</v>
          </cell>
          <cell r="N868">
            <v>4.1980000000000004</v>
          </cell>
          <cell r="O868">
            <v>4.4480000000000004</v>
          </cell>
          <cell r="P868">
            <v>4.7140000000000004</v>
          </cell>
          <cell r="Q868">
            <v>4.9870000000000001</v>
          </cell>
          <cell r="R868">
            <v>5.242</v>
          </cell>
          <cell r="S868">
            <v>5.4880000000000004</v>
          </cell>
          <cell r="T868">
            <v>5.7060000000000004</v>
          </cell>
          <cell r="U868">
            <v>5.9219999999999997</v>
          </cell>
          <cell r="V868">
            <v>6.125</v>
          </cell>
          <cell r="W868">
            <v>6.1890000000000001</v>
          </cell>
          <cell r="X868">
            <v>6.2409999999999997</v>
          </cell>
          <cell r="Y868">
            <v>6.32</v>
          </cell>
          <cell r="Z868">
            <v>6.3879999999999999</v>
          </cell>
          <cell r="AA868">
            <v>6.46</v>
          </cell>
          <cell r="AB868">
            <v>6.5359999999999996</v>
          </cell>
          <cell r="AC868">
            <v>6.6130000000000004</v>
          </cell>
        </row>
        <row r="869">
          <cell r="A869" t="str">
            <v>Stock Electricity-Heat pump water (Million)</v>
          </cell>
          <cell r="B869">
            <v>2.3170000000000002</v>
          </cell>
          <cell r="C869">
            <v>2.7290000000000001</v>
          </cell>
          <cell r="D869">
            <v>3.2120000000000002</v>
          </cell>
          <cell r="E869">
            <v>3.7050000000000001</v>
          </cell>
          <cell r="F869">
            <v>4.2270000000000003</v>
          </cell>
          <cell r="G869">
            <v>4.72</v>
          </cell>
          <cell r="H869">
            <v>5.1829999999999998</v>
          </cell>
          <cell r="I869">
            <v>5.5650000000000004</v>
          </cell>
          <cell r="J869">
            <v>5.9969999999999999</v>
          </cell>
          <cell r="K869">
            <v>6.399</v>
          </cell>
          <cell r="L869">
            <v>6.8159999999999998</v>
          </cell>
          <cell r="M869">
            <v>7.2510000000000003</v>
          </cell>
          <cell r="N869">
            <v>7.7030000000000003</v>
          </cell>
          <cell r="O869">
            <v>8.0739999999999998</v>
          </cell>
          <cell r="P869">
            <v>8.4640000000000004</v>
          </cell>
          <cell r="Q869">
            <v>8.8610000000000007</v>
          </cell>
          <cell r="R869">
            <v>9.2309999999999999</v>
          </cell>
          <cell r="S869">
            <v>9.5730000000000004</v>
          </cell>
          <cell r="T869">
            <v>9.8770000000000007</v>
          </cell>
          <cell r="U869">
            <v>10.177</v>
          </cell>
          <cell r="V869">
            <v>10.458</v>
          </cell>
          <cell r="W869">
            <v>10.641999999999999</v>
          </cell>
          <cell r="X869">
            <v>10.815</v>
          </cell>
          <cell r="Y869">
            <v>10.981</v>
          </cell>
          <cell r="Z869">
            <v>11.134</v>
          </cell>
          <cell r="AA869">
            <v>11.282</v>
          </cell>
          <cell r="AB869">
            <v>11.423</v>
          </cell>
          <cell r="AC869">
            <v>11.558999999999999</v>
          </cell>
        </row>
        <row r="870">
          <cell r="A870" t="str">
            <v>Stock Electricity-Performance boiler (Million)</v>
          </cell>
          <cell r="B870">
            <v>8.3170000000000002</v>
          </cell>
          <cell r="C870">
            <v>8.0120000000000005</v>
          </cell>
          <cell r="D870">
            <v>7.72</v>
          </cell>
          <cell r="E870">
            <v>7.4039999999999999</v>
          </cell>
          <cell r="F870">
            <v>7.0990000000000002</v>
          </cell>
          <cell r="G870">
            <v>6.7809999999999997</v>
          </cell>
          <cell r="H870">
            <v>6.45</v>
          </cell>
          <cell r="I870">
            <v>6.0890000000000004</v>
          </cell>
          <cell r="J870">
            <v>5.7549999999999999</v>
          </cell>
          <cell r="K870">
            <v>5.407</v>
          </cell>
          <cell r="L870">
            <v>5.0659999999999998</v>
          </cell>
          <cell r="M870">
            <v>4.7359999999999998</v>
          </cell>
          <cell r="N870">
            <v>4.4139999999999997</v>
          </cell>
          <cell r="O870">
            <v>4.0890000000000004</v>
          </cell>
          <cell r="P870">
            <v>3.778</v>
          </cell>
          <cell r="Q870">
            <v>3.4769999999999999</v>
          </cell>
          <cell r="R870">
            <v>3.1789999999999998</v>
          </cell>
          <cell r="S870">
            <v>2.8879999999999999</v>
          </cell>
          <cell r="T870">
            <v>2.593</v>
          </cell>
          <cell r="U870">
            <v>2.3029999999999999</v>
          </cell>
          <cell r="V870">
            <v>2.0169999999999999</v>
          </cell>
          <cell r="W870">
            <v>1.9470000000000001</v>
          </cell>
          <cell r="X870">
            <v>1.87</v>
          </cell>
          <cell r="Y870">
            <v>1.8160000000000001</v>
          </cell>
          <cell r="Z870">
            <v>1.754</v>
          </cell>
          <cell r="AA870">
            <v>1.7010000000000001</v>
          </cell>
          <cell r="AB870">
            <v>1.66</v>
          </cell>
          <cell r="AC870">
            <v>1.629</v>
          </cell>
        </row>
        <row r="871">
          <cell r="A871" t="str">
            <v>Stock existing (Million)</v>
          </cell>
          <cell r="B871">
            <v>30.225000000000001</v>
          </cell>
          <cell r="C871">
            <v>30.195</v>
          </cell>
          <cell r="D871">
            <v>30.164999999999999</v>
          </cell>
          <cell r="E871">
            <v>30.134</v>
          </cell>
          <cell r="F871">
            <v>30.103000000000002</v>
          </cell>
          <cell r="G871">
            <v>30.071999999999999</v>
          </cell>
          <cell r="H871">
            <v>30.04</v>
          </cell>
          <cell r="I871">
            <v>30.007999999999999</v>
          </cell>
          <cell r="J871">
            <v>29.975999999999999</v>
          </cell>
          <cell r="K871">
            <v>29.943999999999999</v>
          </cell>
          <cell r="L871">
            <v>29.911999999999999</v>
          </cell>
          <cell r="M871">
            <v>29.879000000000001</v>
          </cell>
          <cell r="N871">
            <v>29.847000000000001</v>
          </cell>
          <cell r="O871">
            <v>29.814</v>
          </cell>
          <cell r="P871">
            <v>29.780999999999999</v>
          </cell>
          <cell r="Q871">
            <v>29.748000000000001</v>
          </cell>
          <cell r="R871">
            <v>29.713999999999999</v>
          </cell>
          <cell r="S871">
            <v>29.664000000000001</v>
          </cell>
          <cell r="T871">
            <v>29.614000000000001</v>
          </cell>
          <cell r="U871">
            <v>29.562999999999999</v>
          </cell>
          <cell r="V871">
            <v>29.513000000000002</v>
          </cell>
          <cell r="W871">
            <v>29.462</v>
          </cell>
          <cell r="X871">
            <v>29.411000000000001</v>
          </cell>
          <cell r="Y871">
            <v>29.36</v>
          </cell>
          <cell r="Z871">
            <v>29.31</v>
          </cell>
          <cell r="AA871">
            <v>29.259</v>
          </cell>
          <cell r="AB871">
            <v>29.207999999999998</v>
          </cell>
          <cell r="AC871">
            <v>29.15</v>
          </cell>
        </row>
        <row r="872">
          <cell r="A872" t="str">
            <v>Stock F (Million)</v>
          </cell>
          <cell r="B872">
            <v>2.927</v>
          </cell>
          <cell r="C872">
            <v>2.7549999999999999</v>
          </cell>
          <cell r="D872">
            <v>2.573</v>
          </cell>
          <cell r="E872">
            <v>2.23</v>
          </cell>
          <cell r="F872">
            <v>1.9119999999999999</v>
          </cell>
          <cell r="G872">
            <v>1.639</v>
          </cell>
          <cell r="H872">
            <v>1.38</v>
          </cell>
          <cell r="I872">
            <v>1.1160000000000001</v>
          </cell>
          <cell r="J872">
            <v>0.90100000000000002</v>
          </cell>
          <cell r="K872">
            <v>0.72499999999999998</v>
          </cell>
          <cell r="L872">
            <v>0.58199999999999996</v>
          </cell>
          <cell r="M872">
            <v>0.46500000000000002</v>
          </cell>
          <cell r="N872">
            <v>0.36899999999999999</v>
          </cell>
          <cell r="O872">
            <v>0.29899999999999999</v>
          </cell>
          <cell r="P872">
            <v>0.24199999999999999</v>
          </cell>
          <cell r="Q872">
            <v>0.192</v>
          </cell>
          <cell r="R872">
            <v>0.152</v>
          </cell>
          <cell r="S872">
            <v>0.113</v>
          </cell>
          <cell r="T872">
            <v>8.6999999999999994E-2</v>
          </cell>
          <cell r="U872">
            <v>6.5000000000000002E-2</v>
          </cell>
          <cell r="V872">
            <v>4.8000000000000001E-2</v>
          </cell>
          <cell r="W872">
            <v>3.6999999999999998E-2</v>
          </cell>
          <cell r="X872">
            <v>2.7E-2</v>
          </cell>
          <cell r="Y872">
            <v>1.9E-2</v>
          </cell>
          <cell r="Z872">
            <v>1.2E-2</v>
          </cell>
          <cell r="AA872">
            <v>6.0000000000000001E-3</v>
          </cell>
          <cell r="AB872">
            <v>5.0000000000000001E-3</v>
          </cell>
          <cell r="AC872">
            <v>5.0000000000000001E-3</v>
          </cell>
        </row>
        <row r="873">
          <cell r="A873" t="str">
            <v>Stock G (Million)</v>
          </cell>
          <cell r="B873">
            <v>1.3979999999999999</v>
          </cell>
          <cell r="C873">
            <v>1.1619999999999999</v>
          </cell>
          <cell r="D873">
            <v>0.97299999999999998</v>
          </cell>
          <cell r="E873">
            <v>0.751</v>
          </cell>
          <cell r="F873">
            <v>0.55300000000000005</v>
          </cell>
          <cell r="G873">
            <v>0.40500000000000003</v>
          </cell>
          <cell r="H873">
            <v>0.28000000000000003</v>
          </cell>
          <cell r="I873">
            <v>0.19500000000000001</v>
          </cell>
          <cell r="J873">
            <v>0.13700000000000001</v>
          </cell>
          <cell r="K873">
            <v>9.7000000000000003E-2</v>
          </cell>
          <cell r="L873">
            <v>6.8000000000000005E-2</v>
          </cell>
          <cell r="M873">
            <v>4.9000000000000002E-2</v>
          </cell>
          <cell r="N873">
            <v>3.5000000000000003E-2</v>
          </cell>
          <cell r="O873">
            <v>2.7E-2</v>
          </cell>
          <cell r="P873">
            <v>2.1000000000000001E-2</v>
          </cell>
          <cell r="Q873">
            <v>1.6E-2</v>
          </cell>
          <cell r="R873">
            <v>1.2E-2</v>
          </cell>
          <cell r="S873">
            <v>8.9999999999999993E-3</v>
          </cell>
          <cell r="T873">
            <v>7.0000000000000001E-3</v>
          </cell>
          <cell r="U873">
            <v>5.0000000000000001E-3</v>
          </cell>
          <cell r="V873">
            <v>3.0000000000000001E-3</v>
          </cell>
          <cell r="W873">
            <v>2E-3</v>
          </cell>
          <cell r="X873">
            <v>2E-3</v>
          </cell>
          <cell r="Y873">
            <v>1E-3</v>
          </cell>
          <cell r="Z873">
            <v>1E-3</v>
          </cell>
          <cell r="AA873">
            <v>0</v>
          </cell>
          <cell r="AB873">
            <v>0</v>
          </cell>
          <cell r="AC873">
            <v>0</v>
          </cell>
        </row>
        <row r="874">
          <cell r="A874" t="str">
            <v>Stock Heat pump (Million)</v>
          </cell>
          <cell r="B874">
            <v>2.8959999999999999</v>
          </cell>
          <cell r="C874">
            <v>3.6419999999999999</v>
          </cell>
          <cell r="D874">
            <v>4.4980000000000002</v>
          </cell>
          <cell r="E874">
            <v>5.3159999999999998</v>
          </cell>
          <cell r="F874">
            <v>6.1849999999999996</v>
          </cell>
          <cell r="G874">
            <v>6.9960000000000004</v>
          </cell>
          <cell r="H874">
            <v>7.7450000000000001</v>
          </cell>
          <cell r="I874">
            <v>8.3729999999999993</v>
          </cell>
          <cell r="J874">
            <v>9.0920000000000005</v>
          </cell>
          <cell r="K874">
            <v>9.7509999999999994</v>
          </cell>
          <cell r="L874">
            <v>10.436999999999999</v>
          </cell>
          <cell r="M874">
            <v>11.154</v>
          </cell>
          <cell r="N874">
            <v>11.901999999999999</v>
          </cell>
          <cell r="O874">
            <v>12.522</v>
          </cell>
          <cell r="P874">
            <v>13.178000000000001</v>
          </cell>
          <cell r="Q874">
            <v>13.848000000000001</v>
          </cell>
          <cell r="R874">
            <v>14.472</v>
          </cell>
          <cell r="S874">
            <v>15.061</v>
          </cell>
          <cell r="T874">
            <v>15.583</v>
          </cell>
          <cell r="U874">
            <v>16.099</v>
          </cell>
          <cell r="V874">
            <v>16.582000000000001</v>
          </cell>
          <cell r="W874">
            <v>16.832000000000001</v>
          </cell>
          <cell r="X874">
            <v>17.056000000000001</v>
          </cell>
          <cell r="Y874">
            <v>17.302</v>
          </cell>
          <cell r="Z874">
            <v>17.521999999999998</v>
          </cell>
          <cell r="AA874">
            <v>17.742000000000001</v>
          </cell>
          <cell r="AB874">
            <v>17.959</v>
          </cell>
          <cell r="AC874">
            <v>18.172000000000001</v>
          </cell>
        </row>
        <row r="875">
          <cell r="A875" t="str">
            <v>Stock Heating-District heating (Million)</v>
          </cell>
          <cell r="B875">
            <v>1.421</v>
          </cell>
          <cell r="C875">
            <v>1.5649999999999999</v>
          </cell>
          <cell r="D875">
            <v>1.619</v>
          </cell>
          <cell r="E875">
            <v>1.8680000000000001</v>
          </cell>
          <cell r="F875">
            <v>2.0470000000000002</v>
          </cell>
          <cell r="G875">
            <v>2.375</v>
          </cell>
          <cell r="H875">
            <v>2.8740000000000001</v>
          </cell>
          <cell r="I875">
            <v>3.5209999999999999</v>
          </cell>
          <cell r="J875">
            <v>3.9180000000000001</v>
          </cell>
          <cell r="K875">
            <v>4.4889999999999999</v>
          </cell>
          <cell r="L875">
            <v>4.9939999999999998</v>
          </cell>
          <cell r="M875">
            <v>5.4189999999999996</v>
          </cell>
          <cell r="N875">
            <v>5.7720000000000002</v>
          </cell>
          <cell r="O875">
            <v>6.0640000000000001</v>
          </cell>
          <cell r="P875">
            <v>6.2549999999999999</v>
          </cell>
          <cell r="Q875">
            <v>6.3949999999999996</v>
          </cell>
          <cell r="R875">
            <v>6.484</v>
          </cell>
          <cell r="S875">
            <v>6.48</v>
          </cell>
          <cell r="T875">
            <v>6.5060000000000002</v>
          </cell>
          <cell r="U875">
            <v>6.53</v>
          </cell>
          <cell r="V875">
            <v>6.5540000000000003</v>
          </cell>
          <cell r="W875">
            <v>6.5759999999999996</v>
          </cell>
          <cell r="X875">
            <v>6.5970000000000004</v>
          </cell>
          <cell r="Y875">
            <v>6.6180000000000003</v>
          </cell>
          <cell r="Z875">
            <v>6.6379999999999999</v>
          </cell>
          <cell r="AA875">
            <v>6.6580000000000004</v>
          </cell>
          <cell r="AB875">
            <v>6.6970000000000001</v>
          </cell>
          <cell r="AC875">
            <v>6.7350000000000003</v>
          </cell>
        </row>
        <row r="876">
          <cell r="A876" t="str">
            <v>Stock low-efficient (Million)</v>
          </cell>
          <cell r="B876">
            <v>4.3250000000000002</v>
          </cell>
          <cell r="C876">
            <v>3.9180000000000001</v>
          </cell>
          <cell r="D876">
            <v>3.5459999999999998</v>
          </cell>
          <cell r="E876">
            <v>2.9809999999999999</v>
          </cell>
          <cell r="F876">
            <v>2.4660000000000002</v>
          </cell>
          <cell r="G876">
            <v>2.044</v>
          </cell>
          <cell r="H876">
            <v>1.659</v>
          </cell>
          <cell r="I876">
            <v>1.3109999999999999</v>
          </cell>
          <cell r="J876">
            <v>1.038</v>
          </cell>
          <cell r="K876">
            <v>0.82199999999999995</v>
          </cell>
          <cell r="L876">
            <v>0.65</v>
          </cell>
          <cell r="M876">
            <v>0.51300000000000001</v>
          </cell>
          <cell r="N876">
            <v>0.40300000000000002</v>
          </cell>
          <cell r="O876">
            <v>0.32600000000000001</v>
          </cell>
          <cell r="P876">
            <v>0.26300000000000001</v>
          </cell>
          <cell r="Q876">
            <v>0.20899999999999999</v>
          </cell>
          <cell r="R876">
            <v>0.16500000000000001</v>
          </cell>
          <cell r="S876">
            <v>0.122</v>
          </cell>
          <cell r="T876">
            <v>9.2999999999999999E-2</v>
          </cell>
          <cell r="U876">
            <v>7.0000000000000007E-2</v>
          </cell>
          <cell r="V876">
            <v>5.1999999999999998E-2</v>
          </cell>
          <cell r="W876">
            <v>3.9E-2</v>
          </cell>
          <cell r="X876">
            <v>2.9000000000000001E-2</v>
          </cell>
          <cell r="Y876">
            <v>0.02</v>
          </cell>
          <cell r="Z876">
            <v>1.2999999999999999E-2</v>
          </cell>
          <cell r="AA876">
            <v>6.0000000000000001E-3</v>
          </cell>
          <cell r="AB876">
            <v>5.0000000000000001E-3</v>
          </cell>
          <cell r="AC876">
            <v>5.0000000000000001E-3</v>
          </cell>
        </row>
        <row r="877">
          <cell r="A877" t="str">
            <v>Stock Multi-family - Owner-occupied - C1</v>
          </cell>
          <cell r="C877">
            <v>404211.08899999998</v>
          </cell>
          <cell r="D877">
            <v>408400.86599999998</v>
          </cell>
          <cell r="E877">
            <v>412560.59100000001</v>
          </cell>
          <cell r="F877">
            <v>416666.70899999997</v>
          </cell>
          <cell r="G877">
            <v>420714.00900000002</v>
          </cell>
          <cell r="H877">
            <v>424698.04100000003</v>
          </cell>
          <cell r="I877">
            <v>427419.46899999998</v>
          </cell>
          <cell r="J877">
            <v>430058.79499999998</v>
          </cell>
          <cell r="K877">
            <v>432550.01500000001</v>
          </cell>
          <cell r="L877">
            <v>434868.58100000001</v>
          </cell>
          <cell r="M877">
            <v>436986.42</v>
          </cell>
          <cell r="N877">
            <v>438882.82299999997</v>
          </cell>
          <cell r="O877">
            <v>440527.56900000002</v>
          </cell>
          <cell r="P877">
            <v>442016.685</v>
          </cell>
          <cell r="Q877">
            <v>443345.74099999998</v>
          </cell>
          <cell r="R877">
            <v>444497.47499999998</v>
          </cell>
          <cell r="S877">
            <v>442444.04499999998</v>
          </cell>
          <cell r="T877">
            <v>439875.64600000001</v>
          </cell>
          <cell r="U877">
            <v>437025.14600000001</v>
          </cell>
          <cell r="V877">
            <v>433888.78600000002</v>
          </cell>
          <cell r="W877">
            <v>430459.51899999997</v>
          </cell>
          <cell r="X877">
            <v>426840.97100000002</v>
          </cell>
          <cell r="Y877">
            <v>423033.98</v>
          </cell>
          <cell r="Z877">
            <v>419075.68199999997</v>
          </cell>
          <cell r="AA877">
            <v>414971.538</v>
          </cell>
          <cell r="AB877">
            <v>415971.06400000001</v>
          </cell>
          <cell r="AC877">
            <v>417059.984</v>
          </cell>
        </row>
        <row r="878">
          <cell r="A878" t="str">
            <v>Stock Multi-family - Owner-occupied - C2</v>
          </cell>
          <cell r="C878">
            <v>521108.32400000002</v>
          </cell>
          <cell r="D878">
            <v>526618.50399999996</v>
          </cell>
          <cell r="E878">
            <v>532101.63399999996</v>
          </cell>
          <cell r="F878">
            <v>537532.03099999996</v>
          </cell>
          <cell r="G878">
            <v>542905.51500000001</v>
          </cell>
          <cell r="H878">
            <v>548217.83700000006</v>
          </cell>
          <cell r="I878">
            <v>551927.21</v>
          </cell>
          <cell r="J878">
            <v>555554.64500000002</v>
          </cell>
          <cell r="K878">
            <v>559032.71799999999</v>
          </cell>
          <cell r="L878">
            <v>562337.22400000005</v>
          </cell>
          <cell r="M878">
            <v>565442.11800000002</v>
          </cell>
          <cell r="N878">
            <v>568330.10900000005</v>
          </cell>
          <cell r="O878">
            <v>570975.03099999996</v>
          </cell>
          <cell r="P878">
            <v>573482.12199999997</v>
          </cell>
          <cell r="Q878">
            <v>575851.15399999998</v>
          </cell>
          <cell r="R878">
            <v>578071.223</v>
          </cell>
          <cell r="S878">
            <v>576651.64500000002</v>
          </cell>
          <cell r="T878">
            <v>574833.12199999997</v>
          </cell>
          <cell r="U878">
            <v>572787.73899999994</v>
          </cell>
          <cell r="V878">
            <v>570515.32200000004</v>
          </cell>
          <cell r="W878">
            <v>568009.68700000003</v>
          </cell>
          <cell r="X878">
            <v>565375.42099999997</v>
          </cell>
          <cell r="Y878">
            <v>562612.15700000001</v>
          </cell>
          <cell r="Z878">
            <v>559760.85699999996</v>
          </cell>
          <cell r="AA878">
            <v>556824.40500000003</v>
          </cell>
          <cell r="AB878">
            <v>558316.31599999999</v>
          </cell>
          <cell r="AC878">
            <v>559964.22199999995</v>
          </cell>
        </row>
        <row r="879">
          <cell r="A879" t="str">
            <v>Stock Multi-family - Owner-occupied - C3</v>
          </cell>
          <cell r="C879">
            <v>721766.60100000002</v>
          </cell>
          <cell r="D879">
            <v>729441.59900000005</v>
          </cell>
          <cell r="E879">
            <v>737091.571</v>
          </cell>
          <cell r="F879">
            <v>744683.10400000005</v>
          </cell>
          <cell r="G879">
            <v>752214.06700000004</v>
          </cell>
          <cell r="H879">
            <v>759679.65</v>
          </cell>
          <cell r="I879">
            <v>764949.96299999999</v>
          </cell>
          <cell r="J879">
            <v>770134.01399999997</v>
          </cell>
          <cell r="K879">
            <v>775153.18200000003</v>
          </cell>
          <cell r="L879">
            <v>779980.74300000002</v>
          </cell>
          <cell r="M879">
            <v>784590.40599999996</v>
          </cell>
          <cell r="N879">
            <v>788967.46400000004</v>
          </cell>
          <cell r="O879">
            <v>793087.64500000002</v>
          </cell>
          <cell r="P879">
            <v>797075.44200000004</v>
          </cell>
          <cell r="Q879">
            <v>800934.14300000004</v>
          </cell>
          <cell r="R879">
            <v>804661.33700000006</v>
          </cell>
          <cell r="S879">
            <v>803787.63</v>
          </cell>
          <cell r="T879">
            <v>802820.74699999997</v>
          </cell>
          <cell r="U879">
            <v>801659.84699999995</v>
          </cell>
          <cell r="V879">
            <v>800304.23600000003</v>
          </cell>
          <cell r="W879">
            <v>798746.67700000003</v>
          </cell>
          <cell r="X879">
            <v>797102.51199999999</v>
          </cell>
          <cell r="Y879">
            <v>795371.21499999997</v>
          </cell>
          <cell r="Z879">
            <v>793593.41899999999</v>
          </cell>
          <cell r="AA879">
            <v>791770.91799999995</v>
          </cell>
          <cell r="AB879">
            <v>794033.99699999997</v>
          </cell>
          <cell r="AC879">
            <v>796548.63899999997</v>
          </cell>
        </row>
        <row r="880">
          <cell r="A880" t="str">
            <v>Stock Multi-family - Owner-occupied - C4</v>
          </cell>
          <cell r="C880">
            <v>955601.18900000001</v>
          </cell>
          <cell r="D880">
            <v>965814.69700000004</v>
          </cell>
          <cell r="E880">
            <v>975992.78300000005</v>
          </cell>
          <cell r="F880">
            <v>986090.196</v>
          </cell>
          <cell r="G880">
            <v>996103.022</v>
          </cell>
          <cell r="H880">
            <v>1006022.836</v>
          </cell>
          <cell r="I880">
            <v>1013026.6850000001</v>
          </cell>
          <cell r="J880">
            <v>1019904.553</v>
          </cell>
          <cell r="K880">
            <v>1026552.895</v>
          </cell>
          <cell r="L880">
            <v>1032930.447</v>
          </cell>
          <cell r="M880">
            <v>1038998.125</v>
          </cell>
          <cell r="N880">
            <v>1044731.993</v>
          </cell>
          <cell r="O880">
            <v>1050094.5649999999</v>
          </cell>
          <cell r="P880">
            <v>1055258.047</v>
          </cell>
          <cell r="Q880">
            <v>1060227.2560000001</v>
          </cell>
          <cell r="R880">
            <v>1064996.9609999999</v>
          </cell>
          <cell r="S880">
            <v>1063556.5319999999</v>
          </cell>
          <cell r="T880">
            <v>1061917.9569999999</v>
          </cell>
          <cell r="U880">
            <v>1059984.601</v>
          </cell>
          <cell r="V880">
            <v>1057753.9040000001</v>
          </cell>
          <cell r="W880">
            <v>1055215.2009999999</v>
          </cell>
          <cell r="X880">
            <v>1052535.327</v>
          </cell>
          <cell r="Y880">
            <v>1049714.3319999999</v>
          </cell>
          <cell r="Z880">
            <v>1046808.46</v>
          </cell>
          <cell r="AA880">
            <v>1043821.505</v>
          </cell>
          <cell r="AB880">
            <v>1046800.651</v>
          </cell>
          <cell r="AC880">
            <v>1050111.1640000001</v>
          </cell>
        </row>
        <row r="881">
          <cell r="A881" t="str">
            <v>Stock Multi-family - Owner-occupied - C5</v>
          </cell>
          <cell r="C881">
            <v>1391179.3859999999</v>
          </cell>
          <cell r="D881">
            <v>1405737.7679999999</v>
          </cell>
          <cell r="E881">
            <v>1420251.064</v>
          </cell>
          <cell r="F881">
            <v>1434639.405</v>
          </cell>
          <cell r="G881">
            <v>1448898.672</v>
          </cell>
          <cell r="H881">
            <v>1463014.919</v>
          </cell>
          <cell r="I881">
            <v>1472881.3940000001</v>
          </cell>
          <cell r="J881">
            <v>1482558.2150000001</v>
          </cell>
          <cell r="K881">
            <v>1491879.527</v>
          </cell>
          <cell r="L881">
            <v>1500779.7679999999</v>
          </cell>
          <cell r="M881">
            <v>1509199.7320000001</v>
          </cell>
          <cell r="N881">
            <v>1517105.4680000001</v>
          </cell>
          <cell r="O881">
            <v>1524441.6189999999</v>
          </cell>
          <cell r="P881">
            <v>1531492.1459999999</v>
          </cell>
          <cell r="Q881">
            <v>1538266.977</v>
          </cell>
          <cell r="R881">
            <v>1544773.25</v>
          </cell>
          <cell r="S881">
            <v>1542052.57</v>
          </cell>
          <cell r="T881">
            <v>1539853.8589999999</v>
          </cell>
          <cell r="U881">
            <v>1537257.1259999999</v>
          </cell>
          <cell r="V881">
            <v>1534254.8389999999</v>
          </cell>
          <cell r="W881">
            <v>1530835.2439999999</v>
          </cell>
          <cell r="X881">
            <v>1527235.67</v>
          </cell>
          <cell r="Y881">
            <v>1523462.6310000001</v>
          </cell>
          <cell r="Z881">
            <v>1519582.13</v>
          </cell>
          <cell r="AA881">
            <v>1515607.6740000001</v>
          </cell>
          <cell r="AB881">
            <v>1519993.2339999999</v>
          </cell>
          <cell r="AC881">
            <v>1524867.419</v>
          </cell>
        </row>
        <row r="882">
          <cell r="A882" t="str">
            <v>Stock Multi-family - Privately rented - C1</v>
          </cell>
          <cell r="C882">
            <v>1559144.9280000001</v>
          </cell>
          <cell r="D882">
            <v>1576102.8189999999</v>
          </cell>
          <cell r="E882">
            <v>1593032.784</v>
          </cell>
          <cell r="F882">
            <v>1609912.71</v>
          </cell>
          <cell r="G882">
            <v>1626717.1470000001</v>
          </cell>
          <cell r="H882">
            <v>1643429.6370000001</v>
          </cell>
          <cell r="I882">
            <v>1655441.848</v>
          </cell>
          <cell r="J882">
            <v>1667302.2879999999</v>
          </cell>
          <cell r="K882">
            <v>1679290.6259999999</v>
          </cell>
          <cell r="L882">
            <v>1691398.398</v>
          </cell>
          <cell r="M882">
            <v>1703616.5560000001</v>
          </cell>
          <cell r="N882">
            <v>1715948.794</v>
          </cell>
          <cell r="O882">
            <v>1728389.8370000001</v>
          </cell>
          <cell r="P882">
            <v>1740968.852</v>
          </cell>
          <cell r="Q882">
            <v>1753677.567</v>
          </cell>
          <cell r="R882">
            <v>1766502.3970000001</v>
          </cell>
          <cell r="S882">
            <v>1772386.5249999999</v>
          </cell>
          <cell r="T882">
            <v>1778360.8910000001</v>
          </cell>
          <cell r="U882">
            <v>1784493.7819999999</v>
          </cell>
          <cell r="V882">
            <v>1790772.807</v>
          </cell>
          <cell r="W882">
            <v>1797186.4809999999</v>
          </cell>
          <cell r="X882">
            <v>1803736.9890000001</v>
          </cell>
          <cell r="Y882">
            <v>1810410.4750000001</v>
          </cell>
          <cell r="Z882">
            <v>1817192.753</v>
          </cell>
          <cell r="AA882">
            <v>1824071.49</v>
          </cell>
          <cell r="AB882">
            <v>1830112.5179999999</v>
          </cell>
          <cell r="AC882">
            <v>1836930.8219999999</v>
          </cell>
        </row>
        <row r="883">
          <cell r="A883" t="str">
            <v>Stock Multi-family - Privately rented - C2</v>
          </cell>
          <cell r="C883">
            <v>1293854.902</v>
          </cell>
          <cell r="D883">
            <v>1308173.405</v>
          </cell>
          <cell r="E883">
            <v>1322465.7509999999</v>
          </cell>
          <cell r="F883">
            <v>1336716.024</v>
          </cell>
          <cell r="G883">
            <v>1350907.2</v>
          </cell>
          <cell r="H883">
            <v>1365029.916</v>
          </cell>
          <cell r="I883">
            <v>1375267.209</v>
          </cell>
          <cell r="J883">
            <v>1385399.425</v>
          </cell>
          <cell r="K883">
            <v>1395625.0079999999</v>
          </cell>
          <cell r="L883">
            <v>1405939.0870000001</v>
          </cell>
          <cell r="M883">
            <v>1416334.594</v>
          </cell>
          <cell r="N883">
            <v>1426813.2509999999</v>
          </cell>
          <cell r="O883">
            <v>1437370.6910000001</v>
          </cell>
          <cell r="P883">
            <v>1448024.0560000001</v>
          </cell>
          <cell r="Q883">
            <v>1458767.003</v>
          </cell>
          <cell r="R883">
            <v>1469589.9280000001</v>
          </cell>
          <cell r="S883">
            <v>1474721.439</v>
          </cell>
          <cell r="T883">
            <v>1479916.1540000001</v>
          </cell>
          <cell r="U883">
            <v>1485219.2180000001</v>
          </cell>
          <cell r="V883">
            <v>1490622.206</v>
          </cell>
          <cell r="W883">
            <v>1496117.2239999999</v>
          </cell>
          <cell r="X883">
            <v>1501706.42</v>
          </cell>
          <cell r="Y883">
            <v>1507380.121</v>
          </cell>
          <cell r="Z883">
            <v>1513128.5870000001</v>
          </cell>
          <cell r="AA883">
            <v>1518943.1939999999</v>
          </cell>
          <cell r="AB883">
            <v>1523982.9680000001</v>
          </cell>
          <cell r="AC883">
            <v>1529670.6980000001</v>
          </cell>
        </row>
        <row r="884">
          <cell r="A884" t="str">
            <v>Stock Multi-family - Privately rented - C3</v>
          </cell>
          <cell r="C884">
            <v>1159494.8</v>
          </cell>
          <cell r="D884">
            <v>1172348.0589999999</v>
          </cell>
          <cell r="E884">
            <v>1185173.9380000001</v>
          </cell>
          <cell r="F884">
            <v>1197961.23</v>
          </cell>
          <cell r="G884">
            <v>1210695.165</v>
          </cell>
          <cell r="H884">
            <v>1223368.676</v>
          </cell>
          <cell r="I884">
            <v>1232562.9790000001</v>
          </cell>
          <cell r="J884">
            <v>1241667.6329999999</v>
          </cell>
          <cell r="K884">
            <v>1250857.993</v>
          </cell>
          <cell r="L884">
            <v>1260130.223</v>
          </cell>
          <cell r="M884">
            <v>1269477.557</v>
          </cell>
          <cell r="N884">
            <v>1278900.875</v>
          </cell>
          <cell r="O884">
            <v>1288395.821</v>
          </cell>
          <cell r="P884">
            <v>1297976.591</v>
          </cell>
          <cell r="Q884">
            <v>1307636.9469999999</v>
          </cell>
          <cell r="R884">
            <v>1317368.193</v>
          </cell>
          <cell r="S884">
            <v>1322013.895</v>
          </cell>
          <cell r="T884">
            <v>1326717.1569999999</v>
          </cell>
          <cell r="U884">
            <v>1331515.3929999999</v>
          </cell>
          <cell r="V884">
            <v>1336400.9920000001</v>
          </cell>
          <cell r="W884">
            <v>1341366.8659999999</v>
          </cell>
          <cell r="X884">
            <v>1346412.98</v>
          </cell>
          <cell r="Y884">
            <v>1351531.058</v>
          </cell>
          <cell r="Z884">
            <v>1356712.5279999999</v>
          </cell>
          <cell r="AA884">
            <v>1361950.0549999999</v>
          </cell>
          <cell r="AB884">
            <v>1366578.5360000001</v>
          </cell>
          <cell r="AC884">
            <v>1371799.6610000001</v>
          </cell>
        </row>
        <row r="885">
          <cell r="A885" t="str">
            <v>Stock Multi-family - Privately rented - C4</v>
          </cell>
          <cell r="C885">
            <v>987150.90500000003</v>
          </cell>
          <cell r="D885">
            <v>997989.60400000005</v>
          </cell>
          <cell r="E885">
            <v>1008801.253</v>
          </cell>
          <cell r="F885">
            <v>1019574.833</v>
          </cell>
          <cell r="G885">
            <v>1030295.764</v>
          </cell>
          <cell r="H885">
            <v>1040956.186</v>
          </cell>
          <cell r="I885">
            <v>1048642.253</v>
          </cell>
          <cell r="J885">
            <v>1056236.8640000001</v>
          </cell>
          <cell r="K885">
            <v>1063909.433</v>
          </cell>
          <cell r="L885">
            <v>1071656.0870000001</v>
          </cell>
          <cell r="M885">
            <v>1079470.736</v>
          </cell>
          <cell r="N885">
            <v>1087354.811</v>
          </cell>
          <cell r="O885">
            <v>1095304.6100000001</v>
          </cell>
          <cell r="P885">
            <v>1103336.9990000001</v>
          </cell>
          <cell r="Q885">
            <v>1111446.5009999999</v>
          </cell>
          <cell r="R885">
            <v>1119624.898</v>
          </cell>
          <cell r="S885">
            <v>1123431.513</v>
          </cell>
          <cell r="T885">
            <v>1127295.469</v>
          </cell>
          <cell r="U885">
            <v>1131251.6869999999</v>
          </cell>
          <cell r="V885">
            <v>1135292.9809999999</v>
          </cell>
          <cell r="W885">
            <v>1139412.42</v>
          </cell>
          <cell r="X885">
            <v>1143612.835</v>
          </cell>
          <cell r="Y885">
            <v>1147885.675</v>
          </cell>
          <cell r="Z885">
            <v>1152223.1499999999</v>
          </cell>
          <cell r="AA885">
            <v>1156617.659</v>
          </cell>
          <cell r="AB885">
            <v>1160536.2250000001</v>
          </cell>
          <cell r="AC885">
            <v>1164956.6070000001</v>
          </cell>
        </row>
        <row r="886">
          <cell r="A886" t="str">
            <v>Stock Multi-family - Privately rented - C5</v>
          </cell>
          <cell r="C886">
            <v>784780.17299999995</v>
          </cell>
          <cell r="D886">
            <v>793196.16500000004</v>
          </cell>
          <cell r="E886">
            <v>801583.62100000004</v>
          </cell>
          <cell r="F886">
            <v>809931.78200000001</v>
          </cell>
          <cell r="G886">
            <v>818226.10499999998</v>
          </cell>
          <cell r="H886">
            <v>826457.08400000003</v>
          </cell>
          <cell r="I886">
            <v>832302.05</v>
          </cell>
          <cell r="J886">
            <v>838047.42799999996</v>
          </cell>
          <cell r="K886">
            <v>843867.34199999995</v>
          </cell>
          <cell r="L886">
            <v>849756.48400000005</v>
          </cell>
          <cell r="M886">
            <v>855709.62899999996</v>
          </cell>
          <cell r="N886">
            <v>861729.35</v>
          </cell>
          <cell r="O886">
            <v>867812.76699999999</v>
          </cell>
          <cell r="P886">
            <v>873978.69299999997</v>
          </cell>
          <cell r="Q886">
            <v>880222.68599999999</v>
          </cell>
          <cell r="R886">
            <v>886536.85600000003</v>
          </cell>
          <cell r="S886">
            <v>889302.61899999995</v>
          </cell>
          <cell r="T886">
            <v>892127.63199999998</v>
          </cell>
          <cell r="U886">
            <v>895047.95400000003</v>
          </cell>
          <cell r="V886">
            <v>898056.30700000003</v>
          </cell>
          <cell r="W886">
            <v>901145.7</v>
          </cell>
          <cell r="X886">
            <v>904320.402</v>
          </cell>
          <cell r="Y886">
            <v>907571.51300000004</v>
          </cell>
          <cell r="Z886">
            <v>910891.14199999999</v>
          </cell>
          <cell r="AA886">
            <v>914271.38100000005</v>
          </cell>
          <cell r="AB886">
            <v>917332.02099999995</v>
          </cell>
          <cell r="AC886">
            <v>920786.07200000004</v>
          </cell>
        </row>
        <row r="887">
          <cell r="A887" t="str">
            <v>Stock Multi-family - Social-housing - C1</v>
          </cell>
          <cell r="C887">
            <v>1649942.8130000001</v>
          </cell>
          <cell r="D887">
            <v>1669173.9080000001</v>
          </cell>
          <cell r="E887">
            <v>1688415.925</v>
          </cell>
          <cell r="F887">
            <v>1707664.3230000001</v>
          </cell>
          <cell r="G887">
            <v>1726926.73</v>
          </cell>
          <cell r="H887">
            <v>1746223.713</v>
          </cell>
          <cell r="I887">
            <v>1760724.845</v>
          </cell>
          <cell r="J887">
            <v>1775286.02</v>
          </cell>
          <cell r="K887">
            <v>1789910.774</v>
          </cell>
          <cell r="L887">
            <v>1804636.51</v>
          </cell>
          <cell r="M887">
            <v>1819484.6740000001</v>
          </cell>
          <cell r="N887">
            <v>1834373.4950000001</v>
          </cell>
          <cell r="O887">
            <v>1849260.85</v>
          </cell>
          <cell r="P887">
            <v>1864146.5330000001</v>
          </cell>
          <cell r="Q887">
            <v>1879030.267</v>
          </cell>
          <cell r="R887">
            <v>1893911.8160000001</v>
          </cell>
          <cell r="S887">
            <v>1901935.737</v>
          </cell>
          <cell r="T887">
            <v>1909953.743</v>
          </cell>
          <cell r="U887">
            <v>1917968.2749999999</v>
          </cell>
          <cell r="V887">
            <v>1925979.412</v>
          </cell>
          <cell r="W887">
            <v>1933987.0279999999</v>
          </cell>
          <cell r="X887">
            <v>1941990.8049999999</v>
          </cell>
          <cell r="Y887">
            <v>1949990.5160000001</v>
          </cell>
          <cell r="Z887">
            <v>1957985.929</v>
          </cell>
          <cell r="AA887">
            <v>1965976.67</v>
          </cell>
          <cell r="AB887">
            <v>1973428.2139999999</v>
          </cell>
          <cell r="AC887">
            <v>1981734.71</v>
          </cell>
        </row>
        <row r="888">
          <cell r="A888" t="str">
            <v>Stock Multi-family - Social-housing - C2</v>
          </cell>
          <cell r="C888">
            <v>1146584.5730000001</v>
          </cell>
          <cell r="D888">
            <v>1159910.196</v>
          </cell>
          <cell r="E888">
            <v>1173245.1329999999</v>
          </cell>
          <cell r="F888">
            <v>1186586.7860000001</v>
          </cell>
          <cell r="G888">
            <v>1199941.361</v>
          </cell>
          <cell r="H888">
            <v>1213324.105</v>
          </cell>
          <cell r="I888">
            <v>1223378.2080000001</v>
          </cell>
          <cell r="J888">
            <v>1233479.175</v>
          </cell>
          <cell r="K888">
            <v>1243629.7109999999</v>
          </cell>
          <cell r="L888">
            <v>1253857.699</v>
          </cell>
          <cell r="M888">
            <v>1264177.8870000001</v>
          </cell>
          <cell r="N888">
            <v>1274526.466</v>
          </cell>
          <cell r="O888">
            <v>1284874.0589999999</v>
          </cell>
          <cell r="P888">
            <v>1295220.726</v>
          </cell>
          <cell r="Q888">
            <v>1305566.324</v>
          </cell>
          <cell r="R888">
            <v>1315910.7250000001</v>
          </cell>
          <cell r="S888">
            <v>1321491.2080000001</v>
          </cell>
          <cell r="T888">
            <v>1327068.4140000001</v>
          </cell>
          <cell r="U888">
            <v>1332643.7139999999</v>
          </cell>
          <cell r="V888">
            <v>1338217.1569999999</v>
          </cell>
          <cell r="W888">
            <v>1343788.6869999999</v>
          </cell>
          <cell r="X888">
            <v>1349358.1040000001</v>
          </cell>
          <cell r="Y888">
            <v>1354925.2819999999</v>
          </cell>
          <cell r="Z888">
            <v>1360490.145</v>
          </cell>
          <cell r="AA888">
            <v>1366052.503</v>
          </cell>
          <cell r="AB888">
            <v>1371271.2949999999</v>
          </cell>
          <cell r="AC888">
            <v>1377091.8529999999</v>
          </cell>
        </row>
        <row r="889">
          <cell r="A889" t="str">
            <v>Stock Multi-family - Social-housing - C3</v>
          </cell>
          <cell r="C889">
            <v>683891.74899999995</v>
          </cell>
          <cell r="D889">
            <v>691870.89500000002</v>
          </cell>
          <cell r="E889">
            <v>699856.50399999996</v>
          </cell>
          <cell r="F889">
            <v>707847.21100000001</v>
          </cell>
          <cell r="G889">
            <v>715846.32799999998</v>
          </cell>
          <cell r="H889">
            <v>723860.06499999994</v>
          </cell>
          <cell r="I889">
            <v>729884.60600000003</v>
          </cell>
          <cell r="J889">
            <v>735932.14300000004</v>
          </cell>
          <cell r="K889">
            <v>742004.04200000002</v>
          </cell>
          <cell r="L889">
            <v>748114.48899999994</v>
          </cell>
          <cell r="M889">
            <v>754271.31799999997</v>
          </cell>
          <cell r="N889">
            <v>760442.87199999997</v>
          </cell>
          <cell r="O889">
            <v>766613.77</v>
          </cell>
          <cell r="P889">
            <v>772784.03099999996</v>
          </cell>
          <cell r="Q889">
            <v>778953.56400000001</v>
          </cell>
          <cell r="R889">
            <v>785122.28799999994</v>
          </cell>
          <cell r="S889">
            <v>788449.02300000004</v>
          </cell>
          <cell r="T889">
            <v>791773.59</v>
          </cell>
          <cell r="U889">
            <v>795096.96200000006</v>
          </cell>
          <cell r="V889">
            <v>798419.2</v>
          </cell>
          <cell r="W889">
            <v>801740.3</v>
          </cell>
          <cell r="X889">
            <v>805059.99600000004</v>
          </cell>
          <cell r="Y889">
            <v>808378.22100000002</v>
          </cell>
          <cell r="Z889">
            <v>811694.87100000004</v>
          </cell>
          <cell r="AA889">
            <v>815009.83</v>
          </cell>
          <cell r="AB889">
            <v>818123.59299999999</v>
          </cell>
          <cell r="AC889">
            <v>821596.61100000003</v>
          </cell>
        </row>
        <row r="890">
          <cell r="A890" t="str">
            <v>Stock Multi-family - Social-housing - C4</v>
          </cell>
          <cell r="C890">
            <v>334760.54700000002</v>
          </cell>
          <cell r="D890">
            <v>338669.54</v>
          </cell>
          <cell r="E890">
            <v>342582.84100000001</v>
          </cell>
          <cell r="F890">
            <v>346499.54499999998</v>
          </cell>
          <cell r="G890">
            <v>350421.34700000001</v>
          </cell>
          <cell r="H890">
            <v>354350.33500000002</v>
          </cell>
          <cell r="I890">
            <v>357304.94799999997</v>
          </cell>
          <cell r="J890">
            <v>360269.85600000003</v>
          </cell>
          <cell r="K890">
            <v>363245.64</v>
          </cell>
          <cell r="L890">
            <v>366238.63199999998</v>
          </cell>
          <cell r="M890">
            <v>369252.43</v>
          </cell>
          <cell r="N890">
            <v>372273.04700000002</v>
          </cell>
          <cell r="O890">
            <v>375293.353</v>
          </cell>
          <cell r="P890">
            <v>378313.33600000001</v>
          </cell>
          <cell r="Q890">
            <v>381332.95400000003</v>
          </cell>
          <cell r="R890">
            <v>384352.17</v>
          </cell>
          <cell r="S890">
            <v>385980.09899999999</v>
          </cell>
          <cell r="T890">
            <v>387606.94799999997</v>
          </cell>
          <cell r="U890">
            <v>389233.24</v>
          </cell>
          <cell r="V890">
            <v>390859.01799999998</v>
          </cell>
          <cell r="W890">
            <v>392484.30300000001</v>
          </cell>
          <cell r="X890">
            <v>394108.88900000002</v>
          </cell>
          <cell r="Y890">
            <v>395732.75</v>
          </cell>
          <cell r="Z890">
            <v>397355.82500000001</v>
          </cell>
          <cell r="AA890">
            <v>398978.06599999999</v>
          </cell>
          <cell r="AB890">
            <v>400502.14</v>
          </cell>
          <cell r="AC890">
            <v>402202.04</v>
          </cell>
        </row>
        <row r="891">
          <cell r="A891" t="str">
            <v>Stock Multi-family - Social-housing - C5</v>
          </cell>
          <cell r="C891">
            <v>115926.35400000001</v>
          </cell>
          <cell r="D891">
            <v>117255.871</v>
          </cell>
          <cell r="E891">
            <v>118588.156</v>
          </cell>
          <cell r="F891">
            <v>119922.571</v>
          </cell>
          <cell r="G891">
            <v>121260.126</v>
          </cell>
          <cell r="H891">
            <v>122601.76700000001</v>
          </cell>
          <cell r="I891">
            <v>123607.565</v>
          </cell>
          <cell r="J891">
            <v>124619.255</v>
          </cell>
          <cell r="K891">
            <v>125637.276</v>
          </cell>
          <cell r="L891">
            <v>126665.52800000001</v>
          </cell>
          <cell r="M891">
            <v>127706.43799999999</v>
          </cell>
          <cell r="N891">
            <v>128751.71799999999</v>
          </cell>
          <cell r="O891">
            <v>129796.799</v>
          </cell>
          <cell r="P891">
            <v>130841.667</v>
          </cell>
          <cell r="Q891">
            <v>131886.29399999999</v>
          </cell>
          <cell r="R891">
            <v>132930.65700000001</v>
          </cell>
          <cell r="S891">
            <v>133492.226</v>
          </cell>
          <cell r="T891">
            <v>134053.07500000001</v>
          </cell>
          <cell r="U891">
            <v>134613.54399999999</v>
          </cell>
          <cell r="V891">
            <v>135173.66</v>
          </cell>
          <cell r="W891">
            <v>135733.43400000001</v>
          </cell>
          <cell r="X891">
            <v>136292.742</v>
          </cell>
          <cell r="Y891">
            <v>136851.565</v>
          </cell>
          <cell r="Z891">
            <v>137409.87299999999</v>
          </cell>
          <cell r="AA891">
            <v>137967.63500000001</v>
          </cell>
          <cell r="AB891">
            <v>138488.951</v>
          </cell>
          <cell r="AC891">
            <v>139069.997</v>
          </cell>
        </row>
        <row r="892">
          <cell r="A892" t="str">
            <v>Stock Multi-family Electricity-Heat pump air (Million)</v>
          </cell>
          <cell r="B892">
            <v>0.19600000000000001</v>
          </cell>
          <cell r="C892">
            <v>0.30199999999999999</v>
          </cell>
          <cell r="D892">
            <v>0.441</v>
          </cell>
          <cell r="E892">
            <v>0.54500000000000004</v>
          </cell>
          <cell r="F892">
            <v>0.66400000000000003</v>
          </cell>
          <cell r="G892">
            <v>0.75700000000000001</v>
          </cell>
          <cell r="H892">
            <v>0.82199999999999995</v>
          </cell>
          <cell r="I892">
            <v>0.85699999999999998</v>
          </cell>
          <cell r="J892">
            <v>0.93200000000000005</v>
          </cell>
          <cell r="K892">
            <v>0.97599999999999998</v>
          </cell>
          <cell r="L892">
            <v>1.03</v>
          </cell>
          <cell r="M892">
            <v>1.0960000000000001</v>
          </cell>
          <cell r="N892">
            <v>1.1719999999999999</v>
          </cell>
          <cell r="O892">
            <v>1.2490000000000001</v>
          </cell>
          <cell r="P892">
            <v>1.3420000000000001</v>
          </cell>
          <cell r="Q892">
            <v>1.444</v>
          </cell>
          <cell r="R892">
            <v>1.5429999999999999</v>
          </cell>
          <cell r="S892">
            <v>1.65</v>
          </cell>
          <cell r="T892">
            <v>1.7430000000000001</v>
          </cell>
          <cell r="U892">
            <v>1.837</v>
          </cell>
          <cell r="V892">
            <v>1.9259999999999999</v>
          </cell>
          <cell r="W892">
            <v>1.96</v>
          </cell>
          <cell r="X892">
            <v>1.9890000000000001</v>
          </cell>
          <cell r="Y892">
            <v>2.0259999999999998</v>
          </cell>
          <cell r="Z892">
            <v>2.0590000000000002</v>
          </cell>
          <cell r="AA892">
            <v>2.0920000000000001</v>
          </cell>
          <cell r="AB892">
            <v>2.1259999999999999</v>
          </cell>
          <cell r="AC892">
            <v>2.161</v>
          </cell>
        </row>
        <row r="893">
          <cell r="A893" t="str">
            <v>Stock Multi-family Electricity-Heat pump water (Million)</v>
          </cell>
          <cell r="B893">
            <v>0.78300000000000003</v>
          </cell>
          <cell r="C893">
            <v>0.90300000000000002</v>
          </cell>
          <cell r="D893">
            <v>1.0760000000000001</v>
          </cell>
          <cell r="E893">
            <v>1.2290000000000001</v>
          </cell>
          <cell r="F893">
            <v>1.3979999999999999</v>
          </cell>
          <cell r="G893">
            <v>1.542</v>
          </cell>
          <cell r="H893">
            <v>1.6559999999999999</v>
          </cell>
          <cell r="I893">
            <v>1.722</v>
          </cell>
          <cell r="J893">
            <v>1.8340000000000001</v>
          </cell>
          <cell r="K893">
            <v>1.9119999999999999</v>
          </cell>
          <cell r="L893">
            <v>2.0009999999999999</v>
          </cell>
          <cell r="M893">
            <v>2.105</v>
          </cell>
          <cell r="N893">
            <v>2.222</v>
          </cell>
          <cell r="O893">
            <v>2.34</v>
          </cell>
          <cell r="P893">
            <v>2.4769999999999999</v>
          </cell>
          <cell r="Q893">
            <v>2.6230000000000002</v>
          </cell>
          <cell r="R893">
            <v>2.7669999999999999</v>
          </cell>
          <cell r="S893">
            <v>2.9079999999999999</v>
          </cell>
          <cell r="T893">
            <v>3.0350000000000001</v>
          </cell>
          <cell r="U893">
            <v>3.16</v>
          </cell>
          <cell r="V893">
            <v>3.2810000000000001</v>
          </cell>
          <cell r="W893">
            <v>3.355</v>
          </cell>
          <cell r="X893">
            <v>3.4260000000000002</v>
          </cell>
          <cell r="Y893">
            <v>3.4950000000000001</v>
          </cell>
          <cell r="Z893">
            <v>3.56</v>
          </cell>
          <cell r="AA893">
            <v>3.6230000000000002</v>
          </cell>
          <cell r="AB893">
            <v>3.6850000000000001</v>
          </cell>
          <cell r="AC893">
            <v>3.7509999999999999</v>
          </cell>
        </row>
        <row r="894">
          <cell r="A894" t="str">
            <v>Stock Multi-family Electricity-Performance boiler (Million)</v>
          </cell>
          <cell r="B894">
            <v>3.9329999999999998</v>
          </cell>
          <cell r="C894">
            <v>3.806</v>
          </cell>
          <cell r="D894">
            <v>3.6949999999999998</v>
          </cell>
          <cell r="E894">
            <v>3.5619999999999998</v>
          </cell>
          <cell r="F894">
            <v>3.4369999999999998</v>
          </cell>
          <cell r="G894">
            <v>3.298</v>
          </cell>
          <cell r="H894">
            <v>3.1419999999999999</v>
          </cell>
          <cell r="I894">
            <v>2.9580000000000002</v>
          </cell>
          <cell r="J894">
            <v>2.7989999999999999</v>
          </cell>
          <cell r="K894">
            <v>2.6230000000000002</v>
          </cell>
          <cell r="L894">
            <v>2.4550000000000001</v>
          </cell>
          <cell r="M894">
            <v>2.2959999999999998</v>
          </cell>
          <cell r="N894">
            <v>2.145</v>
          </cell>
          <cell r="O894">
            <v>1.998</v>
          </cell>
          <cell r="P894">
            <v>1.8620000000000001</v>
          </cell>
          <cell r="Q894">
            <v>1.734</v>
          </cell>
          <cell r="R894">
            <v>1.609</v>
          </cell>
          <cell r="S894">
            <v>1.4890000000000001</v>
          </cell>
          <cell r="T894">
            <v>1.363</v>
          </cell>
          <cell r="U894">
            <v>1.238</v>
          </cell>
          <cell r="V894">
            <v>1.1120000000000001</v>
          </cell>
          <cell r="W894">
            <v>1.083</v>
          </cell>
          <cell r="X894">
            <v>1.0509999999999999</v>
          </cell>
          <cell r="Y894">
            <v>1.03</v>
          </cell>
          <cell r="Z894">
            <v>1.004</v>
          </cell>
          <cell r="AA894">
            <v>0.98299999999999998</v>
          </cell>
          <cell r="AB894">
            <v>0.96699999999999997</v>
          </cell>
          <cell r="AC894">
            <v>0.95599999999999996</v>
          </cell>
        </row>
        <row r="895">
          <cell r="A895" t="str">
            <v>Stock Multi-family Heating-District heating (Million)</v>
          </cell>
          <cell r="B895">
            <v>1.1559999999999999</v>
          </cell>
          <cell r="C895">
            <v>1.3</v>
          </cell>
          <cell r="D895">
            <v>1.353</v>
          </cell>
          <cell r="E895">
            <v>1.6020000000000001</v>
          </cell>
          <cell r="F895">
            <v>1.7809999999999999</v>
          </cell>
          <cell r="G895">
            <v>2.11</v>
          </cell>
          <cell r="H895">
            <v>2.6080000000000001</v>
          </cell>
          <cell r="I895">
            <v>3.2559999999999998</v>
          </cell>
          <cell r="J895">
            <v>3.6520000000000001</v>
          </cell>
          <cell r="K895">
            <v>4.2240000000000002</v>
          </cell>
          <cell r="L895">
            <v>4.7290000000000001</v>
          </cell>
          <cell r="M895">
            <v>5.1529999999999996</v>
          </cell>
          <cell r="N895">
            <v>5.5060000000000002</v>
          </cell>
          <cell r="O895">
            <v>5.798</v>
          </cell>
          <cell r="P895">
            <v>5.9889999999999999</v>
          </cell>
          <cell r="Q895">
            <v>6.1289999999999996</v>
          </cell>
          <cell r="R895">
            <v>6.2190000000000003</v>
          </cell>
          <cell r="S895">
            <v>6.2149999999999999</v>
          </cell>
          <cell r="T895">
            <v>6.2409999999999997</v>
          </cell>
          <cell r="U895">
            <v>6.2649999999999997</v>
          </cell>
          <cell r="V895">
            <v>6.2880000000000003</v>
          </cell>
          <cell r="W895">
            <v>6.31</v>
          </cell>
          <cell r="X895">
            <v>6.3319999999999999</v>
          </cell>
          <cell r="Y895">
            <v>6.3520000000000003</v>
          </cell>
          <cell r="Z895">
            <v>6.3730000000000002</v>
          </cell>
          <cell r="AA895">
            <v>6.3929999999999998</v>
          </cell>
          <cell r="AB895">
            <v>6.4320000000000004</v>
          </cell>
          <cell r="AC895">
            <v>6.47</v>
          </cell>
        </row>
        <row r="896">
          <cell r="A896" t="str">
            <v>Stock Multi-family Natural gas-Performance boiler (Million)</v>
          </cell>
          <cell r="B896">
            <v>6.9269999999999996</v>
          </cell>
          <cell r="C896">
            <v>6.8579999999999997</v>
          </cell>
          <cell r="D896">
            <v>6.806</v>
          </cell>
          <cell r="E896">
            <v>6.6340000000000003</v>
          </cell>
          <cell r="F896">
            <v>6.492</v>
          </cell>
          <cell r="G896">
            <v>6.2640000000000002</v>
          </cell>
          <cell r="H896">
            <v>5.9409999999999998</v>
          </cell>
          <cell r="I896">
            <v>5.5339999999999998</v>
          </cell>
          <cell r="J896">
            <v>5.2649999999999997</v>
          </cell>
          <cell r="K896">
            <v>4.9020000000000001</v>
          </cell>
          <cell r="L896">
            <v>4.577</v>
          </cell>
          <cell r="M896">
            <v>4.2960000000000003</v>
          </cell>
          <cell r="N896">
            <v>4.0540000000000003</v>
          </cell>
          <cell r="O896">
            <v>3.8170000000000002</v>
          </cell>
          <cell r="P896">
            <v>3.6339999999999999</v>
          </cell>
          <cell r="Q896">
            <v>3.4780000000000002</v>
          </cell>
          <cell r="R896">
            <v>3.3719999999999999</v>
          </cell>
          <cell r="S896">
            <v>3.2789999999999999</v>
          </cell>
          <cell r="T896">
            <v>3.1920000000000002</v>
          </cell>
          <cell r="U896">
            <v>3.105</v>
          </cell>
          <cell r="V896">
            <v>3.0289999999999999</v>
          </cell>
          <cell r="W896">
            <v>2.9580000000000002</v>
          </cell>
          <cell r="X896">
            <v>2.8980000000000001</v>
          </cell>
          <cell r="Y896">
            <v>2.8220000000000001</v>
          </cell>
          <cell r="Z896">
            <v>2.758</v>
          </cell>
          <cell r="AA896">
            <v>2.6920000000000002</v>
          </cell>
          <cell r="AB896">
            <v>2.625</v>
          </cell>
          <cell r="AC896">
            <v>2.556</v>
          </cell>
        </row>
        <row r="897">
          <cell r="A897" t="str">
            <v>Stock Multi-family Oil fuel-Performance boiler (Million)</v>
          </cell>
          <cell r="B897">
            <v>0.59</v>
          </cell>
          <cell r="C897">
            <v>0.54</v>
          </cell>
          <cell r="D897">
            <v>0.49</v>
          </cell>
          <cell r="E897">
            <v>0.44</v>
          </cell>
          <cell r="F897">
            <v>0.39100000000000001</v>
          </cell>
          <cell r="G897">
            <v>0.34100000000000003</v>
          </cell>
          <cell r="H897">
            <v>0.29199999999999998</v>
          </cell>
          <cell r="I897">
            <v>0.24299999999999999</v>
          </cell>
          <cell r="J897">
            <v>0.19500000000000001</v>
          </cell>
          <cell r="K897">
            <v>0.14599999999999999</v>
          </cell>
          <cell r="L897">
            <v>9.7000000000000003E-2</v>
          </cell>
          <cell r="M897">
            <v>4.8000000000000001E-2</v>
          </cell>
        </row>
        <row r="898">
          <cell r="A898" t="str">
            <v>Stock Natural gas (Million)</v>
          </cell>
          <cell r="B898">
            <v>11.808999999999999</v>
          </cell>
          <cell r="C898">
            <v>11.673999999999999</v>
          </cell>
          <cell r="D898">
            <v>11.552</v>
          </cell>
          <cell r="E898">
            <v>11.295</v>
          </cell>
          <cell r="F898">
            <v>11.045</v>
          </cell>
          <cell r="G898">
            <v>10.712999999999999</v>
          </cell>
          <cell r="H898">
            <v>10.287000000000001</v>
          </cell>
          <cell r="I898">
            <v>9.7759999999999998</v>
          </cell>
          <cell r="J898">
            <v>9.3970000000000002</v>
          </cell>
          <cell r="K898">
            <v>8.9190000000000005</v>
          </cell>
          <cell r="L898">
            <v>8.4700000000000006</v>
          </cell>
          <cell r="M898">
            <v>8.0589999999999993</v>
          </cell>
          <cell r="N898">
            <v>7.68</v>
          </cell>
          <cell r="O898">
            <v>7.25</v>
          </cell>
          <cell r="P898">
            <v>6.8710000000000004</v>
          </cell>
          <cell r="Q898">
            <v>6.52</v>
          </cell>
          <cell r="R898">
            <v>6.2629999999999999</v>
          </cell>
          <cell r="S898">
            <v>6.0049999999999999</v>
          </cell>
          <cell r="T898">
            <v>5.79</v>
          </cell>
          <cell r="U898">
            <v>5.577</v>
          </cell>
          <cell r="V898">
            <v>5.3959999999999999</v>
          </cell>
          <cell r="W898">
            <v>5.2430000000000003</v>
          </cell>
          <cell r="X898">
            <v>5.1210000000000004</v>
          </cell>
          <cell r="Y898">
            <v>4.9560000000000004</v>
          </cell>
          <cell r="Z898">
            <v>4.8259999999999996</v>
          </cell>
          <cell r="AA898">
            <v>4.6859999999999999</v>
          </cell>
          <cell r="AB898">
            <v>4.5279999999999996</v>
          </cell>
          <cell r="AC898">
            <v>4.359</v>
          </cell>
        </row>
        <row r="899">
          <cell r="A899" t="str">
            <v>Stock Natural gas-Performance boiler (Million)</v>
          </cell>
          <cell r="B899">
            <v>11.808999999999999</v>
          </cell>
          <cell r="C899">
            <v>11.673999999999999</v>
          </cell>
          <cell r="D899">
            <v>11.552</v>
          </cell>
          <cell r="E899">
            <v>11.295</v>
          </cell>
          <cell r="F899">
            <v>11.045</v>
          </cell>
          <cell r="G899">
            <v>10.712999999999999</v>
          </cell>
          <cell r="H899">
            <v>10.287000000000001</v>
          </cell>
          <cell r="I899">
            <v>9.7759999999999998</v>
          </cell>
          <cell r="J899">
            <v>9.3970000000000002</v>
          </cell>
          <cell r="K899">
            <v>8.9190000000000005</v>
          </cell>
          <cell r="L899">
            <v>8.4700000000000006</v>
          </cell>
          <cell r="M899">
            <v>8.0589999999999993</v>
          </cell>
          <cell r="N899">
            <v>7.68</v>
          </cell>
          <cell r="O899">
            <v>7.25</v>
          </cell>
          <cell r="P899">
            <v>6.8710000000000004</v>
          </cell>
          <cell r="Q899">
            <v>6.52</v>
          </cell>
          <cell r="R899">
            <v>6.2629999999999999</v>
          </cell>
          <cell r="S899">
            <v>6.0049999999999999</v>
          </cell>
          <cell r="T899">
            <v>5.79</v>
          </cell>
          <cell r="U899">
            <v>5.577</v>
          </cell>
          <cell r="V899">
            <v>5.3959999999999999</v>
          </cell>
          <cell r="W899">
            <v>5.2430000000000003</v>
          </cell>
          <cell r="X899">
            <v>5.1210000000000004</v>
          </cell>
          <cell r="Y899">
            <v>4.9560000000000004</v>
          </cell>
          <cell r="Z899">
            <v>4.8259999999999996</v>
          </cell>
          <cell r="AA899">
            <v>4.6859999999999999</v>
          </cell>
          <cell r="AB899">
            <v>4.5279999999999996</v>
          </cell>
          <cell r="AC899">
            <v>4.359</v>
          </cell>
        </row>
        <row r="900">
          <cell r="A900" t="str">
            <v>Stock new (Million)</v>
          </cell>
          <cell r="B900">
            <v>0</v>
          </cell>
          <cell r="C900">
            <v>0.25</v>
          </cell>
          <cell r="D900">
            <v>0.54800000000000004</v>
          </cell>
          <cell r="E900">
            <v>0.84699999999999998</v>
          </cell>
          <cell r="F900">
            <v>1.145</v>
          </cell>
          <cell r="G900">
            <v>1.444</v>
          </cell>
          <cell r="H900">
            <v>1.742</v>
          </cell>
          <cell r="I900">
            <v>1.952</v>
          </cell>
          <cell r="J900">
            <v>2.1619999999999999</v>
          </cell>
          <cell r="K900">
            <v>2.3719999999999999</v>
          </cell>
          <cell r="L900">
            <v>2.5819999999999999</v>
          </cell>
          <cell r="M900">
            <v>2.7919999999999998</v>
          </cell>
          <cell r="N900">
            <v>3.0019999999999998</v>
          </cell>
          <cell r="O900">
            <v>3.2120000000000002</v>
          </cell>
          <cell r="P900">
            <v>3.4220000000000002</v>
          </cell>
          <cell r="Q900">
            <v>3.6320000000000001</v>
          </cell>
          <cell r="R900">
            <v>3.8420000000000001</v>
          </cell>
          <cell r="S900">
            <v>3.9420000000000002</v>
          </cell>
          <cell r="T900">
            <v>4.0419999999999998</v>
          </cell>
          <cell r="U900">
            <v>4.1420000000000003</v>
          </cell>
          <cell r="V900">
            <v>4.242</v>
          </cell>
          <cell r="W900">
            <v>4.3419999999999996</v>
          </cell>
          <cell r="X900">
            <v>4.4420000000000002</v>
          </cell>
          <cell r="Y900">
            <v>4.5419999999999998</v>
          </cell>
          <cell r="Z900">
            <v>4.6420000000000003</v>
          </cell>
          <cell r="AA900">
            <v>4.742</v>
          </cell>
          <cell r="AB900">
            <v>4.8419999999999996</v>
          </cell>
          <cell r="AC900">
            <v>4.9420000000000002</v>
          </cell>
        </row>
        <row r="901">
          <cell r="A901" t="str">
            <v>Stock Oil fuel (Million)</v>
          </cell>
          <cell r="B901">
            <v>3.0489999999999999</v>
          </cell>
          <cell r="C901">
            <v>2.7879999999999998</v>
          </cell>
          <cell r="D901">
            <v>2.528</v>
          </cell>
          <cell r="E901">
            <v>2.27</v>
          </cell>
          <cell r="F901">
            <v>2.0129999999999999</v>
          </cell>
          <cell r="G901">
            <v>1.758</v>
          </cell>
          <cell r="H901">
            <v>1.504</v>
          </cell>
          <cell r="I901">
            <v>1.2509999999999999</v>
          </cell>
          <cell r="J901">
            <v>0.999</v>
          </cell>
          <cell r="K901">
            <v>0.748</v>
          </cell>
          <cell r="L901">
            <v>0.497</v>
          </cell>
          <cell r="M901">
            <v>0.247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</row>
        <row r="902">
          <cell r="A902" t="str">
            <v>Stock Oil fuel-Performance boiler (Million)</v>
          </cell>
          <cell r="B902">
            <v>3.0489999999999999</v>
          </cell>
          <cell r="C902">
            <v>2.7879999999999998</v>
          </cell>
          <cell r="D902">
            <v>2.528</v>
          </cell>
          <cell r="E902">
            <v>2.27</v>
          </cell>
          <cell r="F902">
            <v>2.0129999999999999</v>
          </cell>
          <cell r="G902">
            <v>1.758</v>
          </cell>
          <cell r="H902">
            <v>1.504</v>
          </cell>
          <cell r="I902">
            <v>1.2509999999999999</v>
          </cell>
          <cell r="J902">
            <v>0.999</v>
          </cell>
          <cell r="K902">
            <v>0.748</v>
          </cell>
          <cell r="L902">
            <v>0.497</v>
          </cell>
          <cell r="M902">
            <v>0.247</v>
          </cell>
        </row>
        <row r="903">
          <cell r="A903" t="str">
            <v>Stock Single-family - Owner-occupied - C1</v>
          </cell>
          <cell r="C903">
            <v>1462750.348</v>
          </cell>
          <cell r="D903">
            <v>1472488.0349999999</v>
          </cell>
          <cell r="E903">
            <v>1482171.3970000001</v>
          </cell>
          <cell r="F903">
            <v>1491834.2050000001</v>
          </cell>
          <cell r="G903">
            <v>1501516.929</v>
          </cell>
          <cell r="H903">
            <v>1511240.439</v>
          </cell>
          <cell r="I903">
            <v>1516809.906</v>
          </cell>
          <cell r="J903">
            <v>1522492.2749999999</v>
          </cell>
          <cell r="K903">
            <v>1528194.923</v>
          </cell>
          <cell r="L903">
            <v>1533936.4850000001</v>
          </cell>
          <cell r="M903">
            <v>1539739.7180000001</v>
          </cell>
          <cell r="N903">
            <v>1545649.578</v>
          </cell>
          <cell r="O903">
            <v>1551716.983</v>
          </cell>
          <cell r="P903">
            <v>1557824.5190000001</v>
          </cell>
          <cell r="Q903">
            <v>1563973.1939999999</v>
          </cell>
          <cell r="R903">
            <v>1570167.5589999999</v>
          </cell>
          <cell r="S903">
            <v>1571131.477</v>
          </cell>
          <cell r="T903">
            <v>1572125.74</v>
          </cell>
          <cell r="U903">
            <v>1573213.331</v>
          </cell>
          <cell r="V903">
            <v>1574395.9680000001</v>
          </cell>
          <cell r="W903">
            <v>1575682.3049999999</v>
          </cell>
          <cell r="X903">
            <v>1577003.986</v>
          </cell>
          <cell r="Y903">
            <v>1578364.9809999999</v>
          </cell>
          <cell r="Z903">
            <v>1579720.084</v>
          </cell>
          <cell r="AA903">
            <v>1581063.13</v>
          </cell>
          <cell r="AB903">
            <v>1580335.6580000001</v>
          </cell>
          <cell r="AC903">
            <v>1578394.9569999999</v>
          </cell>
        </row>
        <row r="904">
          <cell r="A904" t="str">
            <v>Stock Single-family - Owner-occupied - C2</v>
          </cell>
          <cell r="C904">
            <v>2337721.7039999999</v>
          </cell>
          <cell r="D904">
            <v>2353584.9240000001</v>
          </cell>
          <cell r="E904">
            <v>2369388.9219999998</v>
          </cell>
          <cell r="F904">
            <v>2385129.466</v>
          </cell>
          <cell r="G904">
            <v>2400831.4070000001</v>
          </cell>
          <cell r="H904">
            <v>2416542.9640000002</v>
          </cell>
          <cell r="I904">
            <v>2425555.3840000001</v>
          </cell>
          <cell r="J904">
            <v>2434665.304</v>
          </cell>
          <cell r="K904">
            <v>2443727.173</v>
          </cell>
          <cell r="L904">
            <v>2452765.162</v>
          </cell>
          <cell r="M904">
            <v>2461807.4810000001</v>
          </cell>
          <cell r="N904">
            <v>2470916.5210000002</v>
          </cell>
          <cell r="O904">
            <v>2480160.1860000002</v>
          </cell>
          <cell r="P904">
            <v>2489398.4249999998</v>
          </cell>
          <cell r="Q904">
            <v>2498640.0260000001</v>
          </cell>
          <cell r="R904">
            <v>2507899.8330000001</v>
          </cell>
          <cell r="S904">
            <v>2508407.4180000001</v>
          </cell>
          <cell r="T904">
            <v>2508986.2999999998</v>
          </cell>
          <cell r="U904">
            <v>2509683.2289999998</v>
          </cell>
          <cell r="V904">
            <v>2510516.4670000002</v>
          </cell>
          <cell r="W904">
            <v>2511510.7510000002</v>
          </cell>
          <cell r="X904">
            <v>2512527.7540000002</v>
          </cell>
          <cell r="Y904">
            <v>2513581.1510000001</v>
          </cell>
          <cell r="Z904">
            <v>2514636.7459999998</v>
          </cell>
          <cell r="AA904">
            <v>2515702.65</v>
          </cell>
          <cell r="AB904">
            <v>2514260.9500000002</v>
          </cell>
          <cell r="AC904">
            <v>2510823.074</v>
          </cell>
        </row>
        <row r="905">
          <cell r="A905" t="str">
            <v>Stock Single-family - Owner-occupied - C3</v>
          </cell>
          <cell r="C905">
            <v>2983035.7940000002</v>
          </cell>
          <cell r="D905">
            <v>3003854.6170000001</v>
          </cell>
          <cell r="E905">
            <v>3024701.1979999999</v>
          </cell>
          <cell r="F905">
            <v>3045616.023</v>
          </cell>
          <cell r="G905">
            <v>3066621.3289999999</v>
          </cell>
          <cell r="H905">
            <v>3087718.4709999999</v>
          </cell>
          <cell r="I905">
            <v>3100357.7919999999</v>
          </cell>
          <cell r="J905">
            <v>3113170.9169999999</v>
          </cell>
          <cell r="K905">
            <v>3126017.0490000001</v>
          </cell>
          <cell r="L905">
            <v>3138914.585</v>
          </cell>
          <cell r="M905">
            <v>3151892.9890000001</v>
          </cell>
          <cell r="N905">
            <v>3165018.1919999998</v>
          </cell>
          <cell r="O905">
            <v>3178370.35</v>
          </cell>
          <cell r="P905">
            <v>3191774.2579999999</v>
          </cell>
          <cell r="Q905">
            <v>3205235.3849999998</v>
          </cell>
          <cell r="R905">
            <v>3218774.7310000001</v>
          </cell>
          <cell r="S905">
            <v>3222077.6869999999</v>
          </cell>
          <cell r="T905">
            <v>3225426.699</v>
          </cell>
          <cell r="U905">
            <v>3228946.3840000001</v>
          </cell>
          <cell r="V905">
            <v>3232647.1770000001</v>
          </cell>
          <cell r="W905">
            <v>3236541.6469999999</v>
          </cell>
          <cell r="X905">
            <v>3240486.0180000002</v>
          </cell>
          <cell r="Y905">
            <v>3244486.2069999999</v>
          </cell>
          <cell r="Z905">
            <v>3248517.9210000001</v>
          </cell>
          <cell r="AA905">
            <v>3252586.023</v>
          </cell>
          <cell r="AB905">
            <v>3251874.4279999998</v>
          </cell>
          <cell r="AC905">
            <v>3248790.1519999998</v>
          </cell>
        </row>
        <row r="906">
          <cell r="A906" t="str">
            <v>Stock Single-family - Owner-occupied - C4</v>
          </cell>
          <cell r="C906">
            <v>3375014.9929999998</v>
          </cell>
          <cell r="D906">
            <v>3398770.2</v>
          </cell>
          <cell r="E906">
            <v>3422518.716</v>
          </cell>
          <cell r="F906">
            <v>3446283.1779999998</v>
          </cell>
          <cell r="G906">
            <v>3470086.5780000002</v>
          </cell>
          <cell r="H906">
            <v>3493937.2579999999</v>
          </cell>
          <cell r="I906">
            <v>3508155.264</v>
          </cell>
          <cell r="J906">
            <v>3522507.7570000002</v>
          </cell>
          <cell r="K906">
            <v>3536842.8289999999</v>
          </cell>
          <cell r="L906">
            <v>3551188.0260000001</v>
          </cell>
          <cell r="M906">
            <v>3565578.2009999999</v>
          </cell>
          <cell r="N906">
            <v>3580086.4789999998</v>
          </cell>
          <cell r="O906">
            <v>3594796.64</v>
          </cell>
          <cell r="P906">
            <v>3609537.55</v>
          </cell>
          <cell r="Q906">
            <v>3624317.8859999999</v>
          </cell>
          <cell r="R906">
            <v>3639163.338</v>
          </cell>
          <cell r="S906">
            <v>3642160.4380000001</v>
          </cell>
          <cell r="T906">
            <v>3645189.8229999999</v>
          </cell>
          <cell r="U906">
            <v>3648376.8679999998</v>
          </cell>
          <cell r="V906">
            <v>3651742.1549999998</v>
          </cell>
          <cell r="W906">
            <v>3655309.75</v>
          </cell>
          <cell r="X906">
            <v>3658903.8530000001</v>
          </cell>
          <cell r="Y906">
            <v>3662537.5189999999</v>
          </cell>
          <cell r="Z906">
            <v>3666179.4619999998</v>
          </cell>
          <cell r="AA906">
            <v>3669839.5819999999</v>
          </cell>
          <cell r="AB906">
            <v>3668665.2259999998</v>
          </cell>
          <cell r="AC906">
            <v>3664743.557</v>
          </cell>
        </row>
        <row r="907">
          <cell r="A907" t="str">
            <v>Stock Single-family - Owner-occupied - C5</v>
          </cell>
          <cell r="C907">
            <v>3485092.0630000001</v>
          </cell>
          <cell r="D907">
            <v>3509931.4509999999</v>
          </cell>
          <cell r="E907">
            <v>3534806.6430000002</v>
          </cell>
          <cell r="F907">
            <v>3559734.89</v>
          </cell>
          <cell r="G907">
            <v>3584731.8169999998</v>
          </cell>
          <cell r="H907">
            <v>3609797.55</v>
          </cell>
          <cell r="I907">
            <v>3624952.679</v>
          </cell>
          <cell r="J907">
            <v>3640258.46</v>
          </cell>
          <cell r="K907">
            <v>3655577.4849999999</v>
          </cell>
          <cell r="L907">
            <v>3670933.497</v>
          </cell>
          <cell r="M907">
            <v>3686360.7110000001</v>
          </cell>
          <cell r="N907">
            <v>3701930.679</v>
          </cell>
          <cell r="O907">
            <v>3717729.6830000002</v>
          </cell>
          <cell r="P907">
            <v>3733561.727</v>
          </cell>
          <cell r="Q907">
            <v>3749433.6660000002</v>
          </cell>
          <cell r="R907">
            <v>3765369.3489999999</v>
          </cell>
          <cell r="S907">
            <v>3769362.0610000002</v>
          </cell>
          <cell r="T907">
            <v>3773401.3089999999</v>
          </cell>
          <cell r="U907">
            <v>3777590.8050000002</v>
          </cell>
          <cell r="V907">
            <v>3781948.395</v>
          </cell>
          <cell r="W907">
            <v>3786492.8810000001</v>
          </cell>
          <cell r="X907">
            <v>3791066.3139999998</v>
          </cell>
          <cell r="Y907">
            <v>3795678.49</v>
          </cell>
          <cell r="Z907">
            <v>3800312.2289999998</v>
          </cell>
          <cell r="AA907">
            <v>3804976.9419999998</v>
          </cell>
          <cell r="AB907">
            <v>3804012.18</v>
          </cell>
          <cell r="AC907">
            <v>3800276.8309999998</v>
          </cell>
        </row>
        <row r="908">
          <cell r="A908" t="str">
            <v>Stock Single-family - Privately rented - C1</v>
          </cell>
          <cell r="C908">
            <v>545644.62199999997</v>
          </cell>
          <cell r="D908">
            <v>549257.92500000005</v>
          </cell>
          <cell r="E908">
            <v>552884.95900000003</v>
          </cell>
          <cell r="F908">
            <v>556575.005</v>
          </cell>
          <cell r="G908">
            <v>560314.14800000004</v>
          </cell>
          <cell r="H908">
            <v>564095.34199999995</v>
          </cell>
          <cell r="I908">
            <v>566340.31999999995</v>
          </cell>
          <cell r="J908">
            <v>568614.24199999997</v>
          </cell>
          <cell r="K908">
            <v>570952.39099999995</v>
          </cell>
          <cell r="L908">
            <v>573350.56099999999</v>
          </cell>
          <cell r="M908">
            <v>575803.96499999997</v>
          </cell>
          <cell r="N908">
            <v>578310.39800000004</v>
          </cell>
          <cell r="O908">
            <v>580866.06599999999</v>
          </cell>
          <cell r="P908">
            <v>583451.701</v>
          </cell>
          <cell r="Q908">
            <v>586064.04399999999</v>
          </cell>
          <cell r="R908">
            <v>588699.87699999998</v>
          </cell>
          <cell r="S908">
            <v>589550.12800000003</v>
          </cell>
          <cell r="T908">
            <v>590423.76</v>
          </cell>
          <cell r="U908">
            <v>591324.17500000005</v>
          </cell>
          <cell r="V908">
            <v>592247.44200000004</v>
          </cell>
          <cell r="W908">
            <v>593191.05099999998</v>
          </cell>
          <cell r="X908">
            <v>594146.80000000005</v>
          </cell>
          <cell r="Y908">
            <v>595113.63399999996</v>
          </cell>
          <cell r="Z908">
            <v>596083.47499999998</v>
          </cell>
          <cell r="AA908">
            <v>597054.43599999999</v>
          </cell>
          <cell r="AB908">
            <v>597262.11800000002</v>
          </cell>
          <cell r="AC908">
            <v>597112.71799999999</v>
          </cell>
        </row>
        <row r="909">
          <cell r="A909" t="str">
            <v>Stock Single-family - Privately rented - C2</v>
          </cell>
          <cell r="C909">
            <v>615897.005</v>
          </cell>
          <cell r="D909">
            <v>620084.99600000004</v>
          </cell>
          <cell r="E909">
            <v>624278.16</v>
          </cell>
          <cell r="F909">
            <v>628528.39300000004</v>
          </cell>
          <cell r="G909">
            <v>632823.82200000004</v>
          </cell>
          <cell r="H909">
            <v>637158.77</v>
          </cell>
          <cell r="I909">
            <v>639753.625</v>
          </cell>
          <cell r="J909">
            <v>642376.92299999995</v>
          </cell>
          <cell r="K909">
            <v>645067.87399999995</v>
          </cell>
          <cell r="L909">
            <v>647822.35199999996</v>
          </cell>
          <cell r="M909">
            <v>650635.58499999996</v>
          </cell>
          <cell r="N909">
            <v>653505.348</v>
          </cell>
          <cell r="O909">
            <v>656427.78099999996</v>
          </cell>
          <cell r="P909">
            <v>659380.79299999995</v>
          </cell>
          <cell r="Q909">
            <v>662361.04500000004</v>
          </cell>
          <cell r="R909">
            <v>665365.29500000004</v>
          </cell>
          <cell r="S909">
            <v>666365.60900000005</v>
          </cell>
          <cell r="T909">
            <v>667392.152</v>
          </cell>
          <cell r="U909">
            <v>668445.31599999999</v>
          </cell>
          <cell r="V909">
            <v>669521.18500000006</v>
          </cell>
          <cell r="W909">
            <v>670617.16399999999</v>
          </cell>
          <cell r="X909">
            <v>671724.13399999996</v>
          </cell>
          <cell r="Y909">
            <v>672841.147</v>
          </cell>
          <cell r="Z909">
            <v>673960.73499999999</v>
          </cell>
          <cell r="AA909">
            <v>675081.22199999995</v>
          </cell>
          <cell r="AB909">
            <v>675347.44099999999</v>
          </cell>
          <cell r="AC909">
            <v>675211.32499999995</v>
          </cell>
        </row>
        <row r="910">
          <cell r="A910" t="str">
            <v>Stock Single-family - Privately rented - C3</v>
          </cell>
          <cell r="C910">
            <v>524441.21200000006</v>
          </cell>
          <cell r="D910">
            <v>528077.66500000004</v>
          </cell>
          <cell r="E910">
            <v>531722.75800000003</v>
          </cell>
          <cell r="F910">
            <v>535411.51100000006</v>
          </cell>
          <cell r="G910">
            <v>539133.85</v>
          </cell>
          <cell r="H910">
            <v>542884.68599999999</v>
          </cell>
          <cell r="I910">
            <v>545149.05200000003</v>
          </cell>
          <cell r="J910">
            <v>547432.48699999996</v>
          </cell>
          <cell r="K910">
            <v>549766.21</v>
          </cell>
          <cell r="L910">
            <v>552146.97699999996</v>
          </cell>
          <cell r="M910">
            <v>554571.08100000001</v>
          </cell>
          <cell r="N910">
            <v>557036.78799999994</v>
          </cell>
          <cell r="O910">
            <v>559541.12199999997</v>
          </cell>
          <cell r="P910">
            <v>562069.11499999999</v>
          </cell>
          <cell r="Q910">
            <v>564618.18299999996</v>
          </cell>
          <cell r="R910">
            <v>567185.83400000003</v>
          </cell>
          <cell r="S910">
            <v>568049.74399999995</v>
          </cell>
          <cell r="T910">
            <v>568934.02099999995</v>
          </cell>
          <cell r="U910">
            <v>569839.03599999996</v>
          </cell>
          <cell r="V910">
            <v>570761.80299999996</v>
          </cell>
          <cell r="W910">
            <v>571700.35800000001</v>
          </cell>
          <cell r="X910">
            <v>572647.88</v>
          </cell>
          <cell r="Y910">
            <v>573603.60600000003</v>
          </cell>
          <cell r="Z910">
            <v>574561.81000000006</v>
          </cell>
          <cell r="AA910">
            <v>575521.19799999997</v>
          </cell>
          <cell r="AB910">
            <v>575742.73800000001</v>
          </cell>
          <cell r="AC910">
            <v>575620.24699999997</v>
          </cell>
        </row>
        <row r="911">
          <cell r="A911" t="str">
            <v>Stock Single-family - Privately rented - C4</v>
          </cell>
          <cell r="C911">
            <v>402748.76699999999</v>
          </cell>
          <cell r="D911">
            <v>405592.15399999998</v>
          </cell>
          <cell r="E911">
            <v>408441.32</v>
          </cell>
          <cell r="F911">
            <v>411315.76400000002</v>
          </cell>
          <cell r="G911">
            <v>414209.43800000002</v>
          </cell>
          <cell r="H911">
            <v>417119.261</v>
          </cell>
          <cell r="I911">
            <v>418882.50300000003</v>
          </cell>
          <cell r="J911">
            <v>420655.79599999997</v>
          </cell>
          <cell r="K911">
            <v>422464.614</v>
          </cell>
          <cell r="L911">
            <v>424306.69400000002</v>
          </cell>
          <cell r="M911">
            <v>426179.40500000003</v>
          </cell>
          <cell r="N911">
            <v>428081.53499999997</v>
          </cell>
          <cell r="O911">
            <v>430010.962</v>
          </cell>
          <cell r="P911">
            <v>431957.82199999999</v>
          </cell>
          <cell r="Q911">
            <v>433920.21100000001</v>
          </cell>
          <cell r="R911">
            <v>435896.27799999999</v>
          </cell>
          <cell r="S911">
            <v>436565.56099999999</v>
          </cell>
          <cell r="T911">
            <v>437249.99900000001</v>
          </cell>
          <cell r="U911">
            <v>437949.69</v>
          </cell>
          <cell r="V911">
            <v>438662.41700000002</v>
          </cell>
          <cell r="W911">
            <v>439386.75</v>
          </cell>
          <cell r="X911">
            <v>440117.38</v>
          </cell>
          <cell r="Y911">
            <v>440853.788</v>
          </cell>
          <cell r="Z911">
            <v>441591.50099999999</v>
          </cell>
          <cell r="AA911">
            <v>442329.54700000002</v>
          </cell>
          <cell r="AB911">
            <v>442511.07400000002</v>
          </cell>
          <cell r="AC911">
            <v>442428.52799999999</v>
          </cell>
        </row>
        <row r="912">
          <cell r="A912" t="str">
            <v>Stock Single-family - Privately rented - C5</v>
          </cell>
          <cell r="C912">
            <v>273160.20799999998</v>
          </cell>
          <cell r="D912">
            <v>275099.58899999998</v>
          </cell>
          <cell r="E912">
            <v>277041.43800000002</v>
          </cell>
          <cell r="F912">
            <v>279000.38799999998</v>
          </cell>
          <cell r="G912">
            <v>280972.41200000001</v>
          </cell>
          <cell r="H912">
            <v>282955.34399999998</v>
          </cell>
          <cell r="I912">
            <v>284160.652</v>
          </cell>
          <cell r="J912">
            <v>285372.68599999999</v>
          </cell>
          <cell r="K912">
            <v>286607.44199999998</v>
          </cell>
          <cell r="L912">
            <v>287863.43599999999</v>
          </cell>
          <cell r="M912">
            <v>289138.951</v>
          </cell>
          <cell r="N912">
            <v>290433.19099999999</v>
          </cell>
          <cell r="O912">
            <v>291744.76899999997</v>
          </cell>
          <cell r="P912">
            <v>293067.647</v>
          </cell>
          <cell r="Q912">
            <v>294400.57</v>
          </cell>
          <cell r="R912">
            <v>295742.375</v>
          </cell>
          <cell r="S912">
            <v>296198.12900000002</v>
          </cell>
          <cell r="T912">
            <v>296664.91899999999</v>
          </cell>
          <cell r="U912">
            <v>297141.28899999999</v>
          </cell>
          <cell r="V912">
            <v>297625.88900000002</v>
          </cell>
          <cell r="W912">
            <v>298117.864</v>
          </cell>
          <cell r="X912">
            <v>298614.07400000002</v>
          </cell>
          <cell r="Y912">
            <v>299114.19199999998</v>
          </cell>
          <cell r="Z912">
            <v>299615.44300000003</v>
          </cell>
          <cell r="AA912">
            <v>300117.22899999999</v>
          </cell>
          <cell r="AB912">
            <v>300264.12300000002</v>
          </cell>
          <cell r="AC912">
            <v>300234.87</v>
          </cell>
        </row>
        <row r="913">
          <cell r="A913" t="str">
            <v>Stock Single-family - Social-housing - C1</v>
          </cell>
          <cell r="C913">
            <v>255596.557</v>
          </cell>
          <cell r="D913">
            <v>257500.997</v>
          </cell>
          <cell r="E913">
            <v>259412.10800000001</v>
          </cell>
          <cell r="F913">
            <v>261333.10500000001</v>
          </cell>
          <cell r="G913">
            <v>263266.15100000001</v>
          </cell>
          <cell r="H913">
            <v>265206.05699999997</v>
          </cell>
          <cell r="I913">
            <v>266413.712</v>
          </cell>
          <cell r="J913">
            <v>267627.39600000001</v>
          </cell>
          <cell r="K913">
            <v>268846.04700000002</v>
          </cell>
          <cell r="L913">
            <v>270077.77500000002</v>
          </cell>
          <cell r="M913">
            <v>271334.12300000002</v>
          </cell>
          <cell r="N913">
            <v>272611.45699999999</v>
          </cell>
          <cell r="O913">
            <v>273886.652</v>
          </cell>
          <cell r="P913">
            <v>275157.87800000003</v>
          </cell>
          <cell r="Q913">
            <v>276425.03600000002</v>
          </cell>
          <cell r="R913">
            <v>277687.902</v>
          </cell>
          <cell r="S913">
            <v>278108.951</v>
          </cell>
          <cell r="T913">
            <v>278519.641</v>
          </cell>
          <cell r="U913">
            <v>278926.94900000002</v>
          </cell>
          <cell r="V913">
            <v>279332.01400000002</v>
          </cell>
          <cell r="W913">
            <v>279736.353</v>
          </cell>
          <cell r="X913">
            <v>280132.152</v>
          </cell>
          <cell r="Y913">
            <v>280519.61200000002</v>
          </cell>
          <cell r="Z913">
            <v>280894.55</v>
          </cell>
          <cell r="AA913">
            <v>281256.092</v>
          </cell>
          <cell r="AB913">
            <v>281382.01400000002</v>
          </cell>
          <cell r="AC913">
            <v>281325.52100000001</v>
          </cell>
        </row>
        <row r="914">
          <cell r="A914" t="str">
            <v>Stock Single-family - Social-housing - C2</v>
          </cell>
          <cell r="C914">
            <v>262816.38400000002</v>
          </cell>
          <cell r="D914">
            <v>264801.739</v>
          </cell>
          <cell r="E914">
            <v>266792.70199999999</v>
          </cell>
          <cell r="F914">
            <v>268791.62699999998</v>
          </cell>
          <cell r="G914">
            <v>270800.337</v>
          </cell>
          <cell r="H914">
            <v>272814.93599999999</v>
          </cell>
          <cell r="I914">
            <v>274076.17599999998</v>
          </cell>
          <cell r="J914">
            <v>275342.64399999997</v>
          </cell>
          <cell r="K914">
            <v>276613.43</v>
          </cell>
          <cell r="L914">
            <v>277895.28499999997</v>
          </cell>
          <cell r="M914">
            <v>279197.71000000002</v>
          </cell>
          <cell r="N914">
            <v>280517.67099999997</v>
          </cell>
          <cell r="O914">
            <v>281836.36</v>
          </cell>
          <cell r="P914">
            <v>283151.48800000001</v>
          </cell>
          <cell r="Q914">
            <v>284462.91200000001</v>
          </cell>
          <cell r="R914">
            <v>285770.38799999998</v>
          </cell>
          <cell r="S914">
            <v>286217.43300000002</v>
          </cell>
          <cell r="T914">
            <v>286655.03000000003</v>
          </cell>
          <cell r="U914">
            <v>287089.22499999998</v>
          </cell>
          <cell r="V914">
            <v>287520.91399999999</v>
          </cell>
          <cell r="W914">
            <v>287951.34000000003</v>
          </cell>
          <cell r="X914">
            <v>288373.76299999998</v>
          </cell>
          <cell r="Y914">
            <v>288788.32799999998</v>
          </cell>
          <cell r="Z914">
            <v>289190.87</v>
          </cell>
          <cell r="AA914">
            <v>289580.41200000001</v>
          </cell>
          <cell r="AB914">
            <v>289704.484</v>
          </cell>
          <cell r="AC914">
            <v>289640.18</v>
          </cell>
        </row>
        <row r="915">
          <cell r="A915" t="str">
            <v>Stock Single-family - Social-housing - C3</v>
          </cell>
          <cell r="C915">
            <v>142312.65900000001</v>
          </cell>
          <cell r="D915">
            <v>143361.22500000001</v>
          </cell>
          <cell r="E915">
            <v>144414.02600000001</v>
          </cell>
          <cell r="F915">
            <v>145473.46100000001</v>
          </cell>
          <cell r="G915">
            <v>146540.97700000001</v>
          </cell>
          <cell r="H915">
            <v>147612.73199999999</v>
          </cell>
          <cell r="I915">
            <v>148276.753</v>
          </cell>
          <cell r="J915">
            <v>148944.326</v>
          </cell>
          <cell r="K915">
            <v>149614.75099999999</v>
          </cell>
          <cell r="L915">
            <v>150293.223</v>
          </cell>
          <cell r="M915">
            <v>150987.36499999999</v>
          </cell>
          <cell r="N915">
            <v>151695.348</v>
          </cell>
          <cell r="O915">
            <v>152402.02299999999</v>
          </cell>
          <cell r="P915">
            <v>153106.34099999999</v>
          </cell>
          <cell r="Q915">
            <v>153808.283</v>
          </cell>
          <cell r="R915">
            <v>154507.75099999999</v>
          </cell>
          <cell r="S915">
            <v>154736.527</v>
          </cell>
          <cell r="T915">
            <v>154959.24900000001</v>
          </cell>
          <cell r="U915">
            <v>155180.20699999999</v>
          </cell>
          <cell r="V915">
            <v>155400.16</v>
          </cell>
          <cell r="W915">
            <v>155620.087</v>
          </cell>
          <cell r="X915">
            <v>155835.20600000001</v>
          </cell>
          <cell r="Y915">
            <v>156045.66</v>
          </cell>
          <cell r="Z915">
            <v>156249.35800000001</v>
          </cell>
          <cell r="AA915">
            <v>156445.96100000001</v>
          </cell>
          <cell r="AB915">
            <v>156521.58900000001</v>
          </cell>
          <cell r="AC915">
            <v>156496.43799999999</v>
          </cell>
        </row>
        <row r="916">
          <cell r="A916" t="str">
            <v>Stock Single-family - Social-housing - C4</v>
          </cell>
          <cell r="C916">
            <v>56438.942999999999</v>
          </cell>
          <cell r="D916">
            <v>56860.421999999999</v>
          </cell>
          <cell r="E916">
            <v>57283.784</v>
          </cell>
          <cell r="F916">
            <v>57709.968999999997</v>
          </cell>
          <cell r="G916">
            <v>58139.675999999999</v>
          </cell>
          <cell r="H916">
            <v>58571.343999999997</v>
          </cell>
          <cell r="I916">
            <v>58841.415999999997</v>
          </cell>
          <cell r="J916">
            <v>59112.837</v>
          </cell>
          <cell r="K916">
            <v>59385.413999999997</v>
          </cell>
          <cell r="L916">
            <v>59660.633999999998</v>
          </cell>
          <cell r="M916">
            <v>59940.466999999997</v>
          </cell>
          <cell r="N916">
            <v>60223.966</v>
          </cell>
          <cell r="O916">
            <v>60507.163999999997</v>
          </cell>
          <cell r="P916">
            <v>60789.618999999999</v>
          </cell>
          <cell r="Q916">
            <v>61071.307999999997</v>
          </cell>
          <cell r="R916">
            <v>61352.186000000002</v>
          </cell>
          <cell r="S916">
            <v>61448.362999999998</v>
          </cell>
          <cell r="T916">
            <v>61542.593000000001</v>
          </cell>
          <cell r="U916">
            <v>61636.152000000002</v>
          </cell>
          <cell r="V916">
            <v>61729.241000000002</v>
          </cell>
          <cell r="W916">
            <v>61822.125</v>
          </cell>
          <cell r="X916">
            <v>61913.385999999999</v>
          </cell>
          <cell r="Y916">
            <v>62003.053999999996</v>
          </cell>
          <cell r="Z916">
            <v>62090.298000000003</v>
          </cell>
          <cell r="AA916">
            <v>62174.919000000002</v>
          </cell>
          <cell r="AB916">
            <v>62200.908000000003</v>
          </cell>
          <cell r="AC916">
            <v>62186.353000000003</v>
          </cell>
        </row>
        <row r="917">
          <cell r="A917" t="str">
            <v>Stock Single-family - Social-housing - C5</v>
          </cell>
          <cell r="C917">
            <v>12951.481</v>
          </cell>
          <cell r="D917">
            <v>13048.212</v>
          </cell>
          <cell r="E917">
            <v>13145.348</v>
          </cell>
          <cell r="F917">
            <v>13242.835999999999</v>
          </cell>
          <cell r="G917">
            <v>13340.641</v>
          </cell>
          <cell r="H917">
            <v>13438.746999999999</v>
          </cell>
          <cell r="I917">
            <v>13499.869000000001</v>
          </cell>
          <cell r="J917">
            <v>13561.429</v>
          </cell>
          <cell r="K917">
            <v>13623.388999999999</v>
          </cell>
          <cell r="L917">
            <v>13686.162</v>
          </cell>
          <cell r="M917">
            <v>13750.25</v>
          </cell>
          <cell r="N917">
            <v>13815.296</v>
          </cell>
          <cell r="O917">
            <v>13880.290999999999</v>
          </cell>
          <cell r="P917">
            <v>13945.091</v>
          </cell>
          <cell r="Q917">
            <v>14009.683000000001</v>
          </cell>
          <cell r="R917">
            <v>14074.049000000001</v>
          </cell>
          <cell r="S917">
            <v>14095.924999999999</v>
          </cell>
          <cell r="T917">
            <v>14117.262000000001</v>
          </cell>
          <cell r="U917">
            <v>14138.369000000001</v>
          </cell>
          <cell r="V917">
            <v>14159.28</v>
          </cell>
          <cell r="W917">
            <v>14180.05</v>
          </cell>
          <cell r="X917">
            <v>14200.347</v>
          </cell>
          <cell r="Y917">
            <v>14220.175999999999</v>
          </cell>
          <cell r="Z917">
            <v>14239.293</v>
          </cell>
          <cell r="AA917">
            <v>14257.635</v>
          </cell>
          <cell r="AB917">
            <v>14263.614</v>
          </cell>
          <cell r="AC917">
            <v>14260.316999999999</v>
          </cell>
        </row>
        <row r="918">
          <cell r="A918" t="str">
            <v>Stock Single-family Electricity-Heat pump air (Million)</v>
          </cell>
          <cell r="B918">
            <v>0.38300000000000001</v>
          </cell>
          <cell r="C918">
            <v>0.61099999999999999</v>
          </cell>
          <cell r="D918">
            <v>0.84499999999999997</v>
          </cell>
          <cell r="E918">
            <v>1.0669999999999999</v>
          </cell>
          <cell r="F918">
            <v>1.294</v>
          </cell>
          <cell r="G918">
            <v>1.518</v>
          </cell>
          <cell r="H918">
            <v>1.74</v>
          </cell>
          <cell r="I918">
            <v>1.9510000000000001</v>
          </cell>
          <cell r="J918">
            <v>2.1629999999999998</v>
          </cell>
          <cell r="K918">
            <v>2.3759999999999999</v>
          </cell>
          <cell r="L918">
            <v>2.5910000000000002</v>
          </cell>
          <cell r="M918">
            <v>2.8079999999999998</v>
          </cell>
          <cell r="N918">
            <v>3.0259999999999998</v>
          </cell>
          <cell r="O918">
            <v>3.1989999999999998</v>
          </cell>
          <cell r="P918">
            <v>3.371</v>
          </cell>
          <cell r="Q918">
            <v>3.5430000000000001</v>
          </cell>
          <cell r="R918">
            <v>3.6989999999999998</v>
          </cell>
          <cell r="S918">
            <v>3.8380000000000001</v>
          </cell>
          <cell r="T918">
            <v>3.9630000000000001</v>
          </cell>
          <cell r="U918">
            <v>4.085</v>
          </cell>
          <cell r="V918">
            <v>4.1989999999999998</v>
          </cell>
          <cell r="W918">
            <v>4.2290000000000001</v>
          </cell>
          <cell r="X918">
            <v>4.2519999999999998</v>
          </cell>
          <cell r="Y918">
            <v>4.2949999999999999</v>
          </cell>
          <cell r="Z918">
            <v>4.33</v>
          </cell>
          <cell r="AA918">
            <v>4.3680000000000003</v>
          </cell>
          <cell r="AB918">
            <v>4.41</v>
          </cell>
          <cell r="AC918">
            <v>4.452</v>
          </cell>
        </row>
        <row r="919">
          <cell r="A919" t="str">
            <v>Stock Single-family Electricity-Heat pump water (Million)</v>
          </cell>
          <cell r="B919">
            <v>1.5329999999999999</v>
          </cell>
          <cell r="C919">
            <v>1.8260000000000001</v>
          </cell>
          <cell r="D919">
            <v>2.1360000000000001</v>
          </cell>
          <cell r="E919">
            <v>2.476</v>
          </cell>
          <cell r="F919">
            <v>2.8279999999999998</v>
          </cell>
          <cell r="G919">
            <v>3.1779999999999999</v>
          </cell>
          <cell r="H919">
            <v>3.5270000000000001</v>
          </cell>
          <cell r="I919">
            <v>3.843</v>
          </cell>
          <cell r="J919">
            <v>4.1639999999999997</v>
          </cell>
          <cell r="K919">
            <v>4.4870000000000001</v>
          </cell>
          <cell r="L919">
            <v>4.8140000000000001</v>
          </cell>
          <cell r="M919">
            <v>5.1459999999999999</v>
          </cell>
          <cell r="N919">
            <v>5.4809999999999999</v>
          </cell>
          <cell r="O919">
            <v>5.734</v>
          </cell>
          <cell r="P919">
            <v>5.9870000000000001</v>
          </cell>
          <cell r="Q919">
            <v>6.2380000000000004</v>
          </cell>
          <cell r="R919">
            <v>6.4640000000000004</v>
          </cell>
          <cell r="S919">
            <v>6.665</v>
          </cell>
          <cell r="T919">
            <v>6.8419999999999996</v>
          </cell>
          <cell r="U919">
            <v>7.0170000000000003</v>
          </cell>
          <cell r="V919">
            <v>7.1769999999999996</v>
          </cell>
          <cell r="W919">
            <v>7.2869999999999999</v>
          </cell>
          <cell r="X919">
            <v>7.3890000000000002</v>
          </cell>
          <cell r="Y919">
            <v>7.4859999999999998</v>
          </cell>
          <cell r="Z919">
            <v>7.5739999999999998</v>
          </cell>
          <cell r="AA919">
            <v>7.6580000000000004</v>
          </cell>
          <cell r="AB919">
            <v>7.7380000000000004</v>
          </cell>
          <cell r="AC919">
            <v>7.8090000000000002</v>
          </cell>
        </row>
        <row r="920">
          <cell r="A920" t="str">
            <v>Stock Single-family Electricity-Performance boiler (Million)</v>
          </cell>
          <cell r="B920">
            <v>4.3840000000000003</v>
          </cell>
          <cell r="C920">
            <v>4.2060000000000004</v>
          </cell>
          <cell r="D920">
            <v>4.0259999999999998</v>
          </cell>
          <cell r="E920">
            <v>3.8420000000000001</v>
          </cell>
          <cell r="F920">
            <v>3.6619999999999999</v>
          </cell>
          <cell r="G920">
            <v>3.484</v>
          </cell>
          <cell r="H920">
            <v>3.3079999999999998</v>
          </cell>
          <cell r="I920">
            <v>3.1309999999999998</v>
          </cell>
          <cell r="J920">
            <v>2.956</v>
          </cell>
          <cell r="K920">
            <v>2.7829999999999999</v>
          </cell>
          <cell r="L920">
            <v>2.6110000000000002</v>
          </cell>
          <cell r="M920">
            <v>2.4390000000000001</v>
          </cell>
          <cell r="N920">
            <v>2.2690000000000001</v>
          </cell>
          <cell r="O920">
            <v>2.0920000000000001</v>
          </cell>
          <cell r="P920">
            <v>1.9159999999999999</v>
          </cell>
          <cell r="Q920">
            <v>1.7430000000000001</v>
          </cell>
          <cell r="R920">
            <v>1.57</v>
          </cell>
          <cell r="S920">
            <v>1.399</v>
          </cell>
          <cell r="T920">
            <v>1.2290000000000001</v>
          </cell>
          <cell r="U920">
            <v>1.0649999999999999</v>
          </cell>
          <cell r="V920">
            <v>0.90500000000000003</v>
          </cell>
          <cell r="W920">
            <v>0.86299999999999999</v>
          </cell>
          <cell r="X920">
            <v>0.81899999999999995</v>
          </cell>
          <cell r="Y920">
            <v>0.78600000000000003</v>
          </cell>
          <cell r="Z920">
            <v>0.749</v>
          </cell>
          <cell r="AA920">
            <v>0.71799999999999997</v>
          </cell>
          <cell r="AB920">
            <v>0.69299999999999995</v>
          </cell>
          <cell r="AC920">
            <v>0.67300000000000004</v>
          </cell>
        </row>
        <row r="921">
          <cell r="A921" t="str">
            <v>Stock Single-family Heating-District heating (Million)</v>
          </cell>
          <cell r="B921">
            <v>0.26600000000000001</v>
          </cell>
          <cell r="C921">
            <v>0.26600000000000001</v>
          </cell>
          <cell r="D921">
            <v>0.26600000000000001</v>
          </cell>
          <cell r="E921">
            <v>0.26600000000000001</v>
          </cell>
          <cell r="F921">
            <v>0.26600000000000001</v>
          </cell>
          <cell r="G921">
            <v>0.26600000000000001</v>
          </cell>
          <cell r="H921">
            <v>0.26600000000000001</v>
          </cell>
          <cell r="I921">
            <v>0.26600000000000001</v>
          </cell>
          <cell r="J921">
            <v>0.26600000000000001</v>
          </cell>
          <cell r="K921">
            <v>0.26600000000000001</v>
          </cell>
          <cell r="L921">
            <v>0.26600000000000001</v>
          </cell>
          <cell r="M921">
            <v>0.26600000000000001</v>
          </cell>
          <cell r="N921">
            <v>0.26600000000000001</v>
          </cell>
          <cell r="O921">
            <v>0.26500000000000001</v>
          </cell>
          <cell r="P921">
            <v>0.26500000000000001</v>
          </cell>
          <cell r="Q921">
            <v>0.26500000000000001</v>
          </cell>
          <cell r="R921">
            <v>0.26500000000000001</v>
          </cell>
          <cell r="S921">
            <v>0.26500000000000001</v>
          </cell>
          <cell r="T921">
            <v>0.26500000000000001</v>
          </cell>
          <cell r="U921">
            <v>0.26500000000000001</v>
          </cell>
          <cell r="V921">
            <v>0.26500000000000001</v>
          </cell>
          <cell r="W921">
            <v>0.26500000000000001</v>
          </cell>
          <cell r="X921">
            <v>0.26500000000000001</v>
          </cell>
          <cell r="Y921">
            <v>0.26500000000000001</v>
          </cell>
          <cell r="Z921">
            <v>0.26500000000000001</v>
          </cell>
          <cell r="AA921">
            <v>0.26500000000000001</v>
          </cell>
          <cell r="AB921">
            <v>0.26500000000000001</v>
          </cell>
          <cell r="AC921">
            <v>0.26400000000000001</v>
          </cell>
        </row>
        <row r="922">
          <cell r="A922" t="str">
            <v>Stock Single-family Natural gas-Performance boiler (Million)</v>
          </cell>
          <cell r="B922">
            <v>4.883</v>
          </cell>
          <cell r="C922">
            <v>4.8150000000000004</v>
          </cell>
          <cell r="D922">
            <v>4.7460000000000004</v>
          </cell>
          <cell r="E922">
            <v>4.6609999999999996</v>
          </cell>
          <cell r="F922">
            <v>4.5540000000000003</v>
          </cell>
          <cell r="G922">
            <v>4.45</v>
          </cell>
          <cell r="H922">
            <v>4.3460000000000001</v>
          </cell>
          <cell r="I922">
            <v>4.2430000000000003</v>
          </cell>
          <cell r="J922">
            <v>4.1319999999999997</v>
          </cell>
          <cell r="K922">
            <v>4.0170000000000003</v>
          </cell>
          <cell r="L922">
            <v>3.8940000000000001</v>
          </cell>
          <cell r="M922">
            <v>3.7639999999999998</v>
          </cell>
          <cell r="N922">
            <v>3.6259999999999999</v>
          </cell>
          <cell r="O922">
            <v>3.4329999999999998</v>
          </cell>
          <cell r="P922">
            <v>3.2370000000000001</v>
          </cell>
          <cell r="Q922">
            <v>3.0419999999999998</v>
          </cell>
          <cell r="R922">
            <v>2.8919999999999999</v>
          </cell>
          <cell r="S922">
            <v>2.726</v>
          </cell>
          <cell r="T922">
            <v>2.5979999999999999</v>
          </cell>
          <cell r="U922">
            <v>2.472</v>
          </cell>
          <cell r="V922">
            <v>2.367</v>
          </cell>
          <cell r="W922">
            <v>2.2850000000000001</v>
          </cell>
          <cell r="X922">
            <v>2.2240000000000002</v>
          </cell>
          <cell r="Y922">
            <v>2.1339999999999999</v>
          </cell>
          <cell r="Z922">
            <v>2.0670000000000002</v>
          </cell>
          <cell r="AA922">
            <v>1.9950000000000001</v>
          </cell>
          <cell r="AB922">
            <v>1.9019999999999999</v>
          </cell>
          <cell r="AC922">
            <v>1.8029999999999999</v>
          </cell>
        </row>
        <row r="923">
          <cell r="A923" t="str">
            <v>Stock Single-family Oil fuel-Performance boiler (Million)</v>
          </cell>
          <cell r="B923">
            <v>2.4590000000000001</v>
          </cell>
          <cell r="C923">
            <v>2.2480000000000002</v>
          </cell>
          <cell r="D923">
            <v>2.0379999999999998</v>
          </cell>
          <cell r="E923">
            <v>1.83</v>
          </cell>
          <cell r="F923">
            <v>1.6220000000000001</v>
          </cell>
          <cell r="G923">
            <v>1.4159999999999999</v>
          </cell>
          <cell r="H923">
            <v>1.2110000000000001</v>
          </cell>
          <cell r="I923">
            <v>1.008</v>
          </cell>
          <cell r="J923">
            <v>0.80500000000000005</v>
          </cell>
          <cell r="K923">
            <v>0.60199999999999998</v>
          </cell>
          <cell r="L923">
            <v>0.4</v>
          </cell>
          <cell r="M923">
            <v>0.19900000000000001</v>
          </cell>
        </row>
        <row r="924">
          <cell r="A924" t="str">
            <v>Stock Single-family Wood fuel-Performance boiler (Million)</v>
          </cell>
          <cell r="B924">
            <v>2.7330000000000001</v>
          </cell>
          <cell r="C924">
            <v>2.7629999999999999</v>
          </cell>
          <cell r="D924">
            <v>2.7959999999999998</v>
          </cell>
          <cell r="E924">
            <v>2.8279999999999998</v>
          </cell>
          <cell r="F924">
            <v>2.86</v>
          </cell>
          <cell r="G924">
            <v>2.8919999999999999</v>
          </cell>
          <cell r="H924">
            <v>2.923</v>
          </cell>
          <cell r="I924">
            <v>2.95</v>
          </cell>
          <cell r="J924">
            <v>2.9769999999999999</v>
          </cell>
          <cell r="K924">
            <v>3.0030000000000001</v>
          </cell>
          <cell r="L924">
            <v>3.03</v>
          </cell>
          <cell r="M924">
            <v>3.056</v>
          </cell>
          <cell r="N924">
            <v>3.0819999999999999</v>
          </cell>
          <cell r="O924">
            <v>3.1019999999999999</v>
          </cell>
          <cell r="P924">
            <v>3.121</v>
          </cell>
          <cell r="Q924">
            <v>3.141</v>
          </cell>
          <cell r="R924">
            <v>3.1579999999999999</v>
          </cell>
          <cell r="S924">
            <v>3.1720000000000002</v>
          </cell>
          <cell r="T924">
            <v>3.1840000000000002</v>
          </cell>
          <cell r="U924">
            <v>3.1949999999999998</v>
          </cell>
          <cell r="V924">
            <v>3.2050000000000001</v>
          </cell>
          <cell r="W924">
            <v>3.2069999999999999</v>
          </cell>
          <cell r="X924">
            <v>3.2090000000000001</v>
          </cell>
          <cell r="Y924">
            <v>3.2109999999999999</v>
          </cell>
          <cell r="Z924">
            <v>3.2120000000000002</v>
          </cell>
          <cell r="AA924">
            <v>3.2130000000000001</v>
          </cell>
          <cell r="AB924">
            <v>3.206</v>
          </cell>
          <cell r="AC924">
            <v>3.1960000000000002</v>
          </cell>
        </row>
        <row r="925">
          <cell r="A925" t="str">
            <v>Stock to renovate (Million)</v>
          </cell>
          <cell r="B925">
            <v>22.123000000000001</v>
          </cell>
          <cell r="C925">
            <v>21.446999999999999</v>
          </cell>
          <cell r="D925">
            <v>20.757000000000001</v>
          </cell>
          <cell r="E925">
            <v>19.856999999999999</v>
          </cell>
          <cell r="F925">
            <v>18.919</v>
          </cell>
          <cell r="G925">
            <v>17.959</v>
          </cell>
          <cell r="H925">
            <v>16.957000000000001</v>
          </cell>
          <cell r="I925">
            <v>15.923999999999999</v>
          </cell>
          <cell r="J925">
            <v>14.855</v>
          </cell>
          <cell r="K925">
            <v>13.792999999999999</v>
          </cell>
          <cell r="L925">
            <v>12.772</v>
          </cell>
          <cell r="M925">
            <v>11.776999999999999</v>
          </cell>
          <cell r="N925">
            <v>10.823</v>
          </cell>
          <cell r="O925">
            <v>10.07</v>
          </cell>
          <cell r="P925">
            <v>9.1969999999999992</v>
          </cell>
          <cell r="Q925">
            <v>8.3889999999999993</v>
          </cell>
          <cell r="R925">
            <v>7.6909999999999998</v>
          </cell>
          <cell r="S925">
            <v>6.87</v>
          </cell>
          <cell r="T925">
            <v>6.2450000000000001</v>
          </cell>
          <cell r="U925">
            <v>5.6660000000000004</v>
          </cell>
          <cell r="V925">
            <v>5.1680000000000001</v>
          </cell>
          <cell r="W925">
            <v>4.8550000000000004</v>
          </cell>
          <cell r="X925">
            <v>4.5720000000000001</v>
          </cell>
          <cell r="Y925">
            <v>4.2969999999999997</v>
          </cell>
          <cell r="Z925">
            <v>4.0469999999999997</v>
          </cell>
          <cell r="AA925">
            <v>3.8119999999999998</v>
          </cell>
          <cell r="AB925">
            <v>3.59</v>
          </cell>
          <cell r="AC925">
            <v>3.3679999999999999</v>
          </cell>
        </row>
        <row r="926">
          <cell r="A926" t="str">
            <v>Stock Wood fuel (Million)</v>
          </cell>
          <cell r="B926">
            <v>2.7330000000000001</v>
          </cell>
          <cell r="C926">
            <v>2.7629999999999999</v>
          </cell>
          <cell r="D926">
            <v>2.7959999999999998</v>
          </cell>
          <cell r="E926">
            <v>2.8279999999999998</v>
          </cell>
          <cell r="F926">
            <v>2.86</v>
          </cell>
          <cell r="G926">
            <v>2.8919999999999999</v>
          </cell>
          <cell r="H926">
            <v>2.923</v>
          </cell>
          <cell r="I926">
            <v>2.95</v>
          </cell>
          <cell r="J926">
            <v>2.9769999999999999</v>
          </cell>
          <cell r="K926">
            <v>3.0030000000000001</v>
          </cell>
          <cell r="L926">
            <v>3.03</v>
          </cell>
          <cell r="M926">
            <v>3.056</v>
          </cell>
          <cell r="N926">
            <v>3.0819999999999999</v>
          </cell>
          <cell r="O926">
            <v>3.1019999999999999</v>
          </cell>
          <cell r="P926">
            <v>3.121</v>
          </cell>
          <cell r="Q926">
            <v>3.141</v>
          </cell>
          <cell r="R926">
            <v>3.1579999999999999</v>
          </cell>
          <cell r="S926">
            <v>3.1720000000000002</v>
          </cell>
          <cell r="T926">
            <v>3.1840000000000002</v>
          </cell>
          <cell r="U926">
            <v>3.1949999999999998</v>
          </cell>
          <cell r="V926">
            <v>3.2050000000000001</v>
          </cell>
          <cell r="W926">
            <v>3.2069999999999999</v>
          </cell>
          <cell r="X926">
            <v>3.2090000000000001</v>
          </cell>
          <cell r="Y926">
            <v>3.2109999999999999</v>
          </cell>
          <cell r="Z926">
            <v>3.2120000000000002</v>
          </cell>
          <cell r="AA926">
            <v>3.2130000000000001</v>
          </cell>
          <cell r="AB926">
            <v>3.206</v>
          </cell>
          <cell r="AC926">
            <v>3.1960000000000002</v>
          </cell>
        </row>
        <row r="927">
          <cell r="A927" t="str">
            <v>Stock Wood fuel-Performance boiler (Million)</v>
          </cell>
          <cell r="B927">
            <v>2.7330000000000001</v>
          </cell>
          <cell r="C927">
            <v>2.7629999999999999</v>
          </cell>
          <cell r="D927">
            <v>2.7959999999999998</v>
          </cell>
          <cell r="E927">
            <v>2.8279999999999998</v>
          </cell>
          <cell r="F927">
            <v>2.86</v>
          </cell>
          <cell r="G927">
            <v>2.8919999999999999</v>
          </cell>
          <cell r="H927">
            <v>2.923</v>
          </cell>
          <cell r="I927">
            <v>2.95</v>
          </cell>
          <cell r="J927">
            <v>2.9769999999999999</v>
          </cell>
          <cell r="K927">
            <v>3.0030000000000001</v>
          </cell>
          <cell r="L927">
            <v>3.03</v>
          </cell>
          <cell r="M927">
            <v>3.056</v>
          </cell>
          <cell r="N927">
            <v>3.0819999999999999</v>
          </cell>
          <cell r="O927">
            <v>3.1019999999999999</v>
          </cell>
          <cell r="P927">
            <v>3.121</v>
          </cell>
          <cell r="Q927">
            <v>3.141</v>
          </cell>
          <cell r="R927">
            <v>3.1579999999999999</v>
          </cell>
          <cell r="S927">
            <v>3.1720000000000002</v>
          </cell>
          <cell r="T927">
            <v>3.1840000000000002</v>
          </cell>
          <cell r="U927">
            <v>3.1949999999999998</v>
          </cell>
          <cell r="V927">
            <v>3.2050000000000001</v>
          </cell>
          <cell r="W927">
            <v>3.2069999999999999</v>
          </cell>
          <cell r="X927">
            <v>3.2090000000000001</v>
          </cell>
          <cell r="Y927">
            <v>3.2109999999999999</v>
          </cell>
          <cell r="Z927">
            <v>3.2120000000000002</v>
          </cell>
          <cell r="AA927">
            <v>3.2130000000000001</v>
          </cell>
          <cell r="AB927">
            <v>3.206</v>
          </cell>
          <cell r="AC927">
            <v>3.1960000000000002</v>
          </cell>
        </row>
        <row r="928">
          <cell r="A928" t="str">
            <v>Subsidies heater (Billion euro)</v>
          </cell>
          <cell r="C928">
            <v>2.9569999999999999</v>
          </cell>
          <cell r="D928">
            <v>3.0819999999999999</v>
          </cell>
          <cell r="E928">
            <v>3.67</v>
          </cell>
          <cell r="F928">
            <v>3.823</v>
          </cell>
          <cell r="G928">
            <v>3.7069999999999999</v>
          </cell>
          <cell r="H928">
            <v>3.585</v>
          </cell>
          <cell r="I928">
            <v>3.47</v>
          </cell>
          <cell r="J928">
            <v>3.6779999999999999</v>
          </cell>
          <cell r="K928">
            <v>3.56</v>
          </cell>
          <cell r="L928">
            <v>3.625</v>
          </cell>
          <cell r="M928">
            <v>3.7010000000000001</v>
          </cell>
          <cell r="N928">
            <v>3.774</v>
          </cell>
          <cell r="O928">
            <v>3.1539999999999999</v>
          </cell>
          <cell r="P928">
            <v>3.2280000000000002</v>
          </cell>
          <cell r="Q928">
            <v>3.2530000000000001</v>
          </cell>
          <cell r="R928">
            <v>3.05</v>
          </cell>
          <cell r="S928">
            <v>3.149</v>
          </cell>
          <cell r="T928">
            <v>2.9140000000000001</v>
          </cell>
          <cell r="U928">
            <v>2.8860000000000001</v>
          </cell>
          <cell r="V928">
            <v>2.7570000000000001</v>
          </cell>
          <cell r="W928">
            <v>4.1909999999999998</v>
          </cell>
          <cell r="X928">
            <v>4.2539999999999996</v>
          </cell>
          <cell r="Y928">
            <v>4.3049999999999997</v>
          </cell>
          <cell r="Z928">
            <v>4.391</v>
          </cell>
          <cell r="AA928">
            <v>4.2039999999999997</v>
          </cell>
          <cell r="AB928">
            <v>4.0030000000000001</v>
          </cell>
          <cell r="AC928">
            <v>3.8029999999999999</v>
          </cell>
        </row>
        <row r="929">
          <cell r="A929" t="str">
            <v>Subsidies insulation (Billion euro)</v>
          </cell>
          <cell r="C929">
            <v>1.992</v>
          </cell>
          <cell r="D929">
            <v>2.0129999999999999</v>
          </cell>
          <cell r="E929">
            <v>6.1550000000000002</v>
          </cell>
          <cell r="F929">
            <v>6.41</v>
          </cell>
          <cell r="G929">
            <v>5.8920000000000003</v>
          </cell>
          <cell r="H929">
            <v>6.0540000000000003</v>
          </cell>
          <cell r="I929">
            <v>6.1050000000000004</v>
          </cell>
          <cell r="J929">
            <v>5.9340000000000002</v>
          </cell>
          <cell r="K929">
            <v>5.0810000000000004</v>
          </cell>
          <cell r="L929">
            <v>4.4459999999999997</v>
          </cell>
          <cell r="M929">
            <v>3.9529999999999998</v>
          </cell>
          <cell r="N929">
            <v>3.5190000000000001</v>
          </cell>
          <cell r="O929">
            <v>3.26</v>
          </cell>
          <cell r="P929">
            <v>3.6379999999999999</v>
          </cell>
          <cell r="Q929">
            <v>3.5129999999999999</v>
          </cell>
          <cell r="R929">
            <v>3.1840000000000002</v>
          </cell>
          <cell r="S929">
            <v>4.2830000000000004</v>
          </cell>
          <cell r="T929">
            <v>3.242</v>
          </cell>
          <cell r="U929">
            <v>3.0019999999999998</v>
          </cell>
          <cell r="V929">
            <v>2.6640000000000001</v>
          </cell>
          <cell r="W929">
            <v>2.5019999999999998</v>
          </cell>
          <cell r="X929">
            <v>2.3450000000000002</v>
          </cell>
          <cell r="Y929">
            <v>2.2210000000000001</v>
          </cell>
          <cell r="Z929">
            <v>2.0880000000000001</v>
          </cell>
          <cell r="AA929">
            <v>1.9730000000000001</v>
          </cell>
          <cell r="AB929">
            <v>1.8779999999999999</v>
          </cell>
          <cell r="AC929">
            <v>1.8740000000000001</v>
          </cell>
        </row>
        <row r="930">
          <cell r="A930" t="str">
            <v>Subsidies insulation (Thousand euro/household)</v>
          </cell>
          <cell r="C930">
            <v>3.3149999999999999</v>
          </cell>
          <cell r="D930">
            <v>3.18</v>
          </cell>
          <cell r="E930">
            <v>6.7859999999999996</v>
          </cell>
          <cell r="F930">
            <v>6.8879999999999999</v>
          </cell>
          <cell r="G930">
            <v>6.47</v>
          </cell>
          <cell r="H930">
            <v>6.5860000000000003</v>
          </cell>
          <cell r="I930">
            <v>6.7519999999999998</v>
          </cell>
          <cell r="J930">
            <v>5.4909999999999997</v>
          </cell>
          <cell r="K930">
            <v>5.2050000000000001</v>
          </cell>
          <cell r="L930">
            <v>4.8150000000000004</v>
          </cell>
          <cell r="M930">
            <v>4.3079999999999998</v>
          </cell>
          <cell r="N930">
            <v>4.0039999999999996</v>
          </cell>
          <cell r="O930">
            <v>3.8439999999999999</v>
          </cell>
          <cell r="P930">
            <v>3.02</v>
          </cell>
          <cell r="Q930">
            <v>3.052</v>
          </cell>
          <cell r="R930">
            <v>2.847</v>
          </cell>
          <cell r="S930">
            <v>3.262</v>
          </cell>
          <cell r="T930">
            <v>2.8210000000000002</v>
          </cell>
          <cell r="U930">
            <v>2.7469999999999999</v>
          </cell>
          <cell r="V930">
            <v>2.7320000000000002</v>
          </cell>
          <cell r="W930">
            <v>2.5750000000000002</v>
          </cell>
          <cell r="X930">
            <v>2.5459999999999998</v>
          </cell>
          <cell r="Y930">
            <v>2.5350000000000001</v>
          </cell>
          <cell r="Z930">
            <v>2.5049999999999999</v>
          </cell>
          <cell r="AA930">
            <v>2.48</v>
          </cell>
          <cell r="AB930">
            <v>2.4740000000000002</v>
          </cell>
          <cell r="AC930">
            <v>2.5630000000000002</v>
          </cell>
        </row>
        <row r="931">
          <cell r="A931" t="str">
            <v>Subsidies loan heater (Billion euro)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</row>
        <row r="932">
          <cell r="A932" t="str">
            <v>Subsidies loan insulation (Billion euro)</v>
          </cell>
          <cell r="C932">
            <v>0.98</v>
          </cell>
          <cell r="D932">
            <v>0.97</v>
          </cell>
          <cell r="E932">
            <v>1.587</v>
          </cell>
          <cell r="F932">
            <v>1.5649999999999999</v>
          </cell>
          <cell r="G932">
            <v>1.4259999999999999</v>
          </cell>
          <cell r="H932">
            <v>1.4390000000000001</v>
          </cell>
          <cell r="I932">
            <v>1.4039999999999999</v>
          </cell>
          <cell r="J932">
            <v>1.554</v>
          </cell>
          <cell r="K932">
            <v>1.377</v>
          </cell>
          <cell r="L932">
            <v>1.2669999999999999</v>
          </cell>
          <cell r="M932">
            <v>1.2110000000000001</v>
          </cell>
          <cell r="N932">
            <v>1.127</v>
          </cell>
          <cell r="O932">
            <v>1.103</v>
          </cell>
          <cell r="P932">
            <v>1.45</v>
          </cell>
          <cell r="Q932">
            <v>1.4059999999999999</v>
          </cell>
          <cell r="R932">
            <v>1.34</v>
          </cell>
          <cell r="S932">
            <v>1.8140000000000001</v>
          </cell>
          <cell r="T932">
            <v>1.421</v>
          </cell>
          <cell r="U932">
            <v>1.339</v>
          </cell>
          <cell r="V932">
            <v>1.1819999999999999</v>
          </cell>
          <cell r="W932">
            <v>1.1639999999999999</v>
          </cell>
          <cell r="X932">
            <v>1.105</v>
          </cell>
          <cell r="Y932">
            <v>1.0509999999999999</v>
          </cell>
          <cell r="Z932">
            <v>1</v>
          </cell>
          <cell r="AA932">
            <v>0.95399999999999996</v>
          </cell>
          <cell r="AB932">
            <v>0.91</v>
          </cell>
          <cell r="AC932">
            <v>0.89400000000000002</v>
          </cell>
        </row>
        <row r="933">
          <cell r="A933" t="str">
            <v>Subsidies loan total (Billion euro)</v>
          </cell>
          <cell r="C933">
            <v>0.98</v>
          </cell>
          <cell r="D933">
            <v>0.97</v>
          </cell>
          <cell r="E933">
            <v>1.587</v>
          </cell>
          <cell r="F933">
            <v>1.5649999999999999</v>
          </cell>
          <cell r="G933">
            <v>1.4259999999999999</v>
          </cell>
          <cell r="H933">
            <v>1.4390000000000001</v>
          </cell>
          <cell r="I933">
            <v>1.4039999999999999</v>
          </cell>
          <cell r="J933">
            <v>1.554</v>
          </cell>
          <cell r="K933">
            <v>1.377</v>
          </cell>
          <cell r="L933">
            <v>1.2669999999999999</v>
          </cell>
          <cell r="M933">
            <v>1.2110000000000001</v>
          </cell>
          <cell r="N933">
            <v>1.127</v>
          </cell>
          <cell r="O933">
            <v>1.103</v>
          </cell>
          <cell r="P933">
            <v>1.45</v>
          </cell>
          <cell r="Q933">
            <v>1.4059999999999999</v>
          </cell>
          <cell r="R933">
            <v>1.34</v>
          </cell>
          <cell r="S933">
            <v>1.8140000000000001</v>
          </cell>
          <cell r="T933">
            <v>1.421</v>
          </cell>
          <cell r="U933">
            <v>1.339</v>
          </cell>
          <cell r="V933">
            <v>1.1819999999999999</v>
          </cell>
          <cell r="W933">
            <v>1.1639999999999999</v>
          </cell>
          <cell r="X933">
            <v>1.105</v>
          </cell>
          <cell r="Y933">
            <v>1.0509999999999999</v>
          </cell>
          <cell r="Z933">
            <v>1</v>
          </cell>
          <cell r="AA933">
            <v>0.95399999999999996</v>
          </cell>
          <cell r="AB933">
            <v>0.91</v>
          </cell>
          <cell r="AC933">
            <v>0.89400000000000002</v>
          </cell>
        </row>
        <row r="934">
          <cell r="A934" t="str">
            <v>Subsidies total (Billion euro)</v>
          </cell>
          <cell r="C934">
            <v>4.9489999999999998</v>
          </cell>
          <cell r="D934">
            <v>5.0949999999999998</v>
          </cell>
          <cell r="E934">
            <v>9.8239999999999998</v>
          </cell>
          <cell r="F934">
            <v>10.233000000000001</v>
          </cell>
          <cell r="G934">
            <v>9.5990000000000002</v>
          </cell>
          <cell r="H934">
            <v>9.6389999999999993</v>
          </cell>
          <cell r="I934">
            <v>9.5739999999999998</v>
          </cell>
          <cell r="J934">
            <v>9.6120000000000001</v>
          </cell>
          <cell r="K934">
            <v>8.641</v>
          </cell>
          <cell r="L934">
            <v>8.0709999999999997</v>
          </cell>
          <cell r="M934">
            <v>7.6529999999999996</v>
          </cell>
          <cell r="N934">
            <v>7.2919999999999998</v>
          </cell>
          <cell r="O934">
            <v>6.4130000000000003</v>
          </cell>
          <cell r="P934">
            <v>6.867</v>
          </cell>
          <cell r="Q934">
            <v>6.766</v>
          </cell>
          <cell r="R934">
            <v>6.234</v>
          </cell>
          <cell r="S934">
            <v>7.431</v>
          </cell>
          <cell r="T934">
            <v>6.1559999999999997</v>
          </cell>
          <cell r="U934">
            <v>5.8879999999999999</v>
          </cell>
          <cell r="V934">
            <v>5.4210000000000003</v>
          </cell>
          <cell r="W934">
            <v>6.6929999999999996</v>
          </cell>
          <cell r="X934">
            <v>6.5990000000000002</v>
          </cell>
          <cell r="Y934">
            <v>6.5259999999999998</v>
          </cell>
          <cell r="Z934">
            <v>6.48</v>
          </cell>
          <cell r="AA934">
            <v>6.1769999999999996</v>
          </cell>
          <cell r="AB934">
            <v>5.8810000000000002</v>
          </cell>
          <cell r="AC934">
            <v>5.6769999999999996</v>
          </cell>
        </row>
        <row r="935">
          <cell r="A935" t="str">
            <v>Subsidies total C1 (Million euro)</v>
          </cell>
          <cell r="C935">
            <v>693.82</v>
          </cell>
          <cell r="D935">
            <v>713.43899999999996</v>
          </cell>
          <cell r="E935">
            <v>1932.3019999999999</v>
          </cell>
          <cell r="F935">
            <v>2232.4369999999999</v>
          </cell>
          <cell r="G935">
            <v>2166.52</v>
          </cell>
          <cell r="H935">
            <v>2172.5010000000002</v>
          </cell>
          <cell r="I935">
            <v>2285.3119999999999</v>
          </cell>
          <cell r="J935">
            <v>2169.5410000000002</v>
          </cell>
          <cell r="K935">
            <v>1961.14</v>
          </cell>
          <cell r="L935">
            <v>1820.508</v>
          </cell>
          <cell r="M935">
            <v>1713.877</v>
          </cell>
          <cell r="N935">
            <v>1632.788</v>
          </cell>
          <cell r="O935">
            <v>1374.847</v>
          </cell>
          <cell r="P935">
            <v>1391.09</v>
          </cell>
          <cell r="Q935">
            <v>1352.654</v>
          </cell>
          <cell r="R935">
            <v>1239.0039999999999</v>
          </cell>
          <cell r="S935">
            <v>1382.7639999999999</v>
          </cell>
          <cell r="T935">
            <v>1237.348</v>
          </cell>
          <cell r="U935">
            <v>1183.6600000000001</v>
          </cell>
          <cell r="V935">
            <v>1111.7370000000001</v>
          </cell>
          <cell r="W935">
            <v>1284.1500000000001</v>
          </cell>
          <cell r="X935">
            <v>1257.211</v>
          </cell>
          <cell r="Y935">
            <v>1250.5070000000001</v>
          </cell>
          <cell r="Z935">
            <v>1234.78</v>
          </cell>
          <cell r="AA935">
            <v>1179.271</v>
          </cell>
          <cell r="AB935">
            <v>1127.354</v>
          </cell>
          <cell r="AC935">
            <v>1085.5440000000001</v>
          </cell>
        </row>
        <row r="936">
          <cell r="A936" t="str">
            <v>Subsidies total C2 (Million euro)</v>
          </cell>
          <cell r="C936">
            <v>959.88900000000001</v>
          </cell>
          <cell r="D936">
            <v>985.25199999999995</v>
          </cell>
          <cell r="E936">
            <v>1732.857</v>
          </cell>
          <cell r="F936">
            <v>1871.7370000000001</v>
          </cell>
          <cell r="G936">
            <v>1952.7529999999999</v>
          </cell>
          <cell r="H936">
            <v>1983.193</v>
          </cell>
          <cell r="I936">
            <v>2048.0639999999999</v>
          </cell>
          <cell r="J936">
            <v>1987.491</v>
          </cell>
          <cell r="K936">
            <v>1815.8489999999999</v>
          </cell>
          <cell r="L936">
            <v>1704.5309999999999</v>
          </cell>
          <cell r="M936">
            <v>1618.721</v>
          </cell>
          <cell r="N936">
            <v>1552.088</v>
          </cell>
          <cell r="O936">
            <v>1326.6320000000001</v>
          </cell>
          <cell r="P936">
            <v>1351.529</v>
          </cell>
          <cell r="Q936">
            <v>1331.771</v>
          </cell>
          <cell r="R936">
            <v>1221.3420000000001</v>
          </cell>
          <cell r="S936">
            <v>1491.3589999999999</v>
          </cell>
          <cell r="T936">
            <v>1275.5440000000001</v>
          </cell>
          <cell r="U936">
            <v>1220.318</v>
          </cell>
          <cell r="V936">
            <v>1144.835</v>
          </cell>
          <cell r="W936">
            <v>1444.3869999999999</v>
          </cell>
          <cell r="X936">
            <v>1428.058</v>
          </cell>
          <cell r="Y936">
            <v>1419.0650000000001</v>
          </cell>
          <cell r="Z936">
            <v>1412.7570000000001</v>
          </cell>
          <cell r="AA936">
            <v>1347.0619999999999</v>
          </cell>
          <cell r="AB936">
            <v>1283.758</v>
          </cell>
          <cell r="AC936">
            <v>1254.127</v>
          </cell>
        </row>
        <row r="937">
          <cell r="A937" t="str">
            <v>Subsidies total C3 (Million euro)</v>
          </cell>
          <cell r="C937">
            <v>1187.473</v>
          </cell>
          <cell r="D937">
            <v>1178.7809999999999</v>
          </cell>
          <cell r="E937">
            <v>2118.9569999999999</v>
          </cell>
          <cell r="F937">
            <v>2105.8890000000001</v>
          </cell>
          <cell r="G937">
            <v>1879.06</v>
          </cell>
          <cell r="H937">
            <v>1906.9870000000001</v>
          </cell>
          <cell r="I937">
            <v>1848.953</v>
          </cell>
          <cell r="J937">
            <v>1753.46</v>
          </cell>
          <cell r="K937">
            <v>1560.7360000000001</v>
          </cell>
          <cell r="L937">
            <v>1443.221</v>
          </cell>
          <cell r="M937">
            <v>1360.816</v>
          </cell>
          <cell r="N937">
            <v>1302.0050000000001</v>
          </cell>
          <cell r="O937">
            <v>1138.184</v>
          </cell>
          <cell r="P937">
            <v>1194.098</v>
          </cell>
          <cell r="Q937">
            <v>1187.146</v>
          </cell>
          <cell r="R937">
            <v>1085.165</v>
          </cell>
          <cell r="S937">
            <v>1267.5650000000001</v>
          </cell>
          <cell r="T937">
            <v>1069.4010000000001</v>
          </cell>
          <cell r="U937">
            <v>1022.218</v>
          </cell>
          <cell r="V937">
            <v>958.12099999999998</v>
          </cell>
          <cell r="W937">
            <v>1249.296</v>
          </cell>
          <cell r="X937">
            <v>1239.7619999999999</v>
          </cell>
          <cell r="Y937">
            <v>1232.0039999999999</v>
          </cell>
          <cell r="Z937">
            <v>1231.3440000000001</v>
          </cell>
          <cell r="AA937">
            <v>1175.752</v>
          </cell>
          <cell r="AB937">
            <v>1120.098</v>
          </cell>
          <cell r="AC937">
            <v>1080.5039999999999</v>
          </cell>
        </row>
        <row r="938">
          <cell r="A938" t="str">
            <v>Subsidies total C4 (Million euro)</v>
          </cell>
          <cell r="C938">
            <v>1023.032</v>
          </cell>
          <cell r="D938">
            <v>1039.702</v>
          </cell>
          <cell r="E938">
            <v>1958.6079999999999</v>
          </cell>
          <cell r="F938">
            <v>1958.3589999999999</v>
          </cell>
          <cell r="G938">
            <v>1764.5340000000001</v>
          </cell>
          <cell r="H938">
            <v>1757.2360000000001</v>
          </cell>
          <cell r="I938">
            <v>1698.5029999999999</v>
          </cell>
          <cell r="J938">
            <v>1737.38</v>
          </cell>
          <cell r="K938">
            <v>1551.586</v>
          </cell>
          <cell r="L938">
            <v>1435.854</v>
          </cell>
          <cell r="M938">
            <v>1348.393</v>
          </cell>
          <cell r="N938">
            <v>1280.979</v>
          </cell>
          <cell r="O938">
            <v>1144.0160000000001</v>
          </cell>
          <cell r="P938">
            <v>1254.2660000000001</v>
          </cell>
          <cell r="Q938">
            <v>1241.6510000000001</v>
          </cell>
          <cell r="R938">
            <v>1136.9849999999999</v>
          </cell>
          <cell r="S938">
            <v>1354.3389999999999</v>
          </cell>
          <cell r="T938">
            <v>1113.21</v>
          </cell>
          <cell r="U938">
            <v>1064.99</v>
          </cell>
          <cell r="V938">
            <v>998.452</v>
          </cell>
          <cell r="W938">
            <v>1294.4739999999999</v>
          </cell>
          <cell r="X938">
            <v>1284.1969999999999</v>
          </cell>
          <cell r="Y938">
            <v>1274.8209999999999</v>
          </cell>
          <cell r="Z938">
            <v>1273.336</v>
          </cell>
          <cell r="AA938">
            <v>1214.883</v>
          </cell>
          <cell r="AB938">
            <v>1157.2629999999999</v>
          </cell>
          <cell r="AC938">
            <v>1113.729</v>
          </cell>
        </row>
        <row r="939">
          <cell r="A939" t="str">
            <v>Subsidies total C5 (Million euro)</v>
          </cell>
          <cell r="C939">
            <v>1084.98</v>
          </cell>
          <cell r="D939">
            <v>1178.0740000000001</v>
          </cell>
          <cell r="E939">
            <v>2081.511</v>
          </cell>
          <cell r="F939">
            <v>2064.8009999999999</v>
          </cell>
          <cell r="G939">
            <v>1836.2049999999999</v>
          </cell>
          <cell r="H939">
            <v>1818.875</v>
          </cell>
          <cell r="I939">
            <v>1693.614</v>
          </cell>
          <cell r="J939">
            <v>1964.6</v>
          </cell>
          <cell r="K939">
            <v>1751.2570000000001</v>
          </cell>
          <cell r="L939">
            <v>1666.684</v>
          </cell>
          <cell r="M939">
            <v>1611.575</v>
          </cell>
          <cell r="N939">
            <v>1524.5319999999999</v>
          </cell>
          <cell r="O939">
            <v>1429.798</v>
          </cell>
          <cell r="P939">
            <v>1675.646</v>
          </cell>
          <cell r="Q939">
            <v>1652.787</v>
          </cell>
          <cell r="R939">
            <v>1551.2750000000001</v>
          </cell>
          <cell r="S939">
            <v>1935.4690000000001</v>
          </cell>
          <cell r="T939">
            <v>1460.261</v>
          </cell>
          <cell r="U939">
            <v>1396.874</v>
          </cell>
          <cell r="V939">
            <v>1208.3520000000001</v>
          </cell>
          <cell r="W939">
            <v>1420.4929999999999</v>
          </cell>
          <cell r="X939">
            <v>1390.001</v>
          </cell>
          <cell r="Y939">
            <v>1349.9010000000001</v>
          </cell>
          <cell r="Z939">
            <v>1327.5350000000001</v>
          </cell>
          <cell r="AA939">
            <v>1259.6289999999999</v>
          </cell>
          <cell r="AB939">
            <v>1192.1500000000001</v>
          </cell>
          <cell r="AC939">
            <v>1142.8489999999999</v>
          </cell>
        </row>
        <row r="940">
          <cell r="A940" t="str">
            <v>Subsidies total Multi-family - Owner-occupied (Million euro)</v>
          </cell>
          <cell r="C940">
            <v>351.31299999999999</v>
          </cell>
          <cell r="D940">
            <v>442.82900000000001</v>
          </cell>
          <cell r="E940">
            <v>479.30099999999999</v>
          </cell>
          <cell r="F940">
            <v>537.28300000000002</v>
          </cell>
          <cell r="G940">
            <v>480.52</v>
          </cell>
          <cell r="H940">
            <v>451.15300000000002</v>
          </cell>
          <cell r="I940">
            <v>409.18700000000001</v>
          </cell>
          <cell r="J940">
            <v>463.76499999999999</v>
          </cell>
          <cell r="K940">
            <v>387.56099999999998</v>
          </cell>
          <cell r="L940">
            <v>387.44600000000003</v>
          </cell>
          <cell r="M940">
            <v>395.18900000000002</v>
          </cell>
          <cell r="N940">
            <v>403.14400000000001</v>
          </cell>
          <cell r="O940">
            <v>498.53800000000001</v>
          </cell>
          <cell r="P940">
            <v>504.94400000000002</v>
          </cell>
          <cell r="Q940">
            <v>519.03200000000004</v>
          </cell>
          <cell r="R940">
            <v>481.351</v>
          </cell>
          <cell r="S940">
            <v>869.404</v>
          </cell>
          <cell r="T940">
            <v>468.762</v>
          </cell>
          <cell r="U940">
            <v>445.346</v>
          </cell>
          <cell r="V940">
            <v>411.471</v>
          </cell>
          <cell r="W940">
            <v>500.06799999999998</v>
          </cell>
          <cell r="X940">
            <v>479.36399999999998</v>
          </cell>
          <cell r="Y940">
            <v>487.09399999999999</v>
          </cell>
          <cell r="Z940">
            <v>474.79300000000001</v>
          </cell>
          <cell r="AA940">
            <v>456.16699999999997</v>
          </cell>
          <cell r="AB940">
            <v>446.47899999999998</v>
          </cell>
          <cell r="AC940">
            <v>442.31200000000001</v>
          </cell>
        </row>
        <row r="941">
          <cell r="A941" t="str">
            <v>Subsidies total Multi-family - Privately rented (Million euro)</v>
          </cell>
          <cell r="C941">
            <v>435.43900000000002</v>
          </cell>
          <cell r="D941">
            <v>479.05500000000001</v>
          </cell>
          <cell r="E941">
            <v>628.95399999999995</v>
          </cell>
          <cell r="F941">
            <v>584.23599999999999</v>
          </cell>
          <cell r="G941">
            <v>481.50599999999997</v>
          </cell>
          <cell r="H941">
            <v>388.87200000000001</v>
          </cell>
          <cell r="I941">
            <v>299.02</v>
          </cell>
          <cell r="J941">
            <v>800.76499999999999</v>
          </cell>
          <cell r="K941">
            <v>616.59699999999998</v>
          </cell>
          <cell r="L941">
            <v>537.12400000000002</v>
          </cell>
          <cell r="M941">
            <v>485.53699999999998</v>
          </cell>
          <cell r="N941">
            <v>449.58800000000002</v>
          </cell>
          <cell r="O941">
            <v>404.23899999999998</v>
          </cell>
          <cell r="P941">
            <v>747.23599999999999</v>
          </cell>
          <cell r="Q941">
            <v>715.62</v>
          </cell>
          <cell r="R941">
            <v>657.74400000000003</v>
          </cell>
          <cell r="S941">
            <v>698.95399999999995</v>
          </cell>
          <cell r="T941">
            <v>562.43200000000002</v>
          </cell>
          <cell r="U941">
            <v>527.75</v>
          </cell>
          <cell r="V941">
            <v>490.23500000000001</v>
          </cell>
          <cell r="W941">
            <v>544.28599999999994</v>
          </cell>
          <cell r="X941">
            <v>527.40099999999995</v>
          </cell>
          <cell r="Y941">
            <v>520.35</v>
          </cell>
          <cell r="Z941">
            <v>514.14300000000003</v>
          </cell>
          <cell r="AA941">
            <v>489.44200000000001</v>
          </cell>
          <cell r="AB941">
            <v>465.16699999999997</v>
          </cell>
          <cell r="AC941">
            <v>445.66399999999999</v>
          </cell>
        </row>
        <row r="942">
          <cell r="A942" t="str">
            <v>Subsidies total Multi-family - Social-housing (Million euro)</v>
          </cell>
          <cell r="C942">
            <v>90.516999999999996</v>
          </cell>
          <cell r="D942">
            <v>171.125</v>
          </cell>
          <cell r="E942">
            <v>228.69</v>
          </cell>
          <cell r="F942">
            <v>278.87599999999998</v>
          </cell>
          <cell r="G942">
            <v>300.03199999999998</v>
          </cell>
          <cell r="H942">
            <v>301.25299999999999</v>
          </cell>
          <cell r="I942">
            <v>292.74</v>
          </cell>
          <cell r="J942">
            <v>329.137</v>
          </cell>
          <cell r="K942">
            <v>315.84800000000001</v>
          </cell>
          <cell r="L942">
            <v>333.43299999999999</v>
          </cell>
          <cell r="M942">
            <v>353.03899999999999</v>
          </cell>
          <cell r="N942">
            <v>357.904</v>
          </cell>
          <cell r="O942">
            <v>336.38200000000001</v>
          </cell>
          <cell r="P942">
            <v>297.23</v>
          </cell>
          <cell r="Q942">
            <v>305.41300000000001</v>
          </cell>
          <cell r="R942">
            <v>316.91399999999999</v>
          </cell>
          <cell r="S942">
            <v>339.44099999999997</v>
          </cell>
          <cell r="T942">
            <v>302.30700000000002</v>
          </cell>
          <cell r="U942">
            <v>301.84800000000001</v>
          </cell>
          <cell r="V942">
            <v>246.17400000000001</v>
          </cell>
          <cell r="W942">
            <v>277.34199999999998</v>
          </cell>
          <cell r="X942">
            <v>266.541</v>
          </cell>
          <cell r="Y942">
            <v>260.13200000000001</v>
          </cell>
          <cell r="Z942">
            <v>251.34200000000001</v>
          </cell>
          <cell r="AA942">
            <v>240.63399999999999</v>
          </cell>
          <cell r="AB942">
            <v>230.13800000000001</v>
          </cell>
          <cell r="AC942">
            <v>221.22499999999999</v>
          </cell>
        </row>
        <row r="943">
          <cell r="A943" t="str">
            <v>Subsidies total Single-family - Owner-occupied (Million euro)</v>
          </cell>
          <cell r="C943">
            <v>3453.712</v>
          </cell>
          <cell r="D943">
            <v>3414.8380000000002</v>
          </cell>
          <cell r="E943">
            <v>6763.2079999999996</v>
          </cell>
          <cell r="F943">
            <v>7337.6880000000001</v>
          </cell>
          <cell r="G943">
            <v>7080.701</v>
          </cell>
          <cell r="H943">
            <v>7387.0770000000002</v>
          </cell>
          <cell r="I943">
            <v>7597.2979999999998</v>
          </cell>
          <cell r="J943">
            <v>6872.0569999999998</v>
          </cell>
          <cell r="K943">
            <v>6303.3649999999998</v>
          </cell>
          <cell r="L943">
            <v>5877.5339999999997</v>
          </cell>
          <cell r="M943">
            <v>5546.94</v>
          </cell>
          <cell r="N943">
            <v>5291.7759999999998</v>
          </cell>
          <cell r="O943">
            <v>4479.527</v>
          </cell>
          <cell r="P943">
            <v>4280.7370000000001</v>
          </cell>
          <cell r="Q943">
            <v>4244.3230000000003</v>
          </cell>
          <cell r="R943">
            <v>3878.1350000000002</v>
          </cell>
          <cell r="S943">
            <v>4644.4930000000004</v>
          </cell>
          <cell r="T943">
            <v>4047.4760000000001</v>
          </cell>
          <cell r="U943">
            <v>3880.4580000000001</v>
          </cell>
          <cell r="V943">
            <v>3648.1860000000001</v>
          </cell>
          <cell r="W943">
            <v>4619.9989999999998</v>
          </cell>
          <cell r="X943">
            <v>4584.5690000000004</v>
          </cell>
          <cell r="Y943">
            <v>4537.951</v>
          </cell>
          <cell r="Z943">
            <v>4522.7309999999998</v>
          </cell>
          <cell r="AA943">
            <v>4312.9089999999997</v>
          </cell>
          <cell r="AB943">
            <v>4102.424</v>
          </cell>
          <cell r="AC943">
            <v>3966.9560000000001</v>
          </cell>
        </row>
        <row r="944">
          <cell r="A944" t="str">
            <v>Subsidies total Single-family - Privately rented (Million euro)</v>
          </cell>
          <cell r="C944">
            <v>558.14499999999998</v>
          </cell>
          <cell r="D944">
            <v>504.13499999999999</v>
          </cell>
          <cell r="E944">
            <v>1541.192</v>
          </cell>
          <cell r="F944">
            <v>1293.998</v>
          </cell>
          <cell r="G944">
            <v>1086.951</v>
          </cell>
          <cell r="H944">
            <v>958.64400000000001</v>
          </cell>
          <cell r="I944">
            <v>815.30200000000002</v>
          </cell>
          <cell r="J944">
            <v>972.02800000000002</v>
          </cell>
          <cell r="K944">
            <v>826.72199999999998</v>
          </cell>
          <cell r="L944">
            <v>720.07100000000003</v>
          </cell>
          <cell r="M944">
            <v>641.29</v>
          </cell>
          <cell r="N944">
            <v>583.98500000000001</v>
          </cell>
          <cell r="O944">
            <v>484.73500000000001</v>
          </cell>
          <cell r="P944">
            <v>841.55799999999999</v>
          </cell>
          <cell r="Q944">
            <v>791.58500000000004</v>
          </cell>
          <cell r="R944">
            <v>717.54100000000005</v>
          </cell>
          <cell r="S944">
            <v>692.90200000000004</v>
          </cell>
          <cell r="T944">
            <v>612.23599999999999</v>
          </cell>
          <cell r="U944">
            <v>574.85599999999999</v>
          </cell>
          <cell r="V944">
            <v>533.98400000000004</v>
          </cell>
          <cell r="W944">
            <v>636.55899999999997</v>
          </cell>
          <cell r="X944">
            <v>628.197</v>
          </cell>
          <cell r="Y944">
            <v>608.63599999999997</v>
          </cell>
          <cell r="Z944">
            <v>605.63099999999997</v>
          </cell>
          <cell r="AA944">
            <v>570.48</v>
          </cell>
          <cell r="AB944">
            <v>533.78599999999994</v>
          </cell>
          <cell r="AC944">
            <v>502.13099999999997</v>
          </cell>
        </row>
        <row r="945">
          <cell r="A945" t="str">
            <v>Subsidies total Single-family - Social-housing (Million euro)</v>
          </cell>
          <cell r="C945">
            <v>60.067999999999998</v>
          </cell>
          <cell r="D945">
            <v>83.265000000000001</v>
          </cell>
          <cell r="E945">
            <v>182.89</v>
          </cell>
          <cell r="F945">
            <v>201.142</v>
          </cell>
          <cell r="G945">
            <v>169.363</v>
          </cell>
          <cell r="H945">
            <v>151.79300000000001</v>
          </cell>
          <cell r="I945">
            <v>160.9</v>
          </cell>
          <cell r="J945">
            <v>174.71899999999999</v>
          </cell>
          <cell r="K945">
            <v>190.476</v>
          </cell>
          <cell r="L945">
            <v>215.19</v>
          </cell>
          <cell r="M945">
            <v>231.386</v>
          </cell>
          <cell r="N945">
            <v>205.995</v>
          </cell>
          <cell r="O945">
            <v>210.05600000000001</v>
          </cell>
          <cell r="P945">
            <v>194.923</v>
          </cell>
          <cell r="Q945">
            <v>190.036</v>
          </cell>
          <cell r="R945">
            <v>182.08600000000001</v>
          </cell>
          <cell r="S945">
            <v>186.30099999999999</v>
          </cell>
          <cell r="T945">
            <v>162.54900000000001</v>
          </cell>
          <cell r="U945">
            <v>157.803</v>
          </cell>
          <cell r="V945">
            <v>91.447000000000003</v>
          </cell>
          <cell r="W945">
            <v>114.54600000000001</v>
          </cell>
          <cell r="X945">
            <v>113.158</v>
          </cell>
          <cell r="Y945">
            <v>112.133</v>
          </cell>
          <cell r="Z945">
            <v>111.113</v>
          </cell>
          <cell r="AA945">
            <v>106.964</v>
          </cell>
          <cell r="AB945">
            <v>102.628</v>
          </cell>
          <cell r="AC945">
            <v>98.462999999999994</v>
          </cell>
        </row>
        <row r="946">
          <cell r="A946" t="str">
            <v>Surface (Million m2)</v>
          </cell>
          <cell r="B946">
            <v>2593.8240000000001</v>
          </cell>
          <cell r="C946">
            <v>2614.6390000000001</v>
          </cell>
          <cell r="D946">
            <v>2639.9879999999998</v>
          </cell>
          <cell r="E946">
            <v>2665.3180000000002</v>
          </cell>
          <cell r="F946">
            <v>2690.6370000000002</v>
          </cell>
          <cell r="G946">
            <v>2715.951</v>
          </cell>
          <cell r="H946">
            <v>2741.261</v>
          </cell>
          <cell r="I946">
            <v>2757.8139999999999</v>
          </cell>
          <cell r="J946">
            <v>2774.3870000000002</v>
          </cell>
          <cell r="K946">
            <v>2790.9389999999999</v>
          </cell>
          <cell r="L946">
            <v>2807.4740000000002</v>
          </cell>
          <cell r="M946">
            <v>2823.9949999999999</v>
          </cell>
          <cell r="N946">
            <v>2840.5169999999998</v>
          </cell>
          <cell r="O946">
            <v>2857.0540000000001</v>
          </cell>
          <cell r="P946">
            <v>2873.5740000000001</v>
          </cell>
          <cell r="Q946">
            <v>2890.08</v>
          </cell>
          <cell r="R946">
            <v>2906.5740000000001</v>
          </cell>
          <cell r="S946">
            <v>2911.1489999999999</v>
          </cell>
          <cell r="T946">
            <v>2915.721</v>
          </cell>
          <cell r="U946">
            <v>2920.3020000000001</v>
          </cell>
          <cell r="V946">
            <v>2924.8939999999998</v>
          </cell>
          <cell r="W946">
            <v>2929.502</v>
          </cell>
          <cell r="X946">
            <v>2934.1010000000001</v>
          </cell>
          <cell r="Y946">
            <v>2938.6930000000002</v>
          </cell>
          <cell r="Z946">
            <v>2943.2739999999999</v>
          </cell>
          <cell r="AA946">
            <v>2947.846</v>
          </cell>
          <cell r="AB946">
            <v>2951.7469999999998</v>
          </cell>
          <cell r="AC946">
            <v>2954.5430000000001</v>
          </cell>
        </row>
        <row r="947">
          <cell r="A947" t="str">
            <v>Surface Electricity-Heat pump air (Million m2)</v>
          </cell>
          <cell r="B947">
            <v>52.444000000000003</v>
          </cell>
          <cell r="C947">
            <v>83.545000000000002</v>
          </cell>
          <cell r="D947">
            <v>117.568</v>
          </cell>
          <cell r="E947">
            <v>148.053</v>
          </cell>
          <cell r="F947">
            <v>180.12299999999999</v>
          </cell>
          <cell r="G947">
            <v>210.245</v>
          </cell>
          <cell r="H947">
            <v>238.34399999999999</v>
          </cell>
          <cell r="I947">
            <v>263.27499999999998</v>
          </cell>
          <cell r="J947">
            <v>290.81</v>
          </cell>
          <cell r="K947">
            <v>316.54500000000002</v>
          </cell>
          <cell r="L947">
            <v>343.04700000000003</v>
          </cell>
          <cell r="M947">
            <v>370.464</v>
          </cell>
          <cell r="N947">
            <v>398.733</v>
          </cell>
          <cell r="O947">
            <v>422.12200000000001</v>
          </cell>
          <cell r="P947">
            <v>446.55</v>
          </cell>
          <cell r="Q947">
            <v>471.37700000000001</v>
          </cell>
          <cell r="R947">
            <v>494.34500000000003</v>
          </cell>
          <cell r="S947">
            <v>515.66399999999999</v>
          </cell>
          <cell r="T947">
            <v>534.572</v>
          </cell>
          <cell r="U947">
            <v>553.25699999999995</v>
          </cell>
          <cell r="V947">
            <v>570.72400000000005</v>
          </cell>
          <cell r="W947">
            <v>576.20899999999995</v>
          </cell>
          <cell r="X947">
            <v>580.59299999999996</v>
          </cell>
          <cell r="Y947">
            <v>587.53899999999999</v>
          </cell>
          <cell r="Z947">
            <v>593.42899999999997</v>
          </cell>
          <cell r="AA947">
            <v>599.75699999999995</v>
          </cell>
          <cell r="AB947">
            <v>606.43899999999996</v>
          </cell>
          <cell r="AC947">
            <v>613.15200000000004</v>
          </cell>
        </row>
        <row r="948">
          <cell r="A948" t="str">
            <v>Surface Electricity-Heat pump water (Million m2)</v>
          </cell>
          <cell r="B948">
            <v>209.77600000000001</v>
          </cell>
          <cell r="C948">
            <v>249.822</v>
          </cell>
          <cell r="D948">
            <v>295.39699999999999</v>
          </cell>
          <cell r="E948">
            <v>343.01799999999997</v>
          </cell>
          <cell r="F948">
            <v>392.988</v>
          </cell>
          <cell r="G948">
            <v>441.06700000000001</v>
          </cell>
          <cell r="H948">
            <v>487.16699999999997</v>
          </cell>
          <cell r="I948">
            <v>526.02099999999996</v>
          </cell>
          <cell r="J948">
            <v>568.19500000000005</v>
          </cell>
          <cell r="K948">
            <v>608.56500000000005</v>
          </cell>
          <cell r="L948">
            <v>650.07899999999995</v>
          </cell>
          <cell r="M948">
            <v>692.91499999999996</v>
          </cell>
          <cell r="N948">
            <v>737.01700000000005</v>
          </cell>
          <cell r="O948">
            <v>772.30899999999997</v>
          </cell>
          <cell r="P948">
            <v>808.80100000000004</v>
          </cell>
          <cell r="Q948">
            <v>845.70299999999997</v>
          </cell>
          <cell r="R948">
            <v>879.67600000000004</v>
          </cell>
          <cell r="S948">
            <v>910.26099999999997</v>
          </cell>
          <cell r="T948">
            <v>937.36599999999999</v>
          </cell>
          <cell r="U948">
            <v>964.08399999999995</v>
          </cell>
          <cell r="V948">
            <v>988.93600000000004</v>
          </cell>
          <cell r="W948">
            <v>1005.874</v>
          </cell>
          <cell r="X948">
            <v>1021.672</v>
          </cell>
          <cell r="Y948">
            <v>1036.8889999999999</v>
          </cell>
          <cell r="Z948">
            <v>1050.8389999999999</v>
          </cell>
          <cell r="AA948">
            <v>1064.327</v>
          </cell>
          <cell r="AB948">
            <v>1077.2360000000001</v>
          </cell>
          <cell r="AC948">
            <v>1089.376</v>
          </cell>
        </row>
        <row r="949">
          <cell r="A949" t="str">
            <v>Surface Electricity-Performance boiler (Million m2)</v>
          </cell>
          <cell r="B949">
            <v>692.21500000000003</v>
          </cell>
          <cell r="C949">
            <v>666.16899999999998</v>
          </cell>
          <cell r="D949">
            <v>640.78800000000001</v>
          </cell>
          <cell r="E949">
            <v>613.81200000000001</v>
          </cell>
          <cell r="F949">
            <v>587.63400000000001</v>
          </cell>
          <cell r="G949">
            <v>560.85199999999998</v>
          </cell>
          <cell r="H949">
            <v>533.28099999999995</v>
          </cell>
          <cell r="I949">
            <v>503.84300000000002</v>
          </cell>
          <cell r="J949">
            <v>476.07600000000002</v>
          </cell>
          <cell r="K949">
            <v>447.46699999999998</v>
          </cell>
          <cell r="L949">
            <v>419.40499999999997</v>
          </cell>
          <cell r="M949">
            <v>391.98</v>
          </cell>
          <cell r="N949">
            <v>365.077</v>
          </cell>
          <cell r="O949">
            <v>337.762</v>
          </cell>
          <cell r="P949">
            <v>311.36700000000002</v>
          </cell>
          <cell r="Q949">
            <v>285.60599999999999</v>
          </cell>
          <cell r="R949">
            <v>260.14600000000002</v>
          </cell>
          <cell r="S949">
            <v>235.05</v>
          </cell>
          <cell r="T949">
            <v>209.87899999999999</v>
          </cell>
          <cell r="U949">
            <v>185.304</v>
          </cell>
          <cell r="V949">
            <v>161.15100000000001</v>
          </cell>
          <cell r="W949">
            <v>155.065</v>
          </cell>
          <cell r="X949">
            <v>148.53100000000001</v>
          </cell>
          <cell r="Y949">
            <v>143.876</v>
          </cell>
          <cell r="Z949">
            <v>138.50899999999999</v>
          </cell>
          <cell r="AA949">
            <v>134.001</v>
          </cell>
          <cell r="AB949">
            <v>130.494</v>
          </cell>
          <cell r="AC949">
            <v>127.792</v>
          </cell>
        </row>
        <row r="950">
          <cell r="A950" t="str">
            <v>Surface existing (Million m2)</v>
          </cell>
          <cell r="B950">
            <v>2593.8240000000001</v>
          </cell>
          <cell r="C950">
            <v>2591.1660000000002</v>
          </cell>
          <cell r="D950">
            <v>2588.4940000000001</v>
          </cell>
          <cell r="E950">
            <v>2585.8040000000001</v>
          </cell>
          <cell r="F950">
            <v>2583.1019999999999</v>
          </cell>
          <cell r="G950">
            <v>2580.3939999999998</v>
          </cell>
          <cell r="H950">
            <v>2577.6840000000002</v>
          </cell>
          <cell r="I950">
            <v>2574.9789999999998</v>
          </cell>
          <cell r="J950">
            <v>2572.2950000000001</v>
          </cell>
          <cell r="K950">
            <v>2569.59</v>
          </cell>
          <cell r="L950">
            <v>2566.866</v>
          </cell>
          <cell r="M950">
            <v>2564.1309999999999</v>
          </cell>
          <cell r="N950">
            <v>2561.395</v>
          </cell>
          <cell r="O950">
            <v>2558.6750000000002</v>
          </cell>
          <cell r="P950">
            <v>2555.9369999999999</v>
          </cell>
          <cell r="Q950">
            <v>2553.1849999999999</v>
          </cell>
          <cell r="R950">
            <v>2550.422</v>
          </cell>
          <cell r="S950">
            <v>2546.2640000000001</v>
          </cell>
          <cell r="T950">
            <v>2542.1039999999998</v>
          </cell>
          <cell r="U950">
            <v>2537.9520000000002</v>
          </cell>
          <cell r="V950">
            <v>2533.8119999999999</v>
          </cell>
          <cell r="W950">
            <v>2529.6869999999999</v>
          </cell>
          <cell r="X950">
            <v>2525.5529999999999</v>
          </cell>
          <cell r="Y950">
            <v>2521.413</v>
          </cell>
          <cell r="Z950">
            <v>2517.2620000000002</v>
          </cell>
          <cell r="AA950">
            <v>2513.1010000000001</v>
          </cell>
          <cell r="AB950">
            <v>2508.2689999999998</v>
          </cell>
          <cell r="AC950">
            <v>2502.77</v>
          </cell>
        </row>
        <row r="951">
          <cell r="A951" t="str">
            <v>Surface Heating-District heating (Million m2)</v>
          </cell>
          <cell r="B951">
            <v>102.602</v>
          </cell>
          <cell r="C951">
            <v>111.762</v>
          </cell>
          <cell r="D951">
            <v>115.456</v>
          </cell>
          <cell r="E951">
            <v>131.376</v>
          </cell>
          <cell r="F951">
            <v>142.90799999999999</v>
          </cell>
          <cell r="G951">
            <v>163.785</v>
          </cell>
          <cell r="H951">
            <v>195.24</v>
          </cell>
          <cell r="I951">
            <v>235.95699999999999</v>
          </cell>
          <cell r="J951">
            <v>261.01900000000001</v>
          </cell>
          <cell r="K951">
            <v>296.94</v>
          </cell>
          <cell r="L951">
            <v>328.73599999999999</v>
          </cell>
          <cell r="M951">
            <v>355.464</v>
          </cell>
          <cell r="N951">
            <v>377.73899999999998</v>
          </cell>
          <cell r="O951">
            <v>396.15300000000002</v>
          </cell>
          <cell r="P951">
            <v>408.28199999999998</v>
          </cell>
          <cell r="Q951">
            <v>417.23899999999998</v>
          </cell>
          <cell r="R951">
            <v>423.02</v>
          </cell>
          <cell r="S951">
            <v>422.726</v>
          </cell>
          <cell r="T951">
            <v>424.221</v>
          </cell>
          <cell r="U951">
            <v>425.62299999999999</v>
          </cell>
          <cell r="V951">
            <v>426.923</v>
          </cell>
          <cell r="W951">
            <v>428.14100000000002</v>
          </cell>
          <cell r="X951">
            <v>429.30200000000002</v>
          </cell>
          <cell r="Y951">
            <v>430.423</v>
          </cell>
          <cell r="Z951">
            <v>431.49599999999998</v>
          </cell>
          <cell r="AA951">
            <v>432.53399999999999</v>
          </cell>
          <cell r="AB951">
            <v>435.00900000000001</v>
          </cell>
          <cell r="AC951">
            <v>437.43599999999998</v>
          </cell>
        </row>
        <row r="952">
          <cell r="A952" t="str">
            <v>Surface Natural gas-Performance boiler (Million m2)</v>
          </cell>
          <cell r="B952">
            <v>945.94500000000005</v>
          </cell>
          <cell r="C952">
            <v>934.77700000000004</v>
          </cell>
          <cell r="D952">
            <v>924.053</v>
          </cell>
          <cell r="E952">
            <v>904.154</v>
          </cell>
          <cell r="F952">
            <v>883.68200000000002</v>
          </cell>
          <cell r="G952">
            <v>858.22</v>
          </cell>
          <cell r="H952">
            <v>826.87300000000005</v>
          </cell>
          <cell r="I952">
            <v>790.19799999999998</v>
          </cell>
          <cell r="J952">
            <v>761.56200000000001</v>
          </cell>
          <cell r="K952">
            <v>726.45600000000002</v>
          </cell>
          <cell r="L952">
            <v>692.91600000000005</v>
          </cell>
          <cell r="M952">
            <v>661.43100000000004</v>
          </cell>
          <cell r="N952">
            <v>631.57100000000003</v>
          </cell>
          <cell r="O952">
            <v>596.26099999999997</v>
          </cell>
          <cell r="P952">
            <v>564.06399999999996</v>
          </cell>
          <cell r="Q952">
            <v>533.58799999999997</v>
          </cell>
          <cell r="R952">
            <v>511.01299999999998</v>
          </cell>
          <cell r="S952">
            <v>487.613</v>
          </cell>
          <cell r="T952">
            <v>468.63600000000002</v>
          </cell>
          <cell r="U952">
            <v>449.81599999999997</v>
          </cell>
          <cell r="V952">
            <v>433.92099999999999</v>
          </cell>
          <cell r="W952">
            <v>420.75299999999999</v>
          </cell>
          <cell r="X952">
            <v>410.41800000000001</v>
          </cell>
          <cell r="Y952">
            <v>396.16899999999998</v>
          </cell>
          <cell r="Z952">
            <v>385.09199999999998</v>
          </cell>
          <cell r="AA952">
            <v>373.19799999999998</v>
          </cell>
          <cell r="AB952">
            <v>359.36599999999999</v>
          </cell>
          <cell r="AC952">
            <v>344.65699999999998</v>
          </cell>
        </row>
        <row r="953">
          <cell r="A953" t="str">
            <v>Surface new (Million m2)</v>
          </cell>
          <cell r="B953">
            <v>0</v>
          </cell>
          <cell r="C953">
            <v>23.472999999999999</v>
          </cell>
          <cell r="D953">
            <v>51.494</v>
          </cell>
          <cell r="E953">
            <v>79.513999999999996</v>
          </cell>
          <cell r="F953">
            <v>107.535</v>
          </cell>
          <cell r="G953">
            <v>135.55600000000001</v>
          </cell>
          <cell r="H953">
            <v>163.577</v>
          </cell>
          <cell r="I953">
            <v>182.83500000000001</v>
          </cell>
          <cell r="J953">
            <v>202.09200000000001</v>
          </cell>
          <cell r="K953">
            <v>221.35</v>
          </cell>
          <cell r="L953">
            <v>240.607</v>
          </cell>
          <cell r="M953">
            <v>259.86500000000001</v>
          </cell>
          <cell r="N953">
            <v>279.12200000000001</v>
          </cell>
          <cell r="O953">
            <v>298.38</v>
          </cell>
          <cell r="P953">
            <v>317.637</v>
          </cell>
          <cell r="Q953">
            <v>336.89499999999998</v>
          </cell>
          <cell r="R953">
            <v>356.15199999999999</v>
          </cell>
          <cell r="S953">
            <v>364.88499999999999</v>
          </cell>
          <cell r="T953">
            <v>373.61700000000002</v>
          </cell>
          <cell r="U953">
            <v>382.35</v>
          </cell>
          <cell r="V953">
            <v>391.08199999999999</v>
          </cell>
          <cell r="W953">
            <v>399.815</v>
          </cell>
          <cell r="X953">
            <v>408.548</v>
          </cell>
          <cell r="Y953">
            <v>417.28</v>
          </cell>
          <cell r="Z953">
            <v>426.01299999999998</v>
          </cell>
          <cell r="AA953">
            <v>434.745</v>
          </cell>
          <cell r="AB953">
            <v>443.47800000000001</v>
          </cell>
          <cell r="AC953">
            <v>451.77300000000002</v>
          </cell>
        </row>
        <row r="954">
          <cell r="A954" t="str">
            <v>Surface Oil fuel-Performance boiler (Million m2)</v>
          </cell>
          <cell r="B954">
            <v>298.09699999999998</v>
          </cell>
          <cell r="C954">
            <v>272.54399999999998</v>
          </cell>
          <cell r="D954">
            <v>247.13800000000001</v>
          </cell>
          <cell r="E954">
            <v>221.874</v>
          </cell>
          <cell r="F954">
            <v>196.75200000000001</v>
          </cell>
          <cell r="G954">
            <v>171.77699999999999</v>
          </cell>
          <cell r="H954">
            <v>146.946</v>
          </cell>
          <cell r="I954">
            <v>122.26</v>
          </cell>
          <cell r="J954">
            <v>97.616</v>
          </cell>
          <cell r="K954">
            <v>73.022999999999996</v>
          </cell>
          <cell r="L954">
            <v>48.521000000000001</v>
          </cell>
          <cell r="M954">
            <v>24.158000000000001</v>
          </cell>
        </row>
        <row r="955">
          <cell r="A955" t="str">
            <v>Surface Wood fuel-Performance boiler (Million m2)</v>
          </cell>
          <cell r="B955">
            <v>292.74599999999998</v>
          </cell>
          <cell r="C955">
            <v>296.02</v>
          </cell>
          <cell r="D955">
            <v>299.58800000000002</v>
          </cell>
          <cell r="E955">
            <v>303.03100000000001</v>
          </cell>
          <cell r="F955">
            <v>306.55099999999999</v>
          </cell>
          <cell r="G955">
            <v>310.005</v>
          </cell>
          <cell r="H955">
            <v>313.41000000000003</v>
          </cell>
          <cell r="I955">
            <v>316.25900000000001</v>
          </cell>
          <cell r="J955">
            <v>319.10899999999998</v>
          </cell>
          <cell r="K955">
            <v>321.94200000000001</v>
          </cell>
          <cell r="L955">
            <v>324.76900000000001</v>
          </cell>
          <cell r="M955">
            <v>327.58300000000003</v>
          </cell>
          <cell r="N955">
            <v>330.38099999999997</v>
          </cell>
          <cell r="O955">
            <v>332.44600000000003</v>
          </cell>
          <cell r="P955">
            <v>334.51100000000002</v>
          </cell>
          <cell r="Q955">
            <v>336.56599999999997</v>
          </cell>
          <cell r="R955">
            <v>338.37400000000002</v>
          </cell>
          <cell r="S955">
            <v>339.83499999999998</v>
          </cell>
          <cell r="T955">
            <v>341.048</v>
          </cell>
          <cell r="U955">
            <v>342.21699999999998</v>
          </cell>
          <cell r="V955">
            <v>343.23899999999998</v>
          </cell>
          <cell r="W955">
            <v>343.46</v>
          </cell>
          <cell r="X955">
            <v>343.58499999999998</v>
          </cell>
          <cell r="Y955">
            <v>343.79700000000003</v>
          </cell>
          <cell r="Z955">
            <v>343.911</v>
          </cell>
          <cell r="AA955">
            <v>344.02800000000002</v>
          </cell>
          <cell r="AB955">
            <v>343.202</v>
          </cell>
          <cell r="AC955">
            <v>342.13</v>
          </cell>
        </row>
        <row r="956">
          <cell r="A956" t="str">
            <v>Switch decarbonize (Thousand households)</v>
          </cell>
          <cell r="C956">
            <v>605.49400000000003</v>
          </cell>
          <cell r="D956">
            <v>651.77700000000004</v>
          </cell>
          <cell r="E956">
            <v>596.33399999999995</v>
          </cell>
          <cell r="F956">
            <v>644.476</v>
          </cell>
          <cell r="G956">
            <v>588.38400000000001</v>
          </cell>
          <cell r="H956">
            <v>527.03599999999994</v>
          </cell>
          <cell r="I956">
            <v>469.96899999999999</v>
          </cell>
          <cell r="J956">
            <v>558.678</v>
          </cell>
          <cell r="K956">
            <v>500.029</v>
          </cell>
          <cell r="L956">
            <v>525.10599999999999</v>
          </cell>
          <cell r="M956">
            <v>555.09400000000005</v>
          </cell>
          <cell r="N956">
            <v>584.255</v>
          </cell>
          <cell r="O956">
            <v>458.911</v>
          </cell>
          <cell r="P956">
            <v>494.45299999999997</v>
          </cell>
          <cell r="Q956">
            <v>508.51600000000002</v>
          </cell>
          <cell r="R956">
            <v>462.53899999999999</v>
          </cell>
          <cell r="S956">
            <v>497.89299999999997</v>
          </cell>
          <cell r="T956">
            <v>432.44900000000001</v>
          </cell>
          <cell r="U956">
            <v>426.77</v>
          </cell>
          <cell r="V956">
            <v>398.50700000000001</v>
          </cell>
          <cell r="W956">
            <v>165.155</v>
          </cell>
          <cell r="X956">
            <v>141.333</v>
          </cell>
          <cell r="Y956">
            <v>161.43100000000001</v>
          </cell>
          <cell r="Z956">
            <v>137.00399999999999</v>
          </cell>
          <cell r="AA956">
            <v>136.155</v>
          </cell>
          <cell r="AB956">
            <v>135.59</v>
          </cell>
          <cell r="AC956">
            <v>133.53800000000001</v>
          </cell>
        </row>
        <row r="957">
          <cell r="A957" t="str">
            <v>Switch Electricity-Heat pump air (Thousand households)</v>
          </cell>
          <cell r="C957">
            <v>321.32299999999998</v>
          </cell>
          <cell r="D957">
            <v>342.625</v>
          </cell>
          <cell r="E957">
            <v>295.15100000000001</v>
          </cell>
          <cell r="F957">
            <v>316.012</v>
          </cell>
          <cell r="G957">
            <v>287.03899999999999</v>
          </cell>
          <cell r="H957">
            <v>255.92</v>
          </cell>
          <cell r="I957">
            <v>226.63200000000001</v>
          </cell>
          <cell r="J957">
            <v>267.81799999999998</v>
          </cell>
          <cell r="K957">
            <v>238.196</v>
          </cell>
          <cell r="L957">
            <v>249.22300000000001</v>
          </cell>
          <cell r="M957">
            <v>262.80099999999999</v>
          </cell>
          <cell r="N957">
            <v>275.339</v>
          </cell>
          <cell r="O957">
            <v>230.01499999999999</v>
          </cell>
          <cell r="P957">
            <v>246.71199999999999</v>
          </cell>
          <cell r="Q957">
            <v>253.75700000000001</v>
          </cell>
          <cell r="R957">
            <v>235.50700000000001</v>
          </cell>
          <cell r="S957">
            <v>251.80500000000001</v>
          </cell>
          <cell r="T957">
            <v>223.54499999999999</v>
          </cell>
          <cell r="U957">
            <v>221.501</v>
          </cell>
          <cell r="V957">
            <v>208.28</v>
          </cell>
          <cell r="W957">
            <v>361.74200000000002</v>
          </cell>
          <cell r="X957">
            <v>370.93</v>
          </cell>
          <cell r="Y957">
            <v>350.84100000000001</v>
          </cell>
          <cell r="Z957">
            <v>360.18900000000002</v>
          </cell>
          <cell r="AA957">
            <v>335.47399999999999</v>
          </cell>
          <cell r="AB957">
            <v>308.834</v>
          </cell>
          <cell r="AC957">
            <v>283.05500000000001</v>
          </cell>
        </row>
        <row r="958">
          <cell r="A958" t="str">
            <v>Switch Electricity-Heat pump water (Thousand households)</v>
          </cell>
          <cell r="C958">
            <v>416.06099999999998</v>
          </cell>
          <cell r="D958">
            <v>441.15499999999997</v>
          </cell>
          <cell r="E958">
            <v>451.78</v>
          </cell>
          <cell r="F958">
            <v>480.70299999999997</v>
          </cell>
          <cell r="G958">
            <v>452.51400000000001</v>
          </cell>
          <cell r="H958">
            <v>421.64699999999999</v>
          </cell>
          <cell r="I958">
            <v>392.32799999999997</v>
          </cell>
          <cell r="J958">
            <v>442.12299999999999</v>
          </cell>
          <cell r="K958">
            <v>411.69</v>
          </cell>
          <cell r="L958">
            <v>427.04</v>
          </cell>
          <cell r="M958">
            <v>445.41</v>
          </cell>
          <cell r="N958">
            <v>462.786</v>
          </cell>
          <cell r="O958">
            <v>381.053</v>
          </cell>
          <cell r="P958">
            <v>400.10700000000003</v>
          </cell>
          <cell r="Q958">
            <v>407.61799999999999</v>
          </cell>
          <cell r="R958">
            <v>379.39499999999998</v>
          </cell>
          <cell r="S958">
            <v>399.31200000000001</v>
          </cell>
          <cell r="T958">
            <v>360.43099999999998</v>
          </cell>
          <cell r="U958">
            <v>356.70800000000003</v>
          </cell>
          <cell r="V958">
            <v>337.15</v>
          </cell>
          <cell r="W958">
            <v>541.57100000000003</v>
          </cell>
          <cell r="X958">
            <v>554.55100000000004</v>
          </cell>
          <cell r="Y958">
            <v>558.38599999999997</v>
          </cell>
          <cell r="Z958">
            <v>573.95399999999995</v>
          </cell>
          <cell r="AA958">
            <v>540.76700000000005</v>
          </cell>
          <cell r="AB958">
            <v>504.88400000000001</v>
          </cell>
          <cell r="AC958">
            <v>469.99</v>
          </cell>
        </row>
        <row r="959">
          <cell r="A959" t="str">
            <v>Switch Electricity-Performance boiler (Thousand households)</v>
          </cell>
          <cell r="C959">
            <v>105.626</v>
          </cell>
          <cell r="D959">
            <v>111.905</v>
          </cell>
          <cell r="E959">
            <v>86.555000000000007</v>
          </cell>
          <cell r="F959">
            <v>96.48</v>
          </cell>
          <cell r="G959">
            <v>83.611000000000004</v>
          </cell>
          <cell r="H959">
            <v>68.042000000000002</v>
          </cell>
          <cell r="I959">
            <v>53.173000000000002</v>
          </cell>
          <cell r="J959">
            <v>78.947999999999993</v>
          </cell>
          <cell r="K959">
            <v>62.633000000000003</v>
          </cell>
          <cell r="L959">
            <v>70.138000000000005</v>
          </cell>
          <cell r="M959">
            <v>79.212999999999994</v>
          </cell>
          <cell r="N959">
            <v>87.506</v>
          </cell>
          <cell r="O959">
            <v>84.896000000000001</v>
          </cell>
          <cell r="P959">
            <v>98.078999999999994</v>
          </cell>
          <cell r="Q959">
            <v>106.13</v>
          </cell>
          <cell r="R959">
            <v>109.431</v>
          </cell>
          <cell r="S959">
            <v>121.146</v>
          </cell>
          <cell r="T959">
            <v>115.477</v>
          </cell>
          <cell r="U959">
            <v>117.744</v>
          </cell>
          <cell r="V959">
            <v>116.893</v>
          </cell>
          <cell r="W959">
            <v>35.505000000000003</v>
          </cell>
          <cell r="X959">
            <v>34.274000000000001</v>
          </cell>
          <cell r="Y959">
            <v>32.545000000000002</v>
          </cell>
          <cell r="Z959">
            <v>31.826000000000001</v>
          </cell>
          <cell r="AA959">
            <v>29.782</v>
          </cell>
          <cell r="AB959">
            <v>27.210999999999999</v>
          </cell>
          <cell r="AC959">
            <v>24.658999999999999</v>
          </cell>
        </row>
        <row r="960">
          <cell r="A960" t="str">
            <v>Switch from Direct electric to Direct electric (Thousand households)</v>
          </cell>
          <cell r="C960">
            <v>89.36</v>
          </cell>
          <cell r="D960">
            <v>94.936000000000007</v>
          </cell>
          <cell r="E960">
            <v>72.587000000000003</v>
          </cell>
          <cell r="F960">
            <v>79.397000000000006</v>
          </cell>
          <cell r="G960">
            <v>67.756</v>
          </cell>
          <cell r="H960">
            <v>53.877000000000002</v>
          </cell>
          <cell r="I960">
            <v>40.656999999999996</v>
          </cell>
          <cell r="J960">
            <v>61.819000000000003</v>
          </cell>
          <cell r="K960">
            <v>47.298999999999999</v>
          </cell>
          <cell r="L960">
            <v>52.942999999999998</v>
          </cell>
          <cell r="M960">
            <v>59.933999999999997</v>
          </cell>
          <cell r="N960">
            <v>66.254999999999995</v>
          </cell>
          <cell r="O960">
            <v>70.757000000000005</v>
          </cell>
          <cell r="P960">
            <v>81.751000000000005</v>
          </cell>
          <cell r="Q960">
            <v>88.46</v>
          </cell>
          <cell r="R960">
            <v>94.73</v>
          </cell>
          <cell r="S960">
            <v>103.34099999999999</v>
          </cell>
          <cell r="T960">
            <v>101.247</v>
          </cell>
          <cell r="U960">
            <v>103.155</v>
          </cell>
          <cell r="V960">
            <v>104.402</v>
          </cell>
          <cell r="W960">
            <v>25.821999999999999</v>
          </cell>
          <cell r="X960">
            <v>26.937999999999999</v>
          </cell>
          <cell r="Y960">
            <v>21.414999999999999</v>
          </cell>
          <cell r="Z960">
            <v>23.472000000000001</v>
          </cell>
          <cell r="AA960">
            <v>20.489000000000001</v>
          </cell>
          <cell r="AB960">
            <v>16.756</v>
          </cell>
          <cell r="AC960">
            <v>13.185</v>
          </cell>
        </row>
        <row r="961">
          <cell r="A961" t="str">
            <v>Switch from Direct electric to District heating (Thousand households)</v>
          </cell>
          <cell r="C961">
            <v>34.183999999999997</v>
          </cell>
          <cell r="E961">
            <v>54.634</v>
          </cell>
          <cell r="F961">
            <v>35.228999999999999</v>
          </cell>
          <cell r="G961">
            <v>77.358000000000004</v>
          </cell>
          <cell r="H961">
            <v>125.527</v>
          </cell>
          <cell r="I961">
            <v>170.852</v>
          </cell>
          <cell r="J961">
            <v>100.90600000000001</v>
          </cell>
          <cell r="K961">
            <v>151.595</v>
          </cell>
          <cell r="L961">
            <v>133.89400000000001</v>
          </cell>
          <cell r="M961">
            <v>111.464</v>
          </cell>
          <cell r="N961">
            <v>91.704999999999998</v>
          </cell>
          <cell r="O961">
            <v>80.537999999999997</v>
          </cell>
          <cell r="P961">
            <v>48.802</v>
          </cell>
          <cell r="Q961">
            <v>32.834000000000003</v>
          </cell>
          <cell r="R961">
            <v>19.936</v>
          </cell>
          <cell r="T961">
            <v>12.819000000000001</v>
          </cell>
          <cell r="U961">
            <v>12.741</v>
          </cell>
          <cell r="V961">
            <v>14.023</v>
          </cell>
          <cell r="W961">
            <v>6.4420000000000002</v>
          </cell>
          <cell r="X961">
            <v>8.2569999999999997</v>
          </cell>
          <cell r="Y961">
            <v>4.9370000000000003</v>
          </cell>
          <cell r="Z961">
            <v>6.7329999999999997</v>
          </cell>
          <cell r="AA961">
            <v>5.5380000000000003</v>
          </cell>
          <cell r="AB961">
            <v>4.2149999999999999</v>
          </cell>
          <cell r="AC961">
            <v>2.968</v>
          </cell>
        </row>
        <row r="962">
          <cell r="A962" t="str">
            <v>Switch from Direct electric to Heat pump (Thousand households)</v>
          </cell>
          <cell r="C962">
            <v>280.30200000000002</v>
          </cell>
          <cell r="D962">
            <v>307.339</v>
          </cell>
          <cell r="E962">
            <v>274.78800000000001</v>
          </cell>
          <cell r="F962">
            <v>286.59199999999998</v>
          </cell>
          <cell r="G962">
            <v>255.32599999999999</v>
          </cell>
          <cell r="H962">
            <v>220.22800000000001</v>
          </cell>
          <cell r="I962">
            <v>187.27500000000001</v>
          </cell>
          <cell r="J962">
            <v>235.18299999999999</v>
          </cell>
          <cell r="K962">
            <v>198.161</v>
          </cell>
          <cell r="L962">
            <v>209.30799999999999</v>
          </cell>
          <cell r="M962">
            <v>223.83099999999999</v>
          </cell>
          <cell r="N962">
            <v>237.25700000000001</v>
          </cell>
          <cell r="O962">
            <v>243.66399999999999</v>
          </cell>
          <cell r="P962">
            <v>264.08199999999999</v>
          </cell>
          <cell r="Q962">
            <v>272.916</v>
          </cell>
          <cell r="R962">
            <v>279.07299999999998</v>
          </cell>
          <cell r="S962">
            <v>289.19900000000001</v>
          </cell>
          <cell r="T962">
            <v>276.73</v>
          </cell>
          <cell r="U962">
            <v>272.74700000000001</v>
          </cell>
          <cell r="V962">
            <v>267.54300000000001</v>
          </cell>
          <cell r="W962">
            <v>64.866</v>
          </cell>
          <cell r="X962">
            <v>66.668000000000006</v>
          </cell>
          <cell r="Y962">
            <v>51.645000000000003</v>
          </cell>
          <cell r="Z962">
            <v>55.892000000000003</v>
          </cell>
          <cell r="AA962">
            <v>47.878999999999998</v>
          </cell>
          <cell r="AB962">
            <v>38.597000000000001</v>
          </cell>
          <cell r="AC962">
            <v>29.922999999999998</v>
          </cell>
        </row>
        <row r="963">
          <cell r="A963" t="str">
            <v>Switch from Direct electric to Wood fuel (Thousand households)</v>
          </cell>
          <cell r="C963">
            <v>11.446</v>
          </cell>
          <cell r="D963">
            <v>11.964</v>
          </cell>
          <cell r="E963">
            <v>11.182</v>
          </cell>
          <cell r="F963">
            <v>10.929</v>
          </cell>
          <cell r="G963">
            <v>10.666</v>
          </cell>
          <cell r="H963">
            <v>10.432</v>
          </cell>
          <cell r="I963">
            <v>10.234</v>
          </cell>
          <cell r="J963">
            <v>10.069000000000001</v>
          </cell>
          <cell r="K963">
            <v>9.8829999999999991</v>
          </cell>
          <cell r="L963">
            <v>9.7439999999999998</v>
          </cell>
          <cell r="M963">
            <v>9.6029999999999998</v>
          </cell>
          <cell r="N963">
            <v>9.4770000000000003</v>
          </cell>
          <cell r="O963">
            <v>9.4730000000000008</v>
          </cell>
          <cell r="P963">
            <v>9.4469999999999992</v>
          </cell>
          <cell r="Q963">
            <v>9.423</v>
          </cell>
          <cell r="R963">
            <v>9.3369999999999997</v>
          </cell>
          <cell r="S963">
            <v>9.2050000000000001</v>
          </cell>
          <cell r="T963">
            <v>9.0220000000000002</v>
          </cell>
          <cell r="U963">
            <v>8.8360000000000003</v>
          </cell>
          <cell r="V963">
            <v>8.625</v>
          </cell>
          <cell r="W963">
            <v>2.129</v>
          </cell>
          <cell r="X963">
            <v>2.2149999999999999</v>
          </cell>
          <cell r="Y963">
            <v>1.6819999999999999</v>
          </cell>
          <cell r="Z963">
            <v>1.8420000000000001</v>
          </cell>
          <cell r="AA963">
            <v>1.5680000000000001</v>
          </cell>
          <cell r="AB963">
            <v>1.2549999999999999</v>
          </cell>
          <cell r="AC963">
            <v>0.96399999999999997</v>
          </cell>
        </row>
        <row r="964">
          <cell r="A964" t="str">
            <v>Switch from District heating to District heating (Thousand households)</v>
          </cell>
          <cell r="C964">
            <v>71.019000000000005</v>
          </cell>
          <cell r="D964">
            <v>70.945999999999998</v>
          </cell>
          <cell r="E964">
            <v>70.861000000000004</v>
          </cell>
          <cell r="F964">
            <v>70.769000000000005</v>
          </cell>
          <cell r="G964">
            <v>70.653999999999996</v>
          </cell>
          <cell r="H964">
            <v>70.519000000000005</v>
          </cell>
          <cell r="I964">
            <v>70.346999999999994</v>
          </cell>
          <cell r="J964">
            <v>70.114000000000004</v>
          </cell>
          <cell r="K964">
            <v>69.798000000000002</v>
          </cell>
          <cell r="L964">
            <v>69.418999999999997</v>
          </cell>
          <cell r="M964">
            <v>68.948999999999998</v>
          </cell>
          <cell r="N964">
            <v>68.531000000000006</v>
          </cell>
          <cell r="O964">
            <v>68.028000000000006</v>
          </cell>
          <cell r="P964">
            <v>67.56</v>
          </cell>
          <cell r="Q964">
            <v>67.122</v>
          </cell>
          <cell r="R964">
            <v>66.771000000000001</v>
          </cell>
          <cell r="S964">
            <v>66.47</v>
          </cell>
          <cell r="T964">
            <v>66.194000000000003</v>
          </cell>
          <cell r="U964">
            <v>66.019000000000005</v>
          </cell>
          <cell r="V964">
            <v>65.95</v>
          </cell>
          <cell r="W964">
            <v>180.20099999999999</v>
          </cell>
          <cell r="X964">
            <v>65.972999999999999</v>
          </cell>
          <cell r="Y964">
            <v>248.69300000000001</v>
          </cell>
          <cell r="Z964">
            <v>183.80699999999999</v>
          </cell>
          <cell r="AA964">
            <v>324.697</v>
          </cell>
          <cell r="AB964">
            <v>486.09800000000001</v>
          </cell>
          <cell r="AC964">
            <v>636.44600000000003</v>
          </cell>
        </row>
        <row r="965">
          <cell r="A965" t="str">
            <v>Switch from Heat pump to Heat pump (Thousand households)</v>
          </cell>
          <cell r="C965">
            <v>144.798</v>
          </cell>
          <cell r="D965">
            <v>144.79599999999999</v>
          </cell>
          <cell r="E965">
            <v>144.79</v>
          </cell>
          <cell r="F965">
            <v>144.779</v>
          </cell>
          <cell r="G965">
            <v>144.76499999999999</v>
          </cell>
          <cell r="H965">
            <v>144.74700000000001</v>
          </cell>
          <cell r="I965">
            <v>144.726</v>
          </cell>
          <cell r="J965">
            <v>144.703</v>
          </cell>
          <cell r="K965">
            <v>144.678</v>
          </cell>
          <cell r="L965">
            <v>144.65199999999999</v>
          </cell>
          <cell r="M965">
            <v>144.62299999999999</v>
          </cell>
          <cell r="N965">
            <v>144.602</v>
          </cell>
          <cell r="O965">
            <v>144.59100000000001</v>
          </cell>
          <cell r="P965">
            <v>144.58600000000001</v>
          </cell>
          <cell r="Q965">
            <v>144.58799999999999</v>
          </cell>
          <cell r="R965">
            <v>144.596</v>
          </cell>
          <cell r="S965">
            <v>144.60499999999999</v>
          </cell>
          <cell r="T965">
            <v>144.61600000000001</v>
          </cell>
          <cell r="U965">
            <v>144.62899999999999</v>
          </cell>
          <cell r="V965">
            <v>144.64599999999999</v>
          </cell>
          <cell r="W965">
            <v>736.64300000000003</v>
          </cell>
          <cell r="X965">
            <v>783.077</v>
          </cell>
          <cell r="Y965">
            <v>746.32299999999998</v>
          </cell>
          <cell r="Z965">
            <v>796.11</v>
          </cell>
          <cell r="AA965">
            <v>739.02300000000002</v>
          </cell>
          <cell r="AB965">
            <v>676.99599999999998</v>
          </cell>
          <cell r="AC965">
            <v>618.24300000000005</v>
          </cell>
        </row>
        <row r="966">
          <cell r="A966" t="str">
            <v>Switch from Natural gas to Direct electric (Thousand households)</v>
          </cell>
          <cell r="C966">
            <v>10.6</v>
          </cell>
          <cell r="D966">
            <v>11.369</v>
          </cell>
          <cell r="E966">
            <v>9.1590000000000007</v>
          </cell>
          <cell r="F966">
            <v>11.36</v>
          </cell>
          <cell r="G966">
            <v>10.02</v>
          </cell>
          <cell r="H966">
            <v>8.375</v>
          </cell>
          <cell r="I966">
            <v>6.827</v>
          </cell>
          <cell r="J966">
            <v>10.36</v>
          </cell>
          <cell r="K966">
            <v>8.6660000000000004</v>
          </cell>
          <cell r="L966">
            <v>10.000999999999999</v>
          </cell>
          <cell r="M966">
            <v>11.554</v>
          </cell>
          <cell r="N966">
            <v>13.051</v>
          </cell>
          <cell r="O966">
            <v>14.138999999999999</v>
          </cell>
          <cell r="P966">
            <v>16.327999999999999</v>
          </cell>
          <cell r="Q966">
            <v>17.670000000000002</v>
          </cell>
          <cell r="R966">
            <v>14.7</v>
          </cell>
          <cell r="S966">
            <v>17.805</v>
          </cell>
          <cell r="T966">
            <v>14.23</v>
          </cell>
          <cell r="U966">
            <v>14.589</v>
          </cell>
          <cell r="V966">
            <v>12.492000000000001</v>
          </cell>
          <cell r="W966">
            <v>9.6829999999999998</v>
          </cell>
          <cell r="X966">
            <v>7.3360000000000003</v>
          </cell>
          <cell r="Y966">
            <v>11.129</v>
          </cell>
          <cell r="Z966">
            <v>8.3539999999999992</v>
          </cell>
          <cell r="AA966">
            <v>9.2929999999999993</v>
          </cell>
          <cell r="AB966">
            <v>10.455</v>
          </cell>
          <cell r="AC966">
            <v>11.474</v>
          </cell>
        </row>
        <row r="967">
          <cell r="A967" t="str">
            <v>Switch from Natural gas to District heating (Thousand households)</v>
          </cell>
          <cell r="C967">
            <v>80.271000000000001</v>
          </cell>
          <cell r="E967">
            <v>127.68899999999999</v>
          </cell>
          <cell r="F967">
            <v>81.923000000000002</v>
          </cell>
          <cell r="G967">
            <v>179.49700000000001</v>
          </cell>
          <cell r="H967">
            <v>289.56200000000001</v>
          </cell>
          <cell r="I967">
            <v>390.15</v>
          </cell>
          <cell r="J967">
            <v>227.02099999999999</v>
          </cell>
          <cell r="K967">
            <v>338.59199999999998</v>
          </cell>
          <cell r="L967">
            <v>295.41199999999998</v>
          </cell>
          <cell r="M967">
            <v>243.26599999999999</v>
          </cell>
          <cell r="N967">
            <v>197.95099999999999</v>
          </cell>
          <cell r="O967">
            <v>172.38</v>
          </cell>
          <cell r="P967">
            <v>104.116</v>
          </cell>
          <cell r="Q967">
            <v>70.084000000000003</v>
          </cell>
          <cell r="R967">
            <v>32.981999999999999</v>
          </cell>
          <cell r="T967">
            <v>18.780999999999999</v>
          </cell>
          <cell r="U967">
            <v>18.859000000000002</v>
          </cell>
          <cell r="V967">
            <v>17.577000000000002</v>
          </cell>
          <cell r="W967">
            <v>25.158000000000001</v>
          </cell>
          <cell r="X967">
            <v>23.343</v>
          </cell>
          <cell r="Y967">
            <v>26.663</v>
          </cell>
          <cell r="Z967">
            <v>24.867000000000001</v>
          </cell>
          <cell r="AA967">
            <v>26.062000000000001</v>
          </cell>
          <cell r="AB967">
            <v>27.385000000000002</v>
          </cell>
          <cell r="AC967">
            <v>27.032</v>
          </cell>
        </row>
        <row r="968">
          <cell r="A968" t="str">
            <v>Switch from Natural gas to Heat pump (Thousand households)</v>
          </cell>
          <cell r="C968">
            <v>174.619</v>
          </cell>
          <cell r="D968">
            <v>191.00299999999999</v>
          </cell>
          <cell r="E968">
            <v>184.67699999999999</v>
          </cell>
          <cell r="F968">
            <v>214.4</v>
          </cell>
          <cell r="G968">
            <v>195.31</v>
          </cell>
          <cell r="H968">
            <v>174.84800000000001</v>
          </cell>
          <cell r="I968">
            <v>155.59299999999999</v>
          </cell>
          <cell r="J968">
            <v>191.87</v>
          </cell>
          <cell r="K968">
            <v>173.327</v>
          </cell>
          <cell r="L968">
            <v>186.67099999999999</v>
          </cell>
          <cell r="M968">
            <v>201.76900000000001</v>
          </cell>
          <cell r="N968">
            <v>215.95400000000001</v>
          </cell>
          <cell r="O968">
            <v>222.81299999999999</v>
          </cell>
          <cell r="P968">
            <v>238.15100000000001</v>
          </cell>
          <cell r="Q968">
            <v>243.87100000000001</v>
          </cell>
          <cell r="R968">
            <v>191.233</v>
          </cell>
          <cell r="S968">
            <v>217.31299999999999</v>
          </cell>
          <cell r="T968">
            <v>162.63</v>
          </cell>
          <cell r="U968">
            <v>160.833</v>
          </cell>
          <cell r="V968">
            <v>133.24199999999999</v>
          </cell>
          <cell r="W968">
            <v>101.804</v>
          </cell>
          <cell r="X968">
            <v>75.736000000000004</v>
          </cell>
          <cell r="Y968">
            <v>111.259</v>
          </cell>
          <cell r="Z968">
            <v>82.141000000000005</v>
          </cell>
          <cell r="AA968">
            <v>89.338999999999999</v>
          </cell>
          <cell r="AB968">
            <v>98.123999999999995</v>
          </cell>
          <cell r="AC968">
            <v>104.88</v>
          </cell>
        </row>
        <row r="969">
          <cell r="A969" t="str">
            <v>Switch from Natural gas to Natural gas (Thousand households)</v>
          </cell>
          <cell r="C969">
            <v>514.33500000000004</v>
          </cell>
          <cell r="D969">
            <v>575.51199999999994</v>
          </cell>
          <cell r="E969">
            <v>454.93700000000001</v>
          </cell>
          <cell r="F969">
            <v>466.553</v>
          </cell>
          <cell r="G969">
            <v>388.036</v>
          </cell>
          <cell r="H969">
            <v>298.56299999999999</v>
          </cell>
          <cell r="I969">
            <v>217.19</v>
          </cell>
          <cell r="J969">
            <v>338.68099999999998</v>
          </cell>
          <cell r="K969">
            <v>246.964</v>
          </cell>
          <cell r="L969">
            <v>275.01400000000001</v>
          </cell>
          <cell r="M969">
            <v>310.14999999999998</v>
          </cell>
          <cell r="N969">
            <v>339.43200000000002</v>
          </cell>
          <cell r="O969">
            <v>356.65499999999997</v>
          </cell>
          <cell r="P969">
            <v>406.97199999999998</v>
          </cell>
          <cell r="Q969">
            <v>433.495</v>
          </cell>
          <cell r="R969">
            <v>352.375</v>
          </cell>
          <cell r="S969">
            <v>418.26799999999997</v>
          </cell>
          <cell r="T969">
            <v>324.62599999999998</v>
          </cell>
          <cell r="U969">
            <v>330.48</v>
          </cell>
          <cell r="V969">
            <v>280.21899999999999</v>
          </cell>
          <cell r="W969">
            <v>213.93899999999999</v>
          </cell>
          <cell r="X969">
            <v>160.11099999999999</v>
          </cell>
          <cell r="Y969">
            <v>242.06299999999999</v>
          </cell>
          <cell r="Z969">
            <v>179.827</v>
          </cell>
          <cell r="AA969">
            <v>198.971</v>
          </cell>
          <cell r="AB969">
            <v>223.001</v>
          </cell>
          <cell r="AC969">
            <v>244.05600000000001</v>
          </cell>
        </row>
        <row r="970">
          <cell r="A970" t="str">
            <v>Switch from Natural gas to Wood fuel (Thousand households)</v>
          </cell>
          <cell r="C970">
            <v>6.7770000000000001</v>
          </cell>
          <cell r="D970">
            <v>7.3390000000000004</v>
          </cell>
          <cell r="E970">
            <v>7.3410000000000002</v>
          </cell>
          <cell r="F970">
            <v>8.0879999999999992</v>
          </cell>
          <cell r="G970">
            <v>7.9420000000000002</v>
          </cell>
          <cell r="H970">
            <v>7.8949999999999996</v>
          </cell>
          <cell r="I970">
            <v>7.9</v>
          </cell>
          <cell r="J970">
            <v>8.1440000000000001</v>
          </cell>
          <cell r="K970">
            <v>8.3079999999999998</v>
          </cell>
          <cell r="L970">
            <v>8.5530000000000008</v>
          </cell>
          <cell r="M970">
            <v>8.7590000000000003</v>
          </cell>
          <cell r="N970">
            <v>8.9440000000000008</v>
          </cell>
          <cell r="O970">
            <v>9.1300000000000008</v>
          </cell>
          <cell r="P970">
            <v>9.266</v>
          </cell>
          <cell r="Q970">
            <v>9.3219999999999992</v>
          </cell>
          <cell r="R970">
            <v>7.181</v>
          </cell>
          <cell r="S970">
            <v>7.9269999999999996</v>
          </cell>
          <cell r="T970">
            <v>6.1280000000000001</v>
          </cell>
          <cell r="U970">
            <v>6.0709999999999997</v>
          </cell>
          <cell r="V970">
            <v>5.0469999999999997</v>
          </cell>
          <cell r="W970">
            <v>3.9350000000000001</v>
          </cell>
          <cell r="X970">
            <v>2.964</v>
          </cell>
          <cell r="Y970">
            <v>4.3220000000000001</v>
          </cell>
          <cell r="Z970">
            <v>3.226</v>
          </cell>
          <cell r="AA970">
            <v>3.51</v>
          </cell>
          <cell r="AB970">
            <v>3.8359999999999999</v>
          </cell>
          <cell r="AC970">
            <v>4.0679999999999996</v>
          </cell>
        </row>
        <row r="971">
          <cell r="A971" t="str">
            <v>Switch from Oil fuel to Direct electric (Thousand households)</v>
          </cell>
          <cell r="C971">
            <v>5.6660000000000004</v>
          </cell>
          <cell r="D971">
            <v>5.6</v>
          </cell>
          <cell r="E971">
            <v>4.8090000000000002</v>
          </cell>
          <cell r="F971">
            <v>5.7229999999999999</v>
          </cell>
          <cell r="G971">
            <v>5.835</v>
          </cell>
          <cell r="H971">
            <v>5.79</v>
          </cell>
          <cell r="I971">
            <v>5.6890000000000001</v>
          </cell>
          <cell r="J971">
            <v>6.7679999999999998</v>
          </cell>
          <cell r="K971">
            <v>6.6680000000000001</v>
          </cell>
          <cell r="L971">
            <v>7.194</v>
          </cell>
          <cell r="M971">
            <v>7.7240000000000002</v>
          </cell>
          <cell r="N971">
            <v>8.1999999999999993</v>
          </cell>
        </row>
        <row r="972">
          <cell r="A972" t="str">
            <v>Switch from Oil fuel to District heating (Thousand households)</v>
          </cell>
          <cell r="C972">
            <v>8.5440000000000005</v>
          </cell>
          <cell r="E972">
            <v>13.51</v>
          </cell>
          <cell r="F972">
            <v>8.68</v>
          </cell>
          <cell r="G972">
            <v>18.977</v>
          </cell>
          <cell r="H972">
            <v>30.742999999999999</v>
          </cell>
          <cell r="I972">
            <v>41.915999999999997</v>
          </cell>
          <cell r="J972">
            <v>24.992000000000001</v>
          </cell>
          <cell r="K972">
            <v>37.731000000000002</v>
          </cell>
          <cell r="L972">
            <v>33.612000000000002</v>
          </cell>
          <cell r="M972">
            <v>28.187999999999999</v>
          </cell>
          <cell r="N972">
            <v>23.262</v>
          </cell>
        </row>
        <row r="973">
          <cell r="A973" t="str">
            <v>Switch from Oil fuel to Heat pump (Thousand households)</v>
          </cell>
          <cell r="C973">
            <v>137.66499999999999</v>
          </cell>
          <cell r="D973">
            <v>140.642</v>
          </cell>
          <cell r="E973">
            <v>142.67699999999999</v>
          </cell>
          <cell r="F973">
            <v>150.94399999999999</v>
          </cell>
          <cell r="G973">
            <v>144.15199999999999</v>
          </cell>
          <cell r="H973">
            <v>137.745</v>
          </cell>
          <cell r="I973">
            <v>131.36600000000001</v>
          </cell>
          <cell r="J973">
            <v>138.184</v>
          </cell>
          <cell r="K973">
            <v>133.721</v>
          </cell>
          <cell r="L973">
            <v>135.63300000000001</v>
          </cell>
          <cell r="M973">
            <v>137.988</v>
          </cell>
          <cell r="N973">
            <v>140.31200000000001</v>
          </cell>
        </row>
        <row r="974">
          <cell r="A974" t="str">
            <v>Switch from Oil fuel to Natural gas (Thousand households)</v>
          </cell>
          <cell r="C974">
            <v>94.536000000000001</v>
          </cell>
          <cell r="D974">
            <v>98.460999999999999</v>
          </cell>
          <cell r="E974">
            <v>82.852000000000004</v>
          </cell>
          <cell r="F974">
            <v>77.078000000000003</v>
          </cell>
          <cell r="G974">
            <v>72.534999999999997</v>
          </cell>
          <cell r="H974">
            <v>66.352000000000004</v>
          </cell>
          <cell r="I974">
            <v>60.87</v>
          </cell>
          <cell r="J974">
            <v>70.088999999999999</v>
          </cell>
          <cell r="K974">
            <v>61.954000000000001</v>
          </cell>
          <cell r="L974">
            <v>63.488</v>
          </cell>
          <cell r="M974">
            <v>65.655000000000001</v>
          </cell>
          <cell r="N974">
            <v>67.117999999999995</v>
          </cell>
        </row>
        <row r="975">
          <cell r="A975" t="str">
            <v>Switch from Oil fuel to Wood fuel (Thousand households)</v>
          </cell>
          <cell r="C975">
            <v>7.0380000000000003</v>
          </cell>
          <cell r="D975">
            <v>7.5270000000000001</v>
          </cell>
          <cell r="E975">
            <v>7.2050000000000001</v>
          </cell>
          <cell r="F975">
            <v>7.5010000000000003</v>
          </cell>
          <cell r="G975">
            <v>7.3620000000000001</v>
          </cell>
          <cell r="H975">
            <v>7.2389999999999999</v>
          </cell>
          <cell r="I975">
            <v>7.1130000000000004</v>
          </cell>
          <cell r="J975">
            <v>7.093</v>
          </cell>
          <cell r="K975">
            <v>7.0590000000000002</v>
          </cell>
          <cell r="L975">
            <v>7.016</v>
          </cell>
          <cell r="M975">
            <v>6.9580000000000002</v>
          </cell>
          <cell r="N975">
            <v>6.9</v>
          </cell>
        </row>
        <row r="976">
          <cell r="A976" t="str">
            <v>Switch from Wood fuel to Wood fuel (Thousand households)</v>
          </cell>
          <cell r="C976">
            <v>136.62</v>
          </cell>
          <cell r="D976">
            <v>136.55099999999999</v>
          </cell>
          <cell r="E976">
            <v>136.477</v>
          </cell>
          <cell r="F976">
            <v>136.39599999999999</v>
          </cell>
          <cell r="G976">
            <v>136.31</v>
          </cell>
          <cell r="H976">
            <v>136.21700000000001</v>
          </cell>
          <cell r="I976">
            <v>136.11699999999999</v>
          </cell>
          <cell r="J976">
            <v>136.011</v>
          </cell>
          <cell r="K976">
            <v>135.898</v>
          </cell>
          <cell r="L976">
            <v>135.77500000000001</v>
          </cell>
          <cell r="M976">
            <v>135.642</v>
          </cell>
          <cell r="N976">
            <v>135.56399999999999</v>
          </cell>
          <cell r="O976">
            <v>135.48099999999999</v>
          </cell>
          <cell r="P976">
            <v>135.39599999999999</v>
          </cell>
          <cell r="Q976">
            <v>135.309</v>
          </cell>
          <cell r="R976">
            <v>135.22300000000001</v>
          </cell>
          <cell r="S976">
            <v>135.08799999999999</v>
          </cell>
          <cell r="T976">
            <v>134.899</v>
          </cell>
          <cell r="U976">
            <v>134.69800000000001</v>
          </cell>
          <cell r="V976">
            <v>134.49799999999999</v>
          </cell>
          <cell r="W976">
            <v>159.09200000000001</v>
          </cell>
          <cell r="X976">
            <v>160.33699999999999</v>
          </cell>
          <cell r="Y976">
            <v>158.964</v>
          </cell>
          <cell r="Z976">
            <v>159.44999999999999</v>
          </cell>
          <cell r="AA976">
            <v>158.62799999999999</v>
          </cell>
          <cell r="AB976">
            <v>157.50800000000001</v>
          </cell>
          <cell r="AC976">
            <v>155.96899999999999</v>
          </cell>
        </row>
        <row r="977">
          <cell r="A977" t="str">
            <v>Switch Heat pump (Thousand households)</v>
          </cell>
          <cell r="C977">
            <v>737.38400000000001</v>
          </cell>
          <cell r="D977">
            <v>783.78</v>
          </cell>
          <cell r="E977">
            <v>746.93200000000002</v>
          </cell>
          <cell r="F977">
            <v>796.71400000000006</v>
          </cell>
          <cell r="G977">
            <v>739.553</v>
          </cell>
          <cell r="H977">
            <v>677.56700000000001</v>
          </cell>
          <cell r="I977">
            <v>618.96</v>
          </cell>
          <cell r="J977">
            <v>709.94</v>
          </cell>
          <cell r="K977">
            <v>649.88699999999994</v>
          </cell>
          <cell r="L977">
            <v>676.26400000000001</v>
          </cell>
          <cell r="M977">
            <v>708.21100000000001</v>
          </cell>
          <cell r="N977">
            <v>738.125</v>
          </cell>
          <cell r="O977">
            <v>611.06799999999998</v>
          </cell>
          <cell r="P977">
            <v>646.81899999999996</v>
          </cell>
          <cell r="Q977">
            <v>661.37599999999998</v>
          </cell>
          <cell r="R977">
            <v>614.90200000000004</v>
          </cell>
          <cell r="S977">
            <v>651.11699999999996</v>
          </cell>
          <cell r="T977">
            <v>583.976</v>
          </cell>
          <cell r="U977">
            <v>578.20899999999995</v>
          </cell>
          <cell r="V977">
            <v>545.43100000000004</v>
          </cell>
          <cell r="W977">
            <v>903.31299999999999</v>
          </cell>
          <cell r="X977">
            <v>925.48099999999999</v>
          </cell>
          <cell r="Y977">
            <v>909.22699999999998</v>
          </cell>
          <cell r="Z977">
            <v>934.14300000000003</v>
          </cell>
          <cell r="AA977">
            <v>876.24099999999999</v>
          </cell>
          <cell r="AB977">
            <v>813.71799999999996</v>
          </cell>
          <cell r="AC977">
            <v>753.04600000000005</v>
          </cell>
        </row>
        <row r="978">
          <cell r="A978" t="str">
            <v>Switch heater (Thousand households)</v>
          </cell>
          <cell r="C978">
            <v>1807.7809999999999</v>
          </cell>
          <cell r="D978">
            <v>1803.9849999999999</v>
          </cell>
          <cell r="E978">
            <v>1800.174</v>
          </cell>
          <cell r="F978">
            <v>1796.3420000000001</v>
          </cell>
          <cell r="G978">
            <v>1792.502</v>
          </cell>
          <cell r="H978">
            <v>1788.6579999999999</v>
          </cell>
          <cell r="I978">
            <v>1784.8219999999999</v>
          </cell>
          <cell r="J978">
            <v>1782.008</v>
          </cell>
          <cell r="K978">
            <v>1780.3019999999999</v>
          </cell>
          <cell r="L978">
            <v>1778.33</v>
          </cell>
          <cell r="M978">
            <v>1776.059</v>
          </cell>
          <cell r="N978">
            <v>1774.5150000000001</v>
          </cell>
          <cell r="O978">
            <v>1527.65</v>
          </cell>
          <cell r="P978">
            <v>1526.4570000000001</v>
          </cell>
          <cell r="Q978">
            <v>1525.096</v>
          </cell>
          <cell r="R978">
            <v>1348.1369999999999</v>
          </cell>
          <cell r="S978">
            <v>1409.221</v>
          </cell>
          <cell r="T978">
            <v>1271.921</v>
          </cell>
          <cell r="U978">
            <v>1273.6569999999999</v>
          </cell>
          <cell r="V978">
            <v>1188.2619999999999</v>
          </cell>
          <cell r="W978">
            <v>1529.7139999999999</v>
          </cell>
          <cell r="X978">
            <v>1382.9549999999999</v>
          </cell>
          <cell r="Y978">
            <v>1629.095</v>
          </cell>
          <cell r="Z978">
            <v>1525.721</v>
          </cell>
          <cell r="AA978">
            <v>1624.9960000000001</v>
          </cell>
          <cell r="AB978">
            <v>1744.2270000000001</v>
          </cell>
          <cell r="AC978">
            <v>1849.2059999999999</v>
          </cell>
        </row>
        <row r="979">
          <cell r="A979" t="str">
            <v>Switch heater only (Thousand households)</v>
          </cell>
          <cell r="C979">
            <v>1780.5029999999999</v>
          </cell>
          <cell r="D979">
            <v>1772.356</v>
          </cell>
          <cell r="E979">
            <v>1741.0340000000001</v>
          </cell>
          <cell r="F979">
            <v>1733.4090000000001</v>
          </cell>
          <cell r="G979">
            <v>1727.3689999999999</v>
          </cell>
          <cell r="H979">
            <v>1721.53</v>
          </cell>
          <cell r="I979">
            <v>1717.9849999999999</v>
          </cell>
          <cell r="J979">
            <v>1713.9680000000001</v>
          </cell>
          <cell r="K979">
            <v>1712.5229999999999</v>
          </cell>
          <cell r="L979">
            <v>1708.1969999999999</v>
          </cell>
          <cell r="M979">
            <v>1700.62</v>
          </cell>
          <cell r="N979">
            <v>1697.9960000000001</v>
          </cell>
          <cell r="O979">
            <v>1466.2059999999999</v>
          </cell>
          <cell r="P979">
            <v>1468.63</v>
          </cell>
          <cell r="Q979">
            <v>1466.0440000000001</v>
          </cell>
          <cell r="R979">
            <v>1294.8499999999999</v>
          </cell>
          <cell r="S979">
            <v>1348.4369999999999</v>
          </cell>
          <cell r="T979">
            <v>1222.527</v>
          </cell>
          <cell r="U979">
            <v>1223.7460000000001</v>
          </cell>
          <cell r="V979">
            <v>1149.3710000000001</v>
          </cell>
          <cell r="W979">
            <v>1490.49</v>
          </cell>
          <cell r="X979">
            <v>1351.7170000000001</v>
          </cell>
          <cell r="Y979">
            <v>1588.2929999999999</v>
          </cell>
          <cell r="Z979">
            <v>1491.4369999999999</v>
          </cell>
          <cell r="AA979">
            <v>1586.972</v>
          </cell>
          <cell r="AB979">
            <v>1702.049</v>
          </cell>
          <cell r="AC979">
            <v>1803.0830000000001</v>
          </cell>
        </row>
        <row r="980">
          <cell r="A980" t="str">
            <v>Switch Heating-District heating (Thousand households)</v>
          </cell>
          <cell r="C980">
            <v>194.01900000000001</v>
          </cell>
          <cell r="D980">
            <v>70.945999999999998</v>
          </cell>
          <cell r="E980">
            <v>266.69400000000002</v>
          </cell>
          <cell r="F980">
            <v>196.602</v>
          </cell>
          <cell r="G980">
            <v>346.48700000000002</v>
          </cell>
          <cell r="H980">
            <v>516.35199999999998</v>
          </cell>
          <cell r="I980">
            <v>673.26499999999999</v>
          </cell>
          <cell r="J980">
            <v>423.03199999999998</v>
          </cell>
          <cell r="K980">
            <v>597.71600000000001</v>
          </cell>
          <cell r="L980">
            <v>532.33699999999999</v>
          </cell>
          <cell r="M980">
            <v>451.86700000000002</v>
          </cell>
          <cell r="N980">
            <v>381.44900000000001</v>
          </cell>
          <cell r="O980">
            <v>320.94600000000003</v>
          </cell>
          <cell r="P980">
            <v>220.47800000000001</v>
          </cell>
          <cell r="Q980">
            <v>170.04</v>
          </cell>
          <cell r="R980">
            <v>119.68899999999999</v>
          </cell>
          <cell r="S980">
            <v>66.47</v>
          </cell>
          <cell r="T980">
            <v>97.793999999999997</v>
          </cell>
          <cell r="U980">
            <v>97.619</v>
          </cell>
          <cell r="V980">
            <v>97.55</v>
          </cell>
          <cell r="W980">
            <v>211.80099999999999</v>
          </cell>
          <cell r="X980">
            <v>97.572999999999993</v>
          </cell>
          <cell r="Y980">
            <v>280.29300000000001</v>
          </cell>
          <cell r="Z980">
            <v>215.40700000000001</v>
          </cell>
          <cell r="AA980">
            <v>356.29700000000003</v>
          </cell>
          <cell r="AB980">
            <v>517.69799999999998</v>
          </cell>
          <cell r="AC980">
            <v>666.44600000000003</v>
          </cell>
        </row>
        <row r="981">
          <cell r="A981" t="str">
            <v>Switch Multi-family Electricity-Heat pump air (Thousand households)</v>
          </cell>
          <cell r="C981">
            <v>110.392</v>
          </cell>
          <cell r="D981">
            <v>132.12799999999999</v>
          </cell>
          <cell r="E981">
            <v>98.149000000000001</v>
          </cell>
          <cell r="F981">
            <v>112.504</v>
          </cell>
          <cell r="G981">
            <v>87.125</v>
          </cell>
          <cell r="H981">
            <v>57.914999999999999</v>
          </cell>
          <cell r="I981">
            <v>29.928999999999998</v>
          </cell>
          <cell r="J981">
            <v>69.197000000000003</v>
          </cell>
          <cell r="K981">
            <v>38.593000000000004</v>
          </cell>
          <cell r="L981">
            <v>47.295999999999999</v>
          </cell>
          <cell r="M981">
            <v>58.878999999999998</v>
          </cell>
          <cell r="N981">
            <v>69.424000000000007</v>
          </cell>
          <cell r="O981">
            <v>70.328000000000003</v>
          </cell>
          <cell r="P981">
            <v>86.652000000000001</v>
          </cell>
          <cell r="Q981">
            <v>94.506</v>
          </cell>
          <cell r="R981">
            <v>93.094999999999999</v>
          </cell>
          <cell r="S981">
            <v>105.342</v>
          </cell>
          <cell r="T981">
            <v>92.206000000000003</v>
          </cell>
          <cell r="U981">
            <v>92.278999999999996</v>
          </cell>
          <cell r="V981">
            <v>88.248000000000005</v>
          </cell>
          <cell r="W981">
            <v>125.03400000000001</v>
          </cell>
          <cell r="X981">
            <v>128.376</v>
          </cell>
          <cell r="Y981">
            <v>121.238</v>
          </cell>
          <cell r="Z981">
            <v>124.78</v>
          </cell>
          <cell r="AA981">
            <v>116.285</v>
          </cell>
          <cell r="AB981">
            <v>107.083</v>
          </cell>
          <cell r="AC981">
            <v>98.248999999999995</v>
          </cell>
        </row>
        <row r="982">
          <cell r="A982" t="str">
            <v>Switch Multi-family Electricity-Heat pump water (Thousand households)</v>
          </cell>
          <cell r="C982">
            <v>116.09099999999999</v>
          </cell>
          <cell r="D982">
            <v>137.233</v>
          </cell>
          <cell r="E982">
            <v>116.53100000000001</v>
          </cell>
          <cell r="F982">
            <v>132.45099999999999</v>
          </cell>
          <cell r="G982">
            <v>106.121</v>
          </cell>
          <cell r="H982">
            <v>74.807000000000002</v>
          </cell>
          <cell r="I982">
            <v>44.048999999999999</v>
          </cell>
          <cell r="J982">
            <v>87.588999999999999</v>
          </cell>
          <cell r="K982">
            <v>53.582999999999998</v>
          </cell>
          <cell r="L982">
            <v>63.470999999999997</v>
          </cell>
          <cell r="M982">
            <v>76.926000000000002</v>
          </cell>
          <cell r="N982">
            <v>89.48</v>
          </cell>
          <cell r="O982">
            <v>90.055999999999997</v>
          </cell>
          <cell r="P982">
            <v>108.751</v>
          </cell>
          <cell r="Q982">
            <v>117.755</v>
          </cell>
          <cell r="R982">
            <v>116.176</v>
          </cell>
          <cell r="S982">
            <v>130.07499999999999</v>
          </cell>
          <cell r="T982">
            <v>115.048</v>
          </cell>
          <cell r="U982">
            <v>114.90600000000001</v>
          </cell>
          <cell r="V982">
            <v>110.08</v>
          </cell>
          <cell r="W982">
            <v>142.57499999999999</v>
          </cell>
          <cell r="X982">
            <v>145.67500000000001</v>
          </cell>
          <cell r="Y982">
            <v>145.977</v>
          </cell>
          <cell r="Z982">
            <v>149.94</v>
          </cell>
          <cell r="AA982">
            <v>141.07599999999999</v>
          </cell>
          <cell r="AB982">
            <v>131.572</v>
          </cell>
          <cell r="AC982">
            <v>122.462</v>
          </cell>
        </row>
        <row r="983">
          <cell r="A983" t="str">
            <v>Switch Multi-family Electricity-Performance boiler (Thousand households)</v>
          </cell>
          <cell r="C983">
            <v>58.633000000000003</v>
          </cell>
          <cell r="D983">
            <v>68.73</v>
          </cell>
          <cell r="E983">
            <v>47.826000000000001</v>
          </cell>
          <cell r="F983">
            <v>55.511000000000003</v>
          </cell>
          <cell r="G983">
            <v>41.444000000000003</v>
          </cell>
          <cell r="H983">
            <v>24.792999999999999</v>
          </cell>
          <cell r="I983">
            <v>8.7349999999999994</v>
          </cell>
          <cell r="J983">
            <v>32.847999999999999</v>
          </cell>
          <cell r="K983">
            <v>14.956</v>
          </cell>
          <cell r="L983">
            <v>20.882000000000001</v>
          </cell>
          <cell r="M983">
            <v>28.617999999999999</v>
          </cell>
          <cell r="N983">
            <v>35.698</v>
          </cell>
          <cell r="O983">
            <v>38.792999999999999</v>
          </cell>
          <cell r="P983">
            <v>50.826999999999998</v>
          </cell>
          <cell r="Q983">
            <v>58.122999999999998</v>
          </cell>
          <cell r="R983">
            <v>62.66</v>
          </cell>
          <cell r="S983">
            <v>72.947000000000003</v>
          </cell>
          <cell r="T983">
            <v>68.534000000000006</v>
          </cell>
          <cell r="U983">
            <v>70.513000000000005</v>
          </cell>
          <cell r="V983">
            <v>70.658000000000001</v>
          </cell>
          <cell r="W983">
            <v>20.68</v>
          </cell>
          <cell r="X983">
            <v>19.934999999999999</v>
          </cell>
          <cell r="Y983">
            <v>18.966999999999999</v>
          </cell>
          <cell r="Z983">
            <v>18.587</v>
          </cell>
          <cell r="AA983">
            <v>17.395</v>
          </cell>
          <cell r="AB983">
            <v>15.875999999999999</v>
          </cell>
          <cell r="AC983">
            <v>14.388999999999999</v>
          </cell>
        </row>
        <row r="984">
          <cell r="A984" t="str">
            <v>Switch Multi-family Heating-District heating (Thousand households)</v>
          </cell>
          <cell r="C984">
            <v>180.739</v>
          </cell>
          <cell r="D984">
            <v>58.73</v>
          </cell>
          <cell r="E984">
            <v>254.48500000000001</v>
          </cell>
          <cell r="F984">
            <v>185.77699999999999</v>
          </cell>
          <cell r="G984">
            <v>336.40300000000002</v>
          </cell>
          <cell r="H984">
            <v>507.58</v>
          </cell>
          <cell r="I984">
            <v>666.01900000000001</v>
          </cell>
          <cell r="J984">
            <v>417.17399999999998</v>
          </cell>
          <cell r="K984">
            <v>592.46100000000001</v>
          </cell>
          <cell r="L984">
            <v>527.78599999999994</v>
          </cell>
          <cell r="M984">
            <v>447.80599999999998</v>
          </cell>
          <cell r="N984">
            <v>377.72300000000001</v>
          </cell>
          <cell r="O984">
            <v>317.46499999999997</v>
          </cell>
          <cell r="P984">
            <v>217.17599999999999</v>
          </cell>
          <cell r="Q984">
            <v>166.84399999999999</v>
          </cell>
          <cell r="R984">
            <v>116.56100000000001</v>
          </cell>
          <cell r="S984">
            <v>63.375999999999998</v>
          </cell>
          <cell r="T984">
            <v>94.703000000000003</v>
          </cell>
          <cell r="U984">
            <v>94.542000000000002</v>
          </cell>
          <cell r="V984">
            <v>94.481999999999999</v>
          </cell>
          <cell r="W984">
            <v>203.43199999999999</v>
          </cell>
          <cell r="X984">
            <v>94.513999999999996</v>
          </cell>
          <cell r="Y984">
            <v>268.77499999999998</v>
          </cell>
          <cell r="Z984">
            <v>206.905</v>
          </cell>
          <cell r="AA984">
            <v>341.29599999999999</v>
          </cell>
          <cell r="AB984">
            <v>495.37299999999999</v>
          </cell>
          <cell r="AC984">
            <v>637.38900000000001</v>
          </cell>
        </row>
        <row r="985">
          <cell r="A985" t="str">
            <v>Switch Multi-family Natural gas-Performance boiler (Thousand households)</v>
          </cell>
          <cell r="C985">
            <v>347.70499999999998</v>
          </cell>
          <cell r="D985">
            <v>415.00099999999998</v>
          </cell>
          <cell r="E985">
            <v>295.53199999999998</v>
          </cell>
          <cell r="F985">
            <v>323.75799999999998</v>
          </cell>
          <cell r="G985">
            <v>238.29900000000001</v>
          </cell>
          <cell r="H985">
            <v>140.43600000000001</v>
          </cell>
          <cell r="I985">
            <v>48.707999999999998</v>
          </cell>
          <cell r="J985">
            <v>178.01</v>
          </cell>
          <cell r="K985">
            <v>79.185000000000002</v>
          </cell>
          <cell r="L985">
            <v>108.066</v>
          </cell>
          <cell r="M985">
            <v>145.26300000000001</v>
          </cell>
          <cell r="N985">
            <v>177.70500000000001</v>
          </cell>
          <cell r="O985">
            <v>179.65600000000001</v>
          </cell>
          <cell r="P985">
            <v>231.268</v>
          </cell>
          <cell r="Q985">
            <v>259.541</v>
          </cell>
          <cell r="R985">
            <v>219.77500000000001</v>
          </cell>
          <cell r="S985">
            <v>274.27600000000001</v>
          </cell>
          <cell r="T985">
            <v>209.82499999999999</v>
          </cell>
          <cell r="U985">
            <v>214.999</v>
          </cell>
          <cell r="V985">
            <v>183.16200000000001</v>
          </cell>
          <cell r="W985">
            <v>137.6</v>
          </cell>
          <cell r="X985">
            <v>102.182</v>
          </cell>
          <cell r="Y985">
            <v>157.06399999999999</v>
          </cell>
          <cell r="Z985">
            <v>115.91</v>
          </cell>
          <cell r="AA985">
            <v>128.99</v>
          </cell>
          <cell r="AB985">
            <v>145.88499999999999</v>
          </cell>
          <cell r="AC985">
            <v>161.499</v>
          </cell>
        </row>
        <row r="986">
          <cell r="A986" t="str">
            <v>Switch Multi-family Wood fuel-Performance boiler (Thousand households)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</row>
        <row r="987">
          <cell r="A987" t="str">
            <v>Switch Natural gas-Performance boiler (Thousand households)</v>
          </cell>
          <cell r="C987">
            <v>608.87099999999998</v>
          </cell>
          <cell r="D987">
            <v>673.97299999999996</v>
          </cell>
          <cell r="E987">
            <v>537.78899999999999</v>
          </cell>
          <cell r="F987">
            <v>543.63099999999997</v>
          </cell>
          <cell r="G987">
            <v>460.57100000000003</v>
          </cell>
          <cell r="H987">
            <v>364.91500000000002</v>
          </cell>
          <cell r="I987">
            <v>278.06099999999998</v>
          </cell>
          <cell r="J987">
            <v>408.77</v>
          </cell>
          <cell r="K987">
            <v>308.91800000000001</v>
          </cell>
          <cell r="L987">
            <v>338.50200000000001</v>
          </cell>
          <cell r="M987">
            <v>375.80500000000001</v>
          </cell>
          <cell r="N987">
            <v>406.55</v>
          </cell>
          <cell r="O987">
            <v>356.65499999999997</v>
          </cell>
          <cell r="P987">
            <v>406.97199999999998</v>
          </cell>
          <cell r="Q987">
            <v>433.495</v>
          </cell>
          <cell r="R987">
            <v>352.375</v>
          </cell>
          <cell r="S987">
            <v>418.26799999999997</v>
          </cell>
          <cell r="T987">
            <v>324.62599999999998</v>
          </cell>
          <cell r="U987">
            <v>330.48</v>
          </cell>
          <cell r="V987">
            <v>280.21899999999999</v>
          </cell>
          <cell r="W987">
            <v>213.93899999999999</v>
          </cell>
          <cell r="X987">
            <v>160.11099999999999</v>
          </cell>
          <cell r="Y987">
            <v>242.06299999999999</v>
          </cell>
          <cell r="Z987">
            <v>179.827</v>
          </cell>
          <cell r="AA987">
            <v>198.971</v>
          </cell>
          <cell r="AB987">
            <v>223.001</v>
          </cell>
          <cell r="AC987">
            <v>244.05600000000001</v>
          </cell>
        </row>
        <row r="988">
          <cell r="A988" t="str">
            <v>Switch premature heater (Thousand households)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</row>
        <row r="989">
          <cell r="A989" t="str">
            <v>Switch Single-family Electricity-Heat pump air (Thousand households)</v>
          </cell>
          <cell r="C989">
            <v>210.93</v>
          </cell>
          <cell r="D989">
            <v>210.49700000000001</v>
          </cell>
          <cell r="E989">
            <v>197.00200000000001</v>
          </cell>
          <cell r="F989">
            <v>203.50800000000001</v>
          </cell>
          <cell r="G989">
            <v>199.91399999999999</v>
          </cell>
          <cell r="H989">
            <v>198.005</v>
          </cell>
          <cell r="I989">
            <v>196.703</v>
          </cell>
          <cell r="J989">
            <v>198.62100000000001</v>
          </cell>
          <cell r="K989">
            <v>199.60300000000001</v>
          </cell>
          <cell r="L989">
            <v>201.92699999999999</v>
          </cell>
          <cell r="M989">
            <v>203.922</v>
          </cell>
          <cell r="N989">
            <v>205.91399999999999</v>
          </cell>
          <cell r="O989">
            <v>159.68700000000001</v>
          </cell>
          <cell r="P989">
            <v>160.06</v>
          </cell>
          <cell r="Q989">
            <v>159.251</v>
          </cell>
          <cell r="R989">
            <v>142.41200000000001</v>
          </cell>
          <cell r="S989">
            <v>146.46299999999999</v>
          </cell>
          <cell r="T989">
            <v>131.339</v>
          </cell>
          <cell r="U989">
            <v>129.22200000000001</v>
          </cell>
          <cell r="V989">
            <v>120.032</v>
          </cell>
          <cell r="W989">
            <v>236.708</v>
          </cell>
          <cell r="X989">
            <v>242.554</v>
          </cell>
          <cell r="Y989">
            <v>229.60300000000001</v>
          </cell>
          <cell r="Z989">
            <v>235.40899999999999</v>
          </cell>
          <cell r="AA989">
            <v>219.18899999999999</v>
          </cell>
          <cell r="AB989">
            <v>201.751</v>
          </cell>
          <cell r="AC989">
            <v>184.80699999999999</v>
          </cell>
        </row>
        <row r="990">
          <cell r="A990" t="str">
            <v>Switch Single-family Electricity-Heat pump water (Thousand households)</v>
          </cell>
          <cell r="C990">
            <v>299.97000000000003</v>
          </cell>
          <cell r="D990">
            <v>303.92200000000003</v>
          </cell>
          <cell r="E990">
            <v>335.24900000000002</v>
          </cell>
          <cell r="F990">
            <v>348.25200000000001</v>
          </cell>
          <cell r="G990">
            <v>346.39299999999997</v>
          </cell>
          <cell r="H990">
            <v>346.84</v>
          </cell>
          <cell r="I990">
            <v>348.279</v>
          </cell>
          <cell r="J990">
            <v>354.53399999999999</v>
          </cell>
          <cell r="K990">
            <v>358.108</v>
          </cell>
          <cell r="L990">
            <v>363.57</v>
          </cell>
          <cell r="M990">
            <v>368.48399999999998</v>
          </cell>
          <cell r="N990">
            <v>373.30700000000002</v>
          </cell>
          <cell r="O990">
            <v>290.99700000000001</v>
          </cell>
          <cell r="P990">
            <v>291.35500000000002</v>
          </cell>
          <cell r="Q990">
            <v>289.863</v>
          </cell>
          <cell r="R990">
            <v>263.21899999999999</v>
          </cell>
          <cell r="S990">
            <v>269.23700000000002</v>
          </cell>
          <cell r="T990">
            <v>245.38300000000001</v>
          </cell>
          <cell r="U990">
            <v>241.80199999999999</v>
          </cell>
          <cell r="V990">
            <v>227.07</v>
          </cell>
          <cell r="W990">
            <v>398.99599999999998</v>
          </cell>
          <cell r="X990">
            <v>408.87599999999998</v>
          </cell>
          <cell r="Y990">
            <v>412.40899999999999</v>
          </cell>
          <cell r="Z990">
            <v>424.01499999999999</v>
          </cell>
          <cell r="AA990">
            <v>399.69099999999997</v>
          </cell>
          <cell r="AB990">
            <v>373.31099999999998</v>
          </cell>
          <cell r="AC990">
            <v>347.529</v>
          </cell>
        </row>
        <row r="991">
          <cell r="A991" t="str">
            <v>Switch Single-family Electricity-Performance boiler (Thousand households)</v>
          </cell>
          <cell r="C991">
            <v>46.993000000000002</v>
          </cell>
          <cell r="D991">
            <v>43.174999999999997</v>
          </cell>
          <cell r="E991">
            <v>38.728999999999999</v>
          </cell>
          <cell r="F991">
            <v>40.97</v>
          </cell>
          <cell r="G991">
            <v>42.167000000000002</v>
          </cell>
          <cell r="H991">
            <v>43.249000000000002</v>
          </cell>
          <cell r="I991">
            <v>44.438000000000002</v>
          </cell>
          <cell r="J991">
            <v>46.1</v>
          </cell>
          <cell r="K991">
            <v>47.677</v>
          </cell>
          <cell r="L991">
            <v>49.255000000000003</v>
          </cell>
          <cell r="M991">
            <v>50.594999999999999</v>
          </cell>
          <cell r="N991">
            <v>51.808</v>
          </cell>
          <cell r="O991">
            <v>46.103000000000002</v>
          </cell>
          <cell r="P991">
            <v>47.252000000000002</v>
          </cell>
          <cell r="Q991">
            <v>48.006999999999998</v>
          </cell>
          <cell r="R991">
            <v>46.771000000000001</v>
          </cell>
          <cell r="S991">
            <v>48.198</v>
          </cell>
          <cell r="T991">
            <v>46.942</v>
          </cell>
          <cell r="U991">
            <v>47.231000000000002</v>
          </cell>
          <cell r="V991">
            <v>46.235999999999997</v>
          </cell>
          <cell r="W991">
            <v>14.824999999999999</v>
          </cell>
          <cell r="X991">
            <v>14.339</v>
          </cell>
          <cell r="Y991">
            <v>13.577999999999999</v>
          </cell>
          <cell r="Z991">
            <v>13.238</v>
          </cell>
          <cell r="AA991">
            <v>12.387</v>
          </cell>
          <cell r="AB991">
            <v>11.335000000000001</v>
          </cell>
          <cell r="AC991">
            <v>10.27</v>
          </cell>
        </row>
        <row r="992">
          <cell r="A992" t="str">
            <v>Switch Single-family Heating-District heating (Thousand households)</v>
          </cell>
          <cell r="C992">
            <v>13.28</v>
          </cell>
          <cell r="D992">
            <v>12.215999999999999</v>
          </cell>
          <cell r="E992">
            <v>12.208</v>
          </cell>
          <cell r="F992">
            <v>10.824999999999999</v>
          </cell>
          <cell r="G992">
            <v>10.084</v>
          </cell>
          <cell r="H992">
            <v>8.7720000000000002</v>
          </cell>
          <cell r="I992">
            <v>7.2450000000000001</v>
          </cell>
          <cell r="J992">
            <v>5.8579999999999997</v>
          </cell>
          <cell r="K992">
            <v>5.2549999999999999</v>
          </cell>
          <cell r="L992">
            <v>4.5510000000000002</v>
          </cell>
          <cell r="M992">
            <v>4.0609999999999999</v>
          </cell>
          <cell r="N992">
            <v>3.726</v>
          </cell>
          <cell r="O992">
            <v>3.4809999999999999</v>
          </cell>
          <cell r="P992">
            <v>3.302</v>
          </cell>
          <cell r="Q992">
            <v>3.1960000000000002</v>
          </cell>
          <cell r="R992">
            <v>3.1269999999999998</v>
          </cell>
          <cell r="S992">
            <v>3.0939999999999999</v>
          </cell>
          <cell r="T992">
            <v>3.0910000000000002</v>
          </cell>
          <cell r="U992">
            <v>3.077</v>
          </cell>
          <cell r="V992">
            <v>3.0680000000000001</v>
          </cell>
          <cell r="W992">
            <v>8.3689999999999998</v>
          </cell>
          <cell r="X992">
            <v>3.06</v>
          </cell>
          <cell r="Y992">
            <v>11.518000000000001</v>
          </cell>
          <cell r="Z992">
            <v>8.5020000000000007</v>
          </cell>
          <cell r="AA992">
            <v>15.000999999999999</v>
          </cell>
          <cell r="AB992">
            <v>22.324999999999999</v>
          </cell>
          <cell r="AC992">
            <v>29.056000000000001</v>
          </cell>
        </row>
        <row r="993">
          <cell r="A993" t="str">
            <v>Switch Single-family Natural gas-Performance boiler (Thousand households)</v>
          </cell>
          <cell r="C993">
            <v>261.166</v>
          </cell>
          <cell r="D993">
            <v>258.971</v>
          </cell>
          <cell r="E993">
            <v>242.25700000000001</v>
          </cell>
          <cell r="F993">
            <v>219.874</v>
          </cell>
          <cell r="G993">
            <v>222.27199999999999</v>
          </cell>
          <cell r="H993">
            <v>224.47900000000001</v>
          </cell>
          <cell r="I993">
            <v>229.35300000000001</v>
          </cell>
          <cell r="J993">
            <v>230.76</v>
          </cell>
          <cell r="K993">
            <v>229.73400000000001</v>
          </cell>
          <cell r="L993">
            <v>230.43600000000001</v>
          </cell>
          <cell r="M993">
            <v>230.542</v>
          </cell>
          <cell r="N993">
            <v>228.846</v>
          </cell>
          <cell r="O993">
            <v>176.999</v>
          </cell>
          <cell r="P993">
            <v>175.70500000000001</v>
          </cell>
          <cell r="Q993">
            <v>173.95500000000001</v>
          </cell>
          <cell r="R993">
            <v>132.59899999999999</v>
          </cell>
          <cell r="S993">
            <v>143.99299999999999</v>
          </cell>
          <cell r="T993">
            <v>114.801</v>
          </cell>
          <cell r="U993">
            <v>115.48099999999999</v>
          </cell>
          <cell r="V993">
            <v>97.057000000000002</v>
          </cell>
          <cell r="W993">
            <v>76.338999999999999</v>
          </cell>
          <cell r="X993">
            <v>57.93</v>
          </cell>
          <cell r="Y993">
            <v>84.998999999999995</v>
          </cell>
          <cell r="Z993">
            <v>63.917999999999999</v>
          </cell>
          <cell r="AA993">
            <v>69.980999999999995</v>
          </cell>
          <cell r="AB993">
            <v>77.116</v>
          </cell>
          <cell r="AC993">
            <v>82.557000000000002</v>
          </cell>
        </row>
        <row r="994">
          <cell r="A994" t="str">
            <v>Switch Single-family Wood fuel-Performance boiler (Thousand households)</v>
          </cell>
          <cell r="C994">
            <v>161.881</v>
          </cell>
          <cell r="D994">
            <v>163.381</v>
          </cell>
          <cell r="E994">
            <v>162.20500000000001</v>
          </cell>
          <cell r="F994">
            <v>162.91499999999999</v>
          </cell>
          <cell r="G994">
            <v>162.28</v>
          </cell>
          <cell r="H994">
            <v>161.78299999999999</v>
          </cell>
          <cell r="I994">
            <v>161.364</v>
          </cell>
          <cell r="J994">
            <v>161.31700000000001</v>
          </cell>
          <cell r="K994">
            <v>161.148</v>
          </cell>
          <cell r="L994">
            <v>161.089</v>
          </cell>
          <cell r="M994">
            <v>160.96199999999999</v>
          </cell>
          <cell r="N994">
            <v>160.886</v>
          </cell>
          <cell r="O994">
            <v>154.08500000000001</v>
          </cell>
          <cell r="P994">
            <v>154.108</v>
          </cell>
          <cell r="Q994">
            <v>154.05500000000001</v>
          </cell>
          <cell r="R994">
            <v>151.74100000000001</v>
          </cell>
          <cell r="S994">
            <v>152.221</v>
          </cell>
          <cell r="T994">
            <v>150.04900000000001</v>
          </cell>
          <cell r="U994">
            <v>149.60499999999999</v>
          </cell>
          <cell r="V994">
            <v>148.16900000000001</v>
          </cell>
          <cell r="W994">
            <v>165.15600000000001</v>
          </cell>
          <cell r="X994">
            <v>165.51499999999999</v>
          </cell>
          <cell r="Y994">
            <v>164.96799999999999</v>
          </cell>
          <cell r="Z994">
            <v>164.518</v>
          </cell>
          <cell r="AA994">
            <v>163.70599999999999</v>
          </cell>
          <cell r="AB994">
            <v>162.59899999999999</v>
          </cell>
          <cell r="AC994">
            <v>161</v>
          </cell>
        </row>
        <row r="995">
          <cell r="A995" t="str">
            <v>Switch Wood fuel-Performance boiler (Thousand households)</v>
          </cell>
          <cell r="C995">
            <v>161.881</v>
          </cell>
          <cell r="D995">
            <v>163.381</v>
          </cell>
          <cell r="E995">
            <v>162.20500000000001</v>
          </cell>
          <cell r="F995">
            <v>162.91499999999999</v>
          </cell>
          <cell r="G995">
            <v>162.28</v>
          </cell>
          <cell r="H995">
            <v>161.78299999999999</v>
          </cell>
          <cell r="I995">
            <v>161.364</v>
          </cell>
          <cell r="J995">
            <v>161.31700000000001</v>
          </cell>
          <cell r="K995">
            <v>161.148</v>
          </cell>
          <cell r="L995">
            <v>161.089</v>
          </cell>
          <cell r="M995">
            <v>160.96199999999999</v>
          </cell>
          <cell r="N995">
            <v>160.886</v>
          </cell>
          <cell r="O995">
            <v>154.08500000000001</v>
          </cell>
          <cell r="P995">
            <v>154.108</v>
          </cell>
          <cell r="Q995">
            <v>154.05500000000001</v>
          </cell>
          <cell r="R995">
            <v>151.74100000000001</v>
          </cell>
          <cell r="S995">
            <v>152.221</v>
          </cell>
          <cell r="T995">
            <v>150.04900000000001</v>
          </cell>
          <cell r="U995">
            <v>149.60499999999999</v>
          </cell>
          <cell r="V995">
            <v>148.16900000000001</v>
          </cell>
          <cell r="W995">
            <v>165.15600000000001</v>
          </cell>
          <cell r="X995">
            <v>165.51499999999999</v>
          </cell>
          <cell r="Y995">
            <v>164.96799999999999</v>
          </cell>
          <cell r="Z995">
            <v>164.518</v>
          </cell>
          <cell r="AA995">
            <v>163.70599999999999</v>
          </cell>
          <cell r="AB995">
            <v>162.59899999999999</v>
          </cell>
          <cell r="AC995">
            <v>161</v>
          </cell>
        </row>
        <row r="996">
          <cell r="A996" t="str">
            <v>Taxes expenditure (Billion euro)</v>
          </cell>
          <cell r="B996">
            <v>7.1920000000000002</v>
          </cell>
          <cell r="C996">
            <v>7.9720000000000004</v>
          </cell>
          <cell r="D996">
            <v>8.484</v>
          </cell>
          <cell r="E996">
            <v>8.3650000000000002</v>
          </cell>
          <cell r="F996">
            <v>8.85</v>
          </cell>
          <cell r="G996">
            <v>8.5589999999999993</v>
          </cell>
          <cell r="H996">
            <v>8.2409999999999997</v>
          </cell>
          <cell r="I996">
            <v>7.88</v>
          </cell>
          <cell r="J996">
            <v>7.6589999999999998</v>
          </cell>
          <cell r="K996">
            <v>7.399</v>
          </cell>
          <cell r="L996">
            <v>7.1390000000000002</v>
          </cell>
          <cell r="M996">
            <v>6.8860000000000001</v>
          </cell>
          <cell r="N996">
            <v>6.6509999999999998</v>
          </cell>
          <cell r="O996">
            <v>6.4569999999999999</v>
          </cell>
          <cell r="P996">
            <v>6.2690000000000001</v>
          </cell>
          <cell r="Q996">
            <v>6.1360000000000001</v>
          </cell>
          <cell r="R996">
            <v>5.9859999999999998</v>
          </cell>
          <cell r="S996">
            <v>9.5779999999999994</v>
          </cell>
          <cell r="T996">
            <v>5.633</v>
          </cell>
          <cell r="U996">
            <v>5.48</v>
          </cell>
          <cell r="V996">
            <v>5.35</v>
          </cell>
          <cell r="W996">
            <v>5.2640000000000002</v>
          </cell>
          <cell r="X996">
            <v>5.1920000000000002</v>
          </cell>
          <cell r="Y996">
            <v>5.0839999999999996</v>
          </cell>
          <cell r="Z996">
            <v>4.9859999999999998</v>
          </cell>
          <cell r="AA996">
            <v>4.8940000000000001</v>
          </cell>
          <cell r="AB996">
            <v>4.8040000000000003</v>
          </cell>
          <cell r="AC996">
            <v>4.7169999999999996</v>
          </cell>
        </row>
        <row r="997">
          <cell r="A997" t="str">
            <v>Thermal comfort EE (Billion euro)</v>
          </cell>
          <cell r="C997">
            <v>0.16700000000000001</v>
          </cell>
          <cell r="D997">
            <v>0.158</v>
          </cell>
          <cell r="E997">
            <v>0.215</v>
          </cell>
          <cell r="F997">
            <v>0.218</v>
          </cell>
          <cell r="G997">
            <v>0.20599999999999999</v>
          </cell>
          <cell r="H997">
            <v>0.21</v>
          </cell>
          <cell r="I997">
            <v>0.20799999999999999</v>
          </cell>
          <cell r="J997">
            <v>0.20200000000000001</v>
          </cell>
          <cell r="K997">
            <v>0.19500000000000001</v>
          </cell>
          <cell r="L997">
            <v>0.18099999999999999</v>
          </cell>
          <cell r="M997">
            <v>0.16800000000000001</v>
          </cell>
          <cell r="N997">
            <v>0.158</v>
          </cell>
          <cell r="O997">
            <v>0.126</v>
          </cell>
          <cell r="P997">
            <v>0.13</v>
          </cell>
          <cell r="Q997">
            <v>0.123</v>
          </cell>
          <cell r="R997">
            <v>0.107</v>
          </cell>
          <cell r="S997">
            <v>0.17199999999999999</v>
          </cell>
          <cell r="T997">
            <v>9.4E-2</v>
          </cell>
          <cell r="U997">
            <v>8.7999999999999995E-2</v>
          </cell>
          <cell r="V997">
            <v>7.9000000000000001E-2</v>
          </cell>
          <cell r="W997">
            <v>4.5999999999999999E-2</v>
          </cell>
          <cell r="X997">
            <v>4.1000000000000002E-2</v>
          </cell>
          <cell r="Y997">
            <v>0.04</v>
          </cell>
          <cell r="Z997">
            <v>3.5000000000000003E-2</v>
          </cell>
          <cell r="AA997">
            <v>3.3000000000000002E-2</v>
          </cell>
          <cell r="AB997">
            <v>3.1E-2</v>
          </cell>
          <cell r="AC997">
            <v>2.9000000000000001E-2</v>
          </cell>
        </row>
        <row r="998">
          <cell r="A998" t="str">
            <v>Thermal comfort Electricity (Billion euro/year)</v>
          </cell>
          <cell r="C998">
            <v>0.124</v>
          </cell>
          <cell r="D998">
            <v>0.124</v>
          </cell>
          <cell r="E998">
            <v>0.13900000000000001</v>
          </cell>
          <cell r="F998">
            <v>0.14000000000000001</v>
          </cell>
          <cell r="G998">
            <v>0.126</v>
          </cell>
          <cell r="H998">
            <v>0.11600000000000001</v>
          </cell>
          <cell r="I998">
            <v>0.11</v>
          </cell>
          <cell r="J998">
            <v>0.11799999999999999</v>
          </cell>
          <cell r="K998">
            <v>0.107</v>
          </cell>
          <cell r="L998">
            <v>0.105</v>
          </cell>
          <cell r="M998">
            <v>0.105</v>
          </cell>
          <cell r="N998">
            <v>0.104</v>
          </cell>
          <cell r="O998">
            <v>8.1000000000000003E-2</v>
          </cell>
          <cell r="P998">
            <v>8.7999999999999995E-2</v>
          </cell>
          <cell r="Q998">
            <v>8.6999999999999994E-2</v>
          </cell>
          <cell r="R998">
            <v>7.6999999999999999E-2</v>
          </cell>
          <cell r="S998">
            <v>0.105</v>
          </cell>
          <cell r="T998">
            <v>6.9000000000000006E-2</v>
          </cell>
          <cell r="U998">
            <v>6.5000000000000002E-2</v>
          </cell>
          <cell r="V998">
            <v>5.8000000000000003E-2</v>
          </cell>
          <cell r="W998">
            <v>2.8000000000000001E-2</v>
          </cell>
          <cell r="X998">
            <v>2.5000000000000001E-2</v>
          </cell>
          <cell r="Y998">
            <v>2.5000000000000001E-2</v>
          </cell>
          <cell r="Z998">
            <v>2.1999999999999999E-2</v>
          </cell>
          <cell r="AA998">
            <v>0.02</v>
          </cell>
          <cell r="AB998">
            <v>1.9E-2</v>
          </cell>
          <cell r="AC998">
            <v>1.7999999999999999E-2</v>
          </cell>
        </row>
        <row r="999">
          <cell r="A999" t="str">
            <v>Thermal comfort Heating (Billion euro/year)</v>
          </cell>
          <cell r="C999">
            <v>8.9999999999999993E-3</v>
          </cell>
          <cell r="D999">
            <v>1E-3</v>
          </cell>
          <cell r="E999">
            <v>1.4999999999999999E-2</v>
          </cell>
          <cell r="F999">
            <v>1.0999999999999999E-2</v>
          </cell>
          <cell r="G999">
            <v>2.3E-2</v>
          </cell>
          <cell r="H999">
            <v>3.5999999999999997E-2</v>
          </cell>
          <cell r="I999">
            <v>4.8000000000000001E-2</v>
          </cell>
          <cell r="J999">
            <v>3.1E-2</v>
          </cell>
          <cell r="K999">
            <v>4.3999999999999997E-2</v>
          </cell>
          <cell r="L999">
            <v>3.9E-2</v>
          </cell>
          <cell r="M999">
            <v>3.3000000000000002E-2</v>
          </cell>
          <cell r="N999">
            <v>2.8000000000000001E-2</v>
          </cell>
          <cell r="O999">
            <v>2.4E-2</v>
          </cell>
          <cell r="P999">
            <v>1.7999999999999999E-2</v>
          </cell>
          <cell r="Q999">
            <v>1.4E-2</v>
          </cell>
          <cell r="R999">
            <v>0.01</v>
          </cell>
          <cell r="S999">
            <v>7.0000000000000001E-3</v>
          </cell>
          <cell r="T999">
            <v>8.0000000000000002E-3</v>
          </cell>
          <cell r="U999">
            <v>8.0000000000000002E-3</v>
          </cell>
          <cell r="V999">
            <v>7.0000000000000001E-3</v>
          </cell>
          <cell r="W999">
            <v>7.0000000000000001E-3</v>
          </cell>
          <cell r="X999">
            <v>6.0000000000000001E-3</v>
          </cell>
          <cell r="Y999">
            <v>6.0000000000000001E-3</v>
          </cell>
          <cell r="Z999">
            <v>6.0000000000000001E-3</v>
          </cell>
          <cell r="AA999">
            <v>5.0000000000000001E-3</v>
          </cell>
          <cell r="AB999">
            <v>5.0000000000000001E-3</v>
          </cell>
          <cell r="AC999">
            <v>4.0000000000000001E-3</v>
          </cell>
        </row>
        <row r="1000">
          <cell r="A1000" t="str">
            <v>Thermal comfort Natural gas (Billion euro/year)</v>
          </cell>
          <cell r="C1000">
            <v>1.4999999999999999E-2</v>
          </cell>
          <cell r="D1000">
            <v>1.6E-2</v>
          </cell>
          <cell r="E1000">
            <v>3.2000000000000001E-2</v>
          </cell>
          <cell r="F1000">
            <v>3.5000000000000003E-2</v>
          </cell>
          <cell r="G1000">
            <v>3.2000000000000001E-2</v>
          </cell>
          <cell r="H1000">
            <v>3.4000000000000002E-2</v>
          </cell>
          <cell r="I1000">
            <v>3.2000000000000001E-2</v>
          </cell>
          <cell r="J1000">
            <v>3.6999999999999998E-2</v>
          </cell>
          <cell r="K1000">
            <v>3.1E-2</v>
          </cell>
          <cell r="L1000">
            <v>2.5999999999999999E-2</v>
          </cell>
          <cell r="M1000">
            <v>2.1999999999999999E-2</v>
          </cell>
          <cell r="N1000">
            <v>1.9E-2</v>
          </cell>
          <cell r="O1000">
            <v>1.6E-2</v>
          </cell>
          <cell r="P1000">
            <v>1.9E-2</v>
          </cell>
          <cell r="Q1000">
            <v>1.7000000000000001E-2</v>
          </cell>
          <cell r="R1000">
            <v>1.4E-2</v>
          </cell>
          <cell r="S1000">
            <v>5.2999999999999999E-2</v>
          </cell>
          <cell r="T1000">
            <v>1.2E-2</v>
          </cell>
          <cell r="U1000">
            <v>0.01</v>
          </cell>
          <cell r="V1000">
            <v>8.9999999999999993E-3</v>
          </cell>
          <cell r="W1000">
            <v>8.0000000000000002E-3</v>
          </cell>
          <cell r="X1000">
            <v>7.0000000000000001E-3</v>
          </cell>
          <cell r="Y1000">
            <v>6.0000000000000001E-3</v>
          </cell>
          <cell r="Z1000">
            <v>5.0000000000000001E-3</v>
          </cell>
          <cell r="AA1000">
            <v>5.0000000000000001E-3</v>
          </cell>
          <cell r="AB1000">
            <v>4.0000000000000001E-3</v>
          </cell>
          <cell r="AC1000">
            <v>4.0000000000000001E-3</v>
          </cell>
        </row>
        <row r="1001">
          <cell r="A1001" t="str">
            <v>Thermal comfort Oil fuel (Billion euro/year)</v>
          </cell>
          <cell r="C1001">
            <v>1.2999999999999999E-2</v>
          </cell>
          <cell r="D1001">
            <v>1.0999999999999999E-2</v>
          </cell>
          <cell r="E1001">
            <v>2.1999999999999999E-2</v>
          </cell>
          <cell r="F1001">
            <v>2.5000000000000001E-2</v>
          </cell>
          <cell r="G1001">
            <v>1.9E-2</v>
          </cell>
          <cell r="H1001">
            <v>1.6E-2</v>
          </cell>
          <cell r="I1001">
            <v>1.0999999999999999E-2</v>
          </cell>
          <cell r="J1001">
            <v>8.9999999999999993E-3</v>
          </cell>
          <cell r="K1001">
            <v>5.0000000000000001E-3</v>
          </cell>
          <cell r="L1001">
            <v>3.0000000000000001E-3</v>
          </cell>
          <cell r="M1001">
            <v>2E-3</v>
          </cell>
          <cell r="N1001">
            <v>1E-3</v>
          </cell>
        </row>
        <row r="1002">
          <cell r="A1002" t="str">
            <v>Thermal comfort Wood fuel (Billion euro/year)</v>
          </cell>
          <cell r="C1002">
            <v>6.0000000000000001E-3</v>
          </cell>
          <cell r="D1002">
            <v>6.0000000000000001E-3</v>
          </cell>
          <cell r="E1002">
            <v>7.0000000000000001E-3</v>
          </cell>
          <cell r="F1002">
            <v>7.0000000000000001E-3</v>
          </cell>
          <cell r="G1002">
            <v>7.0000000000000001E-3</v>
          </cell>
          <cell r="H1002">
            <v>7.0000000000000001E-3</v>
          </cell>
          <cell r="I1002">
            <v>8.0000000000000002E-3</v>
          </cell>
          <cell r="J1002">
            <v>8.0000000000000002E-3</v>
          </cell>
          <cell r="K1002">
            <v>7.0000000000000001E-3</v>
          </cell>
          <cell r="L1002">
            <v>7.0000000000000001E-3</v>
          </cell>
          <cell r="M1002">
            <v>7.0000000000000001E-3</v>
          </cell>
          <cell r="N1002">
            <v>7.0000000000000001E-3</v>
          </cell>
          <cell r="O1002">
            <v>5.0000000000000001E-3</v>
          </cell>
          <cell r="P1002">
            <v>5.0000000000000001E-3</v>
          </cell>
          <cell r="Q1002">
            <v>5.0000000000000001E-3</v>
          </cell>
          <cell r="R1002">
            <v>5.0000000000000001E-3</v>
          </cell>
          <cell r="S1002">
            <v>7.0000000000000001E-3</v>
          </cell>
          <cell r="T1002">
            <v>5.0000000000000001E-3</v>
          </cell>
          <cell r="U1002">
            <v>5.0000000000000001E-3</v>
          </cell>
          <cell r="V1002">
            <v>5.0000000000000001E-3</v>
          </cell>
          <cell r="W1002">
            <v>3.0000000000000001E-3</v>
          </cell>
          <cell r="X1002">
            <v>3.0000000000000001E-3</v>
          </cell>
          <cell r="Y1002">
            <v>3.0000000000000001E-3</v>
          </cell>
          <cell r="Z1002">
            <v>3.0000000000000001E-3</v>
          </cell>
          <cell r="AA1002">
            <v>3.0000000000000001E-3</v>
          </cell>
          <cell r="AB1002">
            <v>2E-3</v>
          </cell>
          <cell r="AC1002">
            <v>2E-3</v>
          </cell>
        </row>
        <row r="1003">
          <cell r="A1003" t="str">
            <v>Thermal loss prices (Billion euro)</v>
          </cell>
          <cell r="C1003">
            <v>0.27400000000000002</v>
          </cell>
          <cell r="D1003">
            <v>0.191</v>
          </cell>
          <cell r="E1003">
            <v>5.5E-2</v>
          </cell>
          <cell r="F1003">
            <v>0.26</v>
          </cell>
          <cell r="G1003">
            <v>1.4999999999999999E-2</v>
          </cell>
          <cell r="H1003">
            <v>1.7000000000000001E-2</v>
          </cell>
          <cell r="I1003">
            <v>1.0999999999999999E-2</v>
          </cell>
          <cell r="J1003">
            <v>4.1000000000000002E-2</v>
          </cell>
          <cell r="K1003">
            <v>3.3000000000000002E-2</v>
          </cell>
          <cell r="L1003">
            <v>2.5000000000000001E-2</v>
          </cell>
          <cell r="M1003">
            <v>1.7999999999999999E-2</v>
          </cell>
          <cell r="N1003">
            <v>1.7000000000000001E-2</v>
          </cell>
          <cell r="O1003">
            <v>6.0000000000000001E-3</v>
          </cell>
          <cell r="P1003">
            <v>5.0000000000000001E-3</v>
          </cell>
          <cell r="Q1003">
            <v>1.4E-2</v>
          </cell>
          <cell r="R1003">
            <v>0</v>
          </cell>
          <cell r="S1003">
            <v>1.76</v>
          </cell>
          <cell r="T1003">
            <v>-0.83899999999999997</v>
          </cell>
          <cell r="U1003">
            <v>-8.0000000000000002E-3</v>
          </cell>
          <cell r="V1003">
            <v>-6.0000000000000001E-3</v>
          </cell>
          <cell r="W1003">
            <v>-7.0000000000000001E-3</v>
          </cell>
          <cell r="X1003">
            <v>-6.0000000000000001E-3</v>
          </cell>
          <cell r="Y1003">
            <v>-1.7000000000000001E-2</v>
          </cell>
          <cell r="Z1003">
            <v>-1.6E-2</v>
          </cell>
          <cell r="AA1003">
            <v>-1.6E-2</v>
          </cell>
          <cell r="AB1003">
            <v>-1.6E-2</v>
          </cell>
          <cell r="AC1003">
            <v>-1.4999999999999999E-2</v>
          </cell>
        </row>
        <row r="1004">
          <cell r="A1004" t="str">
            <v>To pay heater C1 (Billion euro/year)</v>
          </cell>
          <cell r="C1004">
            <v>2.056</v>
          </cell>
          <cell r="D1004">
            <v>2.202</v>
          </cell>
          <cell r="E1004">
            <v>1.8380000000000001</v>
          </cell>
          <cell r="F1004">
            <v>1.909</v>
          </cell>
          <cell r="G1004">
            <v>1.6890000000000001</v>
          </cell>
          <cell r="H1004">
            <v>1.4419999999999999</v>
          </cell>
          <cell r="I1004">
            <v>1.212</v>
          </cell>
          <cell r="J1004">
            <v>1.51</v>
          </cell>
          <cell r="K1004">
            <v>1.2649999999999999</v>
          </cell>
          <cell r="L1004">
            <v>1.3240000000000001</v>
          </cell>
          <cell r="M1004">
            <v>1.4039999999999999</v>
          </cell>
          <cell r="N1004">
            <v>1.472</v>
          </cell>
          <cell r="O1004">
            <v>1.3360000000000001</v>
          </cell>
          <cell r="P1004">
            <v>1.464</v>
          </cell>
          <cell r="Q1004">
            <v>1.5329999999999999</v>
          </cell>
          <cell r="R1004">
            <v>1.3859999999999999</v>
          </cell>
          <cell r="S1004">
            <v>1.5389999999999999</v>
          </cell>
          <cell r="T1004">
            <v>1.34</v>
          </cell>
          <cell r="U1004">
            <v>1.353</v>
          </cell>
          <cell r="V1004">
            <v>1.2549999999999999</v>
          </cell>
          <cell r="W1004">
            <v>1.375</v>
          </cell>
          <cell r="X1004">
            <v>1.272</v>
          </cell>
          <cell r="Y1004">
            <v>1.4430000000000001</v>
          </cell>
          <cell r="Z1004">
            <v>1.3480000000000001</v>
          </cell>
          <cell r="AA1004">
            <v>1.377</v>
          </cell>
          <cell r="AB1004">
            <v>1.4159999999999999</v>
          </cell>
          <cell r="AC1004">
            <v>1.448</v>
          </cell>
        </row>
        <row r="1005">
          <cell r="A1005" t="str">
            <v>To pay heater C2 (Billion euro/year)</v>
          </cell>
          <cell r="C1005">
            <v>2.2549999999999999</v>
          </cell>
          <cell r="D1005">
            <v>2.3719999999999999</v>
          </cell>
          <cell r="E1005">
            <v>2.0259999999999998</v>
          </cell>
          <cell r="F1005">
            <v>2.077</v>
          </cell>
          <cell r="G1005">
            <v>1.8859999999999999</v>
          </cell>
          <cell r="H1005">
            <v>1.675</v>
          </cell>
          <cell r="I1005">
            <v>1.48</v>
          </cell>
          <cell r="J1005">
            <v>1.724</v>
          </cell>
          <cell r="K1005">
            <v>1.5149999999999999</v>
          </cell>
          <cell r="L1005">
            <v>1.56</v>
          </cell>
          <cell r="M1005">
            <v>1.621</v>
          </cell>
          <cell r="N1005">
            <v>1.6719999999999999</v>
          </cell>
          <cell r="O1005">
            <v>1.4730000000000001</v>
          </cell>
          <cell r="P1005">
            <v>1.5780000000000001</v>
          </cell>
          <cell r="Q1005">
            <v>1.6319999999999999</v>
          </cell>
          <cell r="R1005">
            <v>1.4750000000000001</v>
          </cell>
          <cell r="S1005">
            <v>1.6080000000000001</v>
          </cell>
          <cell r="T1005">
            <v>1.415</v>
          </cell>
          <cell r="U1005">
            <v>1.4219999999999999</v>
          </cell>
          <cell r="V1005">
            <v>1.3220000000000001</v>
          </cell>
          <cell r="W1005">
            <v>1.5349999999999999</v>
          </cell>
          <cell r="X1005">
            <v>1.4510000000000001</v>
          </cell>
          <cell r="Y1005">
            <v>1.5940000000000001</v>
          </cell>
          <cell r="Z1005">
            <v>1.5169999999999999</v>
          </cell>
          <cell r="AA1005">
            <v>1.5229999999999999</v>
          </cell>
          <cell r="AB1005">
            <v>1.536</v>
          </cell>
          <cell r="AC1005">
            <v>1.5429999999999999</v>
          </cell>
        </row>
        <row r="1006">
          <cell r="A1006" t="str">
            <v>To pay heater C3 (Billion euro/year)</v>
          </cell>
          <cell r="C1006">
            <v>2.5169999999999999</v>
          </cell>
          <cell r="D1006">
            <v>2.6160000000000001</v>
          </cell>
          <cell r="E1006">
            <v>2.274</v>
          </cell>
          <cell r="F1006">
            <v>2.3180000000000001</v>
          </cell>
          <cell r="G1006">
            <v>2.137</v>
          </cell>
          <cell r="H1006">
            <v>1.9410000000000001</v>
          </cell>
          <cell r="I1006">
            <v>1.762</v>
          </cell>
          <cell r="J1006">
            <v>1.98</v>
          </cell>
          <cell r="K1006">
            <v>1.7889999999999999</v>
          </cell>
          <cell r="L1006">
            <v>1.8280000000000001</v>
          </cell>
          <cell r="M1006">
            <v>1.879</v>
          </cell>
          <cell r="N1006">
            <v>1.921</v>
          </cell>
          <cell r="O1006">
            <v>1.66</v>
          </cell>
          <cell r="P1006">
            <v>1.7490000000000001</v>
          </cell>
          <cell r="Q1006">
            <v>1.792</v>
          </cell>
          <cell r="R1006">
            <v>1.623</v>
          </cell>
          <cell r="S1006">
            <v>1.742</v>
          </cell>
          <cell r="T1006">
            <v>1.546</v>
          </cell>
          <cell r="U1006">
            <v>1.5469999999999999</v>
          </cell>
          <cell r="V1006">
            <v>1.4419999999999999</v>
          </cell>
          <cell r="W1006">
            <v>1.8140000000000001</v>
          </cell>
          <cell r="X1006">
            <v>1.7509999999999999</v>
          </cell>
          <cell r="Y1006">
            <v>1.8680000000000001</v>
          </cell>
          <cell r="Z1006">
            <v>1.81</v>
          </cell>
          <cell r="AA1006">
            <v>1.79</v>
          </cell>
          <cell r="AB1006">
            <v>1.7749999999999999</v>
          </cell>
          <cell r="AC1006">
            <v>1.754</v>
          </cell>
        </row>
        <row r="1007">
          <cell r="A1007" t="str">
            <v>To pay heater C4 (Billion euro/year)</v>
          </cell>
          <cell r="C1007">
            <v>2.54</v>
          </cell>
          <cell r="D1007">
            <v>2.625</v>
          </cell>
          <cell r="E1007">
            <v>2.3039999999999998</v>
          </cell>
          <cell r="F1007">
            <v>2.3410000000000002</v>
          </cell>
          <cell r="G1007">
            <v>2.1739999999999999</v>
          </cell>
          <cell r="H1007">
            <v>1.9950000000000001</v>
          </cell>
          <cell r="I1007">
            <v>1.833</v>
          </cell>
          <cell r="J1007">
            <v>2.0259999999999998</v>
          </cell>
          <cell r="K1007">
            <v>1.857</v>
          </cell>
          <cell r="L1007">
            <v>1.897</v>
          </cell>
          <cell r="M1007">
            <v>1.9470000000000001</v>
          </cell>
          <cell r="N1007">
            <v>1.9870000000000001</v>
          </cell>
          <cell r="O1007">
            <v>1.722</v>
          </cell>
          <cell r="P1007">
            <v>1.8</v>
          </cell>
          <cell r="Q1007">
            <v>1.835</v>
          </cell>
          <cell r="R1007">
            <v>1.6539999999999999</v>
          </cell>
          <cell r="S1007">
            <v>1.766</v>
          </cell>
          <cell r="T1007">
            <v>1.5669999999999999</v>
          </cell>
          <cell r="U1007">
            <v>1.5629999999999999</v>
          </cell>
          <cell r="V1007">
            <v>1.454</v>
          </cell>
          <cell r="W1007">
            <v>1.89</v>
          </cell>
          <cell r="X1007">
            <v>1.8320000000000001</v>
          </cell>
          <cell r="Y1007">
            <v>1.94</v>
          </cell>
          <cell r="Z1007">
            <v>1.887</v>
          </cell>
          <cell r="AA1007">
            <v>1.857</v>
          </cell>
          <cell r="AB1007">
            <v>1.831</v>
          </cell>
          <cell r="AC1007">
            <v>1.7989999999999999</v>
          </cell>
        </row>
        <row r="1008">
          <cell r="A1008" t="str">
            <v>To pay heater C5 (Billion euro/year)</v>
          </cell>
          <cell r="C1008">
            <v>2.6819999999999999</v>
          </cell>
          <cell r="D1008">
            <v>2.7730000000000001</v>
          </cell>
          <cell r="E1008">
            <v>2.536</v>
          </cell>
          <cell r="F1008">
            <v>2.5880000000000001</v>
          </cell>
          <cell r="G1008">
            <v>2.411</v>
          </cell>
          <cell r="H1008">
            <v>2.2250000000000001</v>
          </cell>
          <cell r="I1008">
            <v>2.056</v>
          </cell>
          <cell r="J1008">
            <v>2.2629999999999999</v>
          </cell>
          <cell r="K1008">
            <v>2.0859999999999999</v>
          </cell>
          <cell r="L1008">
            <v>2.1259999999999999</v>
          </cell>
          <cell r="M1008">
            <v>2.1760000000000002</v>
          </cell>
          <cell r="N1008">
            <v>2.2149999999999999</v>
          </cell>
          <cell r="O1008">
            <v>1.9</v>
          </cell>
          <cell r="P1008">
            <v>1.978</v>
          </cell>
          <cell r="Q1008">
            <v>2.0110000000000001</v>
          </cell>
          <cell r="R1008">
            <v>1.7929999999999999</v>
          </cell>
          <cell r="S1008">
            <v>1.9119999999999999</v>
          </cell>
          <cell r="T1008">
            <v>1.681</v>
          </cell>
          <cell r="U1008">
            <v>1.6739999999999999</v>
          </cell>
          <cell r="V1008">
            <v>1.548</v>
          </cell>
          <cell r="W1008">
            <v>2.153</v>
          </cell>
          <cell r="X1008">
            <v>2.0920000000000001</v>
          </cell>
          <cell r="Y1008">
            <v>2.198</v>
          </cell>
          <cell r="Z1008">
            <v>2.141</v>
          </cell>
          <cell r="AA1008">
            <v>2.101</v>
          </cell>
          <cell r="AB1008">
            <v>2.0640000000000001</v>
          </cell>
          <cell r="AC1008">
            <v>2.0209999999999999</v>
          </cell>
        </row>
        <row r="1009">
          <cell r="A1009" t="str">
            <v>To pay insulation C1 (Billion euro/year)</v>
          </cell>
          <cell r="C1009">
            <v>0.64</v>
          </cell>
          <cell r="D1009">
            <v>0.66300000000000003</v>
          </cell>
          <cell r="E1009">
            <v>1.2</v>
          </cell>
          <cell r="F1009">
            <v>1.206</v>
          </cell>
          <cell r="G1009">
            <v>1.125</v>
          </cell>
          <cell r="H1009">
            <v>1.07</v>
          </cell>
          <cell r="I1009">
            <v>1.0509999999999999</v>
          </cell>
          <cell r="J1009">
            <v>1.3759999999999999</v>
          </cell>
          <cell r="K1009">
            <v>1.2370000000000001</v>
          </cell>
          <cell r="L1009">
            <v>1.18</v>
          </cell>
          <cell r="M1009">
            <v>1.194</v>
          </cell>
          <cell r="N1009">
            <v>1.129</v>
          </cell>
          <cell r="O1009">
            <v>1.0720000000000001</v>
          </cell>
          <cell r="P1009">
            <v>1.486</v>
          </cell>
          <cell r="Q1009">
            <v>1.4379999999999999</v>
          </cell>
          <cell r="R1009">
            <v>1.4139999999999999</v>
          </cell>
          <cell r="S1009">
            <v>1.641</v>
          </cell>
          <cell r="T1009">
            <v>1.379</v>
          </cell>
          <cell r="U1009">
            <v>1.3180000000000001</v>
          </cell>
          <cell r="V1009">
            <v>1.1120000000000001</v>
          </cell>
          <cell r="W1009">
            <v>1.137</v>
          </cell>
          <cell r="X1009">
            <v>1.075</v>
          </cell>
          <cell r="Y1009">
            <v>1.0189999999999999</v>
          </cell>
          <cell r="Z1009">
            <v>0.96699999999999997</v>
          </cell>
          <cell r="AA1009">
            <v>0.92</v>
          </cell>
          <cell r="AB1009">
            <v>0.874</v>
          </cell>
          <cell r="AC1009">
            <v>0.84399999999999997</v>
          </cell>
        </row>
        <row r="1010">
          <cell r="A1010" t="str">
            <v>To pay insulation C2 (Billion euro/year)</v>
          </cell>
          <cell r="C1010">
            <v>0.63800000000000001</v>
          </cell>
          <cell r="D1010">
            <v>0.68</v>
          </cell>
          <cell r="E1010">
            <v>1.3129999999999999</v>
          </cell>
          <cell r="F1010">
            <v>1.333</v>
          </cell>
          <cell r="G1010">
            <v>1.32</v>
          </cell>
          <cell r="H1010">
            <v>1.2909999999999999</v>
          </cell>
          <cell r="I1010">
            <v>1.3009999999999999</v>
          </cell>
          <cell r="J1010">
            <v>1.5529999999999999</v>
          </cell>
          <cell r="K1010">
            <v>1.385</v>
          </cell>
          <cell r="L1010">
            <v>1.294</v>
          </cell>
          <cell r="M1010">
            <v>1.264</v>
          </cell>
          <cell r="N1010">
            <v>1.1839999999999999</v>
          </cell>
          <cell r="O1010">
            <v>1.143</v>
          </cell>
          <cell r="P1010">
            <v>1.544</v>
          </cell>
          <cell r="Q1010">
            <v>1.492</v>
          </cell>
          <cell r="R1010">
            <v>1.4390000000000001</v>
          </cell>
          <cell r="S1010">
            <v>1.8180000000000001</v>
          </cell>
          <cell r="T1010">
            <v>1.5</v>
          </cell>
          <cell r="U1010">
            <v>1.42</v>
          </cell>
          <cell r="V1010">
            <v>1.216</v>
          </cell>
          <cell r="W1010">
            <v>1.2130000000000001</v>
          </cell>
          <cell r="X1010">
            <v>1.149</v>
          </cell>
          <cell r="Y1010">
            <v>1.091</v>
          </cell>
          <cell r="Z1010">
            <v>1.0369999999999999</v>
          </cell>
          <cell r="AA1010">
            <v>0.98799999999999999</v>
          </cell>
          <cell r="AB1010">
            <v>0.94199999999999995</v>
          </cell>
          <cell r="AC1010">
            <v>0.94199999999999995</v>
          </cell>
        </row>
        <row r="1011">
          <cell r="A1011" t="str">
            <v>To pay insulation C3 (Billion euro/year)</v>
          </cell>
          <cell r="C1011">
            <v>1.343</v>
          </cell>
          <cell r="D1011">
            <v>1.2989999999999999</v>
          </cell>
          <cell r="E1011">
            <v>1.85</v>
          </cell>
          <cell r="F1011">
            <v>1.7709999999999999</v>
          </cell>
          <cell r="G1011">
            <v>1.5369999999999999</v>
          </cell>
          <cell r="H1011">
            <v>1.5369999999999999</v>
          </cell>
          <cell r="I1011">
            <v>1.5369999999999999</v>
          </cell>
          <cell r="J1011">
            <v>1.605</v>
          </cell>
          <cell r="K1011">
            <v>1.401</v>
          </cell>
          <cell r="L1011">
            <v>1.272</v>
          </cell>
          <cell r="M1011">
            <v>1.1930000000000001</v>
          </cell>
          <cell r="N1011">
            <v>1.093</v>
          </cell>
          <cell r="O1011">
            <v>1.0660000000000001</v>
          </cell>
          <cell r="P1011">
            <v>1.41</v>
          </cell>
          <cell r="Q1011">
            <v>1.3680000000000001</v>
          </cell>
          <cell r="R1011">
            <v>1.29</v>
          </cell>
          <cell r="S1011">
            <v>1.76</v>
          </cell>
          <cell r="T1011">
            <v>1.385</v>
          </cell>
          <cell r="U1011">
            <v>1.2989999999999999</v>
          </cell>
          <cell r="V1011">
            <v>1.149</v>
          </cell>
          <cell r="W1011">
            <v>1.123</v>
          </cell>
          <cell r="X1011">
            <v>1.0660000000000001</v>
          </cell>
          <cell r="Y1011">
            <v>1.0149999999999999</v>
          </cell>
          <cell r="Z1011">
            <v>0.96599999999999997</v>
          </cell>
          <cell r="AA1011">
            <v>0.92200000000000004</v>
          </cell>
          <cell r="AB1011">
            <v>0.88</v>
          </cell>
          <cell r="AC1011">
            <v>0.86299999999999999</v>
          </cell>
        </row>
        <row r="1012">
          <cell r="A1012" t="str">
            <v>To pay insulation C4 (Billion euro/year)</v>
          </cell>
          <cell r="C1012">
            <v>1.1819999999999999</v>
          </cell>
          <cell r="D1012">
            <v>1.1299999999999999</v>
          </cell>
          <cell r="E1012">
            <v>1.72</v>
          </cell>
          <cell r="F1012">
            <v>1.6830000000000001</v>
          </cell>
          <cell r="G1012">
            <v>1.47</v>
          </cell>
          <cell r="H1012">
            <v>1.512</v>
          </cell>
          <cell r="I1012">
            <v>1.4790000000000001</v>
          </cell>
          <cell r="J1012">
            <v>1.53</v>
          </cell>
          <cell r="K1012">
            <v>1.339</v>
          </cell>
          <cell r="L1012">
            <v>1.198</v>
          </cell>
          <cell r="M1012">
            <v>1.0980000000000001</v>
          </cell>
          <cell r="N1012">
            <v>1.0029999999999999</v>
          </cell>
          <cell r="O1012">
            <v>1</v>
          </cell>
          <cell r="P1012">
            <v>1.2669999999999999</v>
          </cell>
          <cell r="Q1012">
            <v>1.23</v>
          </cell>
          <cell r="R1012">
            <v>1.145</v>
          </cell>
          <cell r="S1012">
            <v>1.6970000000000001</v>
          </cell>
          <cell r="T1012">
            <v>1.282</v>
          </cell>
          <cell r="U1012">
            <v>1.196</v>
          </cell>
          <cell r="V1012">
            <v>1.0880000000000001</v>
          </cell>
          <cell r="W1012">
            <v>1.0469999999999999</v>
          </cell>
          <cell r="X1012">
            <v>0.996</v>
          </cell>
          <cell r="Y1012">
            <v>0.94899999999999995</v>
          </cell>
          <cell r="Z1012">
            <v>0.90500000000000003</v>
          </cell>
          <cell r="AA1012">
            <v>0.86499999999999999</v>
          </cell>
          <cell r="AB1012">
            <v>0.82799999999999996</v>
          </cell>
          <cell r="AC1012">
            <v>0.81699999999999995</v>
          </cell>
        </row>
        <row r="1013">
          <cell r="A1013" t="str">
            <v>To pay insulation C5 (Billion euro/year)</v>
          </cell>
          <cell r="C1013">
            <v>1.5760000000000001</v>
          </cell>
          <cell r="D1013">
            <v>1.4219999999999999</v>
          </cell>
          <cell r="E1013">
            <v>1.984</v>
          </cell>
          <cell r="F1013">
            <v>1.887</v>
          </cell>
          <cell r="G1013">
            <v>1.6020000000000001</v>
          </cell>
          <cell r="H1013">
            <v>1.7450000000000001</v>
          </cell>
          <cell r="I1013">
            <v>1.631</v>
          </cell>
          <cell r="J1013">
            <v>1.5980000000000001</v>
          </cell>
          <cell r="K1013">
            <v>1.3779999999999999</v>
          </cell>
          <cell r="L1013">
            <v>1.21</v>
          </cell>
          <cell r="M1013">
            <v>1.081</v>
          </cell>
          <cell r="N1013">
            <v>0.97599999999999998</v>
          </cell>
          <cell r="O1013">
            <v>1.0049999999999999</v>
          </cell>
          <cell r="P1013">
            <v>1.177</v>
          </cell>
          <cell r="Q1013">
            <v>1.163</v>
          </cell>
          <cell r="R1013">
            <v>1.07</v>
          </cell>
          <cell r="S1013">
            <v>2.0920000000000001</v>
          </cell>
          <cell r="T1013">
            <v>1.2450000000000001</v>
          </cell>
          <cell r="U1013">
            <v>1.157</v>
          </cell>
          <cell r="V1013">
            <v>1.069</v>
          </cell>
          <cell r="W1013">
            <v>1.0169999999999999</v>
          </cell>
          <cell r="X1013">
            <v>0.96899999999999997</v>
          </cell>
          <cell r="Y1013">
            <v>0.92200000000000004</v>
          </cell>
          <cell r="Z1013">
            <v>0.879</v>
          </cell>
          <cell r="AA1013">
            <v>0.83899999999999997</v>
          </cell>
          <cell r="AB1013">
            <v>0.80300000000000005</v>
          </cell>
          <cell r="AC1013">
            <v>0.80300000000000005</v>
          </cell>
        </row>
        <row r="1014">
          <cell r="A1014" t="str">
            <v>Total expenditure C1 (Billion euro)</v>
          </cell>
          <cell r="C1014">
            <v>7.2789999999999999</v>
          </cell>
          <cell r="D1014">
            <v>7.452</v>
          </cell>
          <cell r="E1014">
            <v>7.516</v>
          </cell>
          <cell r="F1014">
            <v>7.548</v>
          </cell>
          <cell r="G1014">
            <v>7.125</v>
          </cell>
          <cell r="H1014">
            <v>6.7060000000000004</v>
          </cell>
          <cell r="I1014">
            <v>6.3330000000000002</v>
          </cell>
          <cell r="J1014">
            <v>6.8380000000000001</v>
          </cell>
          <cell r="K1014">
            <v>6.3419999999999996</v>
          </cell>
          <cell r="L1014">
            <v>6.2439999999999998</v>
          </cell>
          <cell r="M1014">
            <v>6.242</v>
          </cell>
          <cell r="N1014">
            <v>6.1589999999999998</v>
          </cell>
          <cell r="O1014">
            <v>5.8929999999999998</v>
          </cell>
          <cell r="P1014">
            <v>6.3559999999999999</v>
          </cell>
          <cell r="Q1014">
            <v>6.306</v>
          </cell>
          <cell r="R1014">
            <v>6.0679999999999996</v>
          </cell>
          <cell r="S1014">
            <v>6.8410000000000002</v>
          </cell>
          <cell r="T1014">
            <v>5.84</v>
          </cell>
          <cell r="U1014">
            <v>5.7279999999999998</v>
          </cell>
          <cell r="V1014">
            <v>5.367</v>
          </cell>
          <cell r="W1014">
            <v>5.4770000000000003</v>
          </cell>
          <cell r="X1014">
            <v>5.28</v>
          </cell>
          <cell r="Y1014">
            <v>5.3609999999999998</v>
          </cell>
          <cell r="Z1014">
            <v>5.1820000000000004</v>
          </cell>
          <cell r="AA1014">
            <v>5.1340000000000003</v>
          </cell>
          <cell r="AB1014">
            <v>5.1029999999999998</v>
          </cell>
          <cell r="AC1014">
            <v>5.08</v>
          </cell>
        </row>
        <row r="1015">
          <cell r="A1015" t="str">
            <v>Total expenditure C1 (Thousand euro/hh)</v>
          </cell>
          <cell r="C1015">
            <v>1.238</v>
          </cell>
          <cell r="D1015">
            <v>1.256</v>
          </cell>
          <cell r="E1015">
            <v>1.2549999999999999</v>
          </cell>
          <cell r="F1015">
            <v>1.2490000000000001</v>
          </cell>
          <cell r="G1015">
            <v>1.1679999999999999</v>
          </cell>
          <cell r="H1015">
            <v>1.0900000000000001</v>
          </cell>
          <cell r="I1015">
            <v>1.0229999999999999</v>
          </cell>
          <cell r="J1015">
            <v>1.097</v>
          </cell>
          <cell r="K1015">
            <v>1.012</v>
          </cell>
          <cell r="L1015">
            <v>0.99</v>
          </cell>
          <cell r="M1015">
            <v>0.98399999999999999</v>
          </cell>
          <cell r="N1015">
            <v>0.96499999999999997</v>
          </cell>
          <cell r="O1015">
            <v>0.91700000000000004</v>
          </cell>
          <cell r="P1015">
            <v>0.98299999999999998</v>
          </cell>
          <cell r="Q1015">
            <v>0.97</v>
          </cell>
          <cell r="R1015">
            <v>0.92800000000000005</v>
          </cell>
          <cell r="S1015">
            <v>1.044</v>
          </cell>
          <cell r="T1015">
            <v>0.88900000000000001</v>
          </cell>
          <cell r="U1015">
            <v>0.87</v>
          </cell>
          <cell r="V1015">
            <v>0.81399999999999995</v>
          </cell>
          <cell r="W1015">
            <v>0.82899999999999996</v>
          </cell>
          <cell r="X1015">
            <v>0.79700000000000004</v>
          </cell>
          <cell r="Y1015">
            <v>0.80800000000000005</v>
          </cell>
          <cell r="Z1015">
            <v>0.77900000000000003</v>
          </cell>
          <cell r="AA1015">
            <v>0.77</v>
          </cell>
          <cell r="AB1015">
            <v>0.76400000000000001</v>
          </cell>
          <cell r="AC1015">
            <v>0.75900000000000001</v>
          </cell>
        </row>
        <row r="1016">
          <cell r="A1016" t="str">
            <v>Total expenditure C2 (Billion euro)</v>
          </cell>
          <cell r="C1016">
            <v>8.7189999999999994</v>
          </cell>
          <cell r="D1016">
            <v>8.8889999999999993</v>
          </cell>
          <cell r="E1016">
            <v>9.0549999999999997</v>
          </cell>
          <cell r="F1016">
            <v>9.0860000000000003</v>
          </cell>
          <cell r="G1016">
            <v>8.7370000000000001</v>
          </cell>
          <cell r="H1016">
            <v>8.3539999999999992</v>
          </cell>
          <cell r="I1016">
            <v>8.0210000000000008</v>
          </cell>
          <cell r="J1016">
            <v>8.3789999999999996</v>
          </cell>
          <cell r="K1016">
            <v>7.8730000000000002</v>
          </cell>
          <cell r="L1016">
            <v>7.7060000000000004</v>
          </cell>
          <cell r="M1016">
            <v>7.6230000000000002</v>
          </cell>
          <cell r="N1016">
            <v>7.49</v>
          </cell>
          <cell r="O1016">
            <v>7.1630000000000003</v>
          </cell>
          <cell r="P1016">
            <v>7.5739999999999998</v>
          </cell>
          <cell r="Q1016">
            <v>7.492</v>
          </cell>
          <cell r="R1016">
            <v>7.202</v>
          </cell>
          <cell r="S1016">
            <v>8.1720000000000006</v>
          </cell>
          <cell r="T1016">
            <v>7.0149999999999997</v>
          </cell>
          <cell r="U1016">
            <v>6.8609999999999998</v>
          </cell>
          <cell r="V1016">
            <v>6.4859999999999998</v>
          </cell>
          <cell r="W1016">
            <v>6.6520000000000001</v>
          </cell>
          <cell r="X1016">
            <v>6.4649999999999999</v>
          </cell>
          <cell r="Y1016">
            <v>6.5090000000000003</v>
          </cell>
          <cell r="Z1016">
            <v>6.3380000000000001</v>
          </cell>
          <cell r="AA1016">
            <v>6.2590000000000003</v>
          </cell>
          <cell r="AB1016">
            <v>6.1950000000000003</v>
          </cell>
          <cell r="AC1016">
            <v>6.1719999999999997</v>
          </cell>
        </row>
        <row r="1017">
          <cell r="A1017" t="str">
            <v>Total expenditure C2 (Thousand euro/hh)</v>
          </cell>
          <cell r="C1017">
            <v>1.411</v>
          </cell>
          <cell r="D1017">
            <v>1.4259999999999999</v>
          </cell>
          <cell r="E1017">
            <v>1.44</v>
          </cell>
          <cell r="F1017">
            <v>1.4319999999999999</v>
          </cell>
          <cell r="G1017">
            <v>1.365</v>
          </cell>
          <cell r="H1017">
            <v>1.2949999999999999</v>
          </cell>
          <cell r="I1017">
            <v>1.236</v>
          </cell>
          <cell r="J1017">
            <v>1.284</v>
          </cell>
          <cell r="K1017">
            <v>1.2</v>
          </cell>
          <cell r="L1017">
            <v>1.167</v>
          </cell>
          <cell r="M1017">
            <v>1.1479999999999999</v>
          </cell>
          <cell r="N1017">
            <v>1.1220000000000001</v>
          </cell>
          <cell r="O1017">
            <v>1.0669999999999999</v>
          </cell>
          <cell r="P1017">
            <v>1.1220000000000001</v>
          </cell>
          <cell r="Q1017">
            <v>1.1040000000000001</v>
          </cell>
          <cell r="R1017">
            <v>1.056</v>
          </cell>
          <cell r="S1017">
            <v>1.196</v>
          </cell>
          <cell r="T1017">
            <v>1.0249999999999999</v>
          </cell>
          <cell r="U1017">
            <v>1.0009999999999999</v>
          </cell>
          <cell r="V1017">
            <v>0.94399999999999995</v>
          </cell>
          <cell r="W1017">
            <v>0.96699999999999997</v>
          </cell>
          <cell r="X1017">
            <v>0.93799999999999994</v>
          </cell>
          <cell r="Y1017">
            <v>0.94299999999999995</v>
          </cell>
          <cell r="Z1017">
            <v>0.91700000000000004</v>
          </cell>
          <cell r="AA1017">
            <v>0.90400000000000003</v>
          </cell>
          <cell r="AB1017">
            <v>0.89400000000000002</v>
          </cell>
          <cell r="AC1017">
            <v>0.88900000000000001</v>
          </cell>
        </row>
        <row r="1018">
          <cell r="A1018" t="str">
            <v>Total expenditure C3 (Billion euro)</v>
          </cell>
          <cell r="C1018">
            <v>10.417999999999999</v>
          </cell>
          <cell r="D1018">
            <v>10.452</v>
          </cell>
          <cell r="E1018">
            <v>10.492000000000001</v>
          </cell>
          <cell r="F1018">
            <v>10.388</v>
          </cell>
          <cell r="G1018">
            <v>9.8109999999999999</v>
          </cell>
          <cell r="H1018">
            <v>9.4559999999999995</v>
          </cell>
          <cell r="I1018">
            <v>9.1170000000000009</v>
          </cell>
          <cell r="J1018">
            <v>9.2620000000000005</v>
          </cell>
          <cell r="K1018">
            <v>8.7349999999999994</v>
          </cell>
          <cell r="L1018">
            <v>8.5220000000000002</v>
          </cell>
          <cell r="M1018">
            <v>8.3800000000000008</v>
          </cell>
          <cell r="N1018">
            <v>8.2129999999999992</v>
          </cell>
          <cell r="O1018">
            <v>7.8339999999999996</v>
          </cell>
          <cell r="P1018">
            <v>8.1709999999999994</v>
          </cell>
          <cell r="Q1018">
            <v>8.0860000000000003</v>
          </cell>
          <cell r="R1018">
            <v>7.7560000000000002</v>
          </cell>
          <cell r="S1018">
            <v>8.8490000000000002</v>
          </cell>
          <cell r="T1018">
            <v>7.5819999999999999</v>
          </cell>
          <cell r="U1018">
            <v>7.4139999999999997</v>
          </cell>
          <cell r="V1018">
            <v>7.0880000000000001</v>
          </cell>
          <cell r="W1018">
            <v>7.3940000000000001</v>
          </cell>
          <cell r="X1018">
            <v>7.2380000000000004</v>
          </cell>
          <cell r="Y1018">
            <v>7.2649999999999997</v>
          </cell>
          <cell r="Z1018">
            <v>7.1230000000000002</v>
          </cell>
          <cell r="AA1018">
            <v>7.0270000000000001</v>
          </cell>
          <cell r="AB1018">
            <v>6.9379999999999997</v>
          </cell>
          <cell r="AC1018">
            <v>6.8689999999999998</v>
          </cell>
        </row>
        <row r="1019">
          <cell r="A1019" t="str">
            <v>Total expenditure C3 (Thousand euro/hh)</v>
          </cell>
          <cell r="C1019">
            <v>1.6759999999999999</v>
          </cell>
          <cell r="D1019">
            <v>1.667</v>
          </cell>
          <cell r="E1019">
            <v>1.659</v>
          </cell>
          <cell r="F1019">
            <v>1.629</v>
          </cell>
          <cell r="G1019">
            <v>1.526</v>
          </cell>
          <cell r="H1019">
            <v>1.458</v>
          </cell>
          <cell r="I1019">
            <v>1.3979999999999999</v>
          </cell>
          <cell r="J1019">
            <v>1.4119999999999999</v>
          </cell>
          <cell r="K1019">
            <v>1.325</v>
          </cell>
          <cell r="L1019">
            <v>1.2849999999999999</v>
          </cell>
          <cell r="M1019">
            <v>1.2569999999999999</v>
          </cell>
          <cell r="N1019">
            <v>1.2250000000000001</v>
          </cell>
          <cell r="O1019">
            <v>1.163</v>
          </cell>
          <cell r="P1019">
            <v>1.206</v>
          </cell>
          <cell r="Q1019">
            <v>1.1870000000000001</v>
          </cell>
          <cell r="R1019">
            <v>1.133</v>
          </cell>
          <cell r="S1019">
            <v>1.29</v>
          </cell>
          <cell r="T1019">
            <v>1.1040000000000001</v>
          </cell>
          <cell r="U1019">
            <v>1.077</v>
          </cell>
          <cell r="V1019">
            <v>1.028</v>
          </cell>
          <cell r="W1019">
            <v>1.071</v>
          </cell>
          <cell r="X1019">
            <v>1.046</v>
          </cell>
          <cell r="Y1019">
            <v>1.048</v>
          </cell>
          <cell r="Z1019">
            <v>1.026</v>
          </cell>
          <cell r="AA1019">
            <v>1.0109999999999999</v>
          </cell>
          <cell r="AB1019">
            <v>0.996</v>
          </cell>
          <cell r="AC1019">
            <v>0.98499999999999999</v>
          </cell>
        </row>
        <row r="1020">
          <cell r="A1020" t="str">
            <v>Total expenditure C4 (Billion euro)</v>
          </cell>
          <cell r="C1020">
            <v>10.944000000000001</v>
          </cell>
          <cell r="D1020">
            <v>10.971</v>
          </cell>
          <cell r="E1020">
            <v>11.08</v>
          </cell>
          <cell r="F1020">
            <v>11.028</v>
          </cell>
          <cell r="G1020">
            <v>10.486000000000001</v>
          </cell>
          <cell r="H1020">
            <v>10.186999999999999</v>
          </cell>
          <cell r="I1020">
            <v>9.8260000000000005</v>
          </cell>
          <cell r="J1020">
            <v>9.9220000000000006</v>
          </cell>
          <cell r="K1020">
            <v>9.4220000000000006</v>
          </cell>
          <cell r="L1020">
            <v>9.1880000000000006</v>
          </cell>
          <cell r="M1020">
            <v>9.0129999999999999</v>
          </cell>
          <cell r="N1020">
            <v>8.84</v>
          </cell>
          <cell r="O1020">
            <v>8.4710000000000001</v>
          </cell>
          <cell r="P1020">
            <v>8.7100000000000009</v>
          </cell>
          <cell r="Q1020">
            <v>8.6129999999999995</v>
          </cell>
          <cell r="R1020">
            <v>8.2569999999999997</v>
          </cell>
          <cell r="S1020">
            <v>9.5090000000000003</v>
          </cell>
          <cell r="T1020">
            <v>8.0850000000000009</v>
          </cell>
          <cell r="U1020">
            <v>7.9029999999999996</v>
          </cell>
          <cell r="V1020">
            <v>7.6020000000000003</v>
          </cell>
          <cell r="W1020">
            <v>7.9489999999999998</v>
          </cell>
          <cell r="X1020">
            <v>7.7990000000000004</v>
          </cell>
          <cell r="Y1020">
            <v>7.8120000000000003</v>
          </cell>
          <cell r="Z1020">
            <v>7.6710000000000003</v>
          </cell>
          <cell r="AA1020">
            <v>7.5609999999999999</v>
          </cell>
          <cell r="AB1020">
            <v>7.4619999999999997</v>
          </cell>
          <cell r="AC1020">
            <v>7.3840000000000003</v>
          </cell>
        </row>
        <row r="1021">
          <cell r="A1021" t="str">
            <v>Total expenditure C4 (Thousand euro/hh)</v>
          </cell>
          <cell r="C1021">
            <v>1.7909999999999999</v>
          </cell>
          <cell r="D1021">
            <v>1.78</v>
          </cell>
          <cell r="E1021">
            <v>1.7829999999999999</v>
          </cell>
          <cell r="F1021">
            <v>1.76</v>
          </cell>
          <cell r="G1021">
            <v>1.659</v>
          </cell>
          <cell r="H1021">
            <v>1.599</v>
          </cell>
          <cell r="I1021">
            <v>1.534</v>
          </cell>
          <cell r="J1021">
            <v>1.5409999999999999</v>
          </cell>
          <cell r="K1021">
            <v>1.456</v>
          </cell>
          <cell r="L1021">
            <v>1.4119999999999999</v>
          </cell>
          <cell r="M1021">
            <v>1.3779999999999999</v>
          </cell>
          <cell r="N1021">
            <v>1.345</v>
          </cell>
          <cell r="O1021">
            <v>1.282</v>
          </cell>
          <cell r="P1021">
            <v>1.3120000000000001</v>
          </cell>
          <cell r="Q1021">
            <v>1.2909999999999999</v>
          </cell>
          <cell r="R1021">
            <v>1.2310000000000001</v>
          </cell>
          <cell r="S1021">
            <v>1.4159999999999999</v>
          </cell>
          <cell r="T1021">
            <v>1.2030000000000001</v>
          </cell>
          <cell r="U1021">
            <v>1.175</v>
          </cell>
          <cell r="V1021">
            <v>1.129</v>
          </cell>
          <cell r="W1021">
            <v>1.179</v>
          </cell>
          <cell r="X1021">
            <v>1.155</v>
          </cell>
          <cell r="Y1021">
            <v>1.1559999999999999</v>
          </cell>
          <cell r="Z1021">
            <v>1.1339999999999999</v>
          </cell>
          <cell r="AA1021">
            <v>1.1160000000000001</v>
          </cell>
          <cell r="AB1021">
            <v>1.1000000000000001</v>
          </cell>
          <cell r="AC1021">
            <v>1.0880000000000001</v>
          </cell>
        </row>
        <row r="1022">
          <cell r="A1022" t="str">
            <v>Total expenditure C5 (Billion euro)</v>
          </cell>
          <cell r="C1022">
            <v>12.786</v>
          </cell>
          <cell r="D1022">
            <v>12.688000000000001</v>
          </cell>
          <cell r="E1022">
            <v>12.824</v>
          </cell>
          <cell r="F1022">
            <v>12.736000000000001</v>
          </cell>
          <cell r="G1022">
            <v>12.087999999999999</v>
          </cell>
          <cell r="H1022">
            <v>11.849</v>
          </cell>
          <cell r="I1022">
            <v>11.372999999999999</v>
          </cell>
          <cell r="J1022">
            <v>11.378</v>
          </cell>
          <cell r="K1022">
            <v>10.821999999999999</v>
          </cell>
          <cell r="L1022">
            <v>10.542999999999999</v>
          </cell>
          <cell r="M1022">
            <v>10.32</v>
          </cell>
          <cell r="N1022">
            <v>10.118</v>
          </cell>
          <cell r="O1022">
            <v>9.7119999999999997</v>
          </cell>
          <cell r="P1022">
            <v>9.84</v>
          </cell>
          <cell r="Q1022">
            <v>9.7479999999999993</v>
          </cell>
          <cell r="R1022">
            <v>9.3320000000000007</v>
          </cell>
          <cell r="S1022">
            <v>11.208</v>
          </cell>
          <cell r="T1022">
            <v>9.1080000000000005</v>
          </cell>
          <cell r="U1022">
            <v>8.907</v>
          </cell>
          <cell r="V1022">
            <v>8.5969999999999995</v>
          </cell>
          <cell r="W1022">
            <v>9.0909999999999993</v>
          </cell>
          <cell r="X1022">
            <v>8.93</v>
          </cell>
          <cell r="Y1022">
            <v>8.93</v>
          </cell>
          <cell r="Z1022">
            <v>8.7759999999999998</v>
          </cell>
          <cell r="AA1022">
            <v>8.6460000000000008</v>
          </cell>
          <cell r="AB1022">
            <v>8.5299999999999994</v>
          </cell>
          <cell r="AC1022">
            <v>8.4429999999999996</v>
          </cell>
        </row>
        <row r="1023">
          <cell r="A1023" t="str">
            <v>Total expenditure C5 (Thousand euro/hh)</v>
          </cell>
          <cell r="C1023">
            <v>2.109</v>
          </cell>
          <cell r="D1023">
            <v>2.0750000000000002</v>
          </cell>
          <cell r="E1023">
            <v>2.08</v>
          </cell>
          <cell r="F1023">
            <v>2.0489999999999999</v>
          </cell>
          <cell r="G1023">
            <v>1.929</v>
          </cell>
          <cell r="H1023">
            <v>1.875</v>
          </cell>
          <cell r="I1023">
            <v>1.7909999999999999</v>
          </cell>
          <cell r="J1023">
            <v>1.782</v>
          </cell>
          <cell r="K1023">
            <v>1.6859999999999999</v>
          </cell>
          <cell r="L1023">
            <v>1.635</v>
          </cell>
          <cell r="M1023">
            <v>1.5920000000000001</v>
          </cell>
          <cell r="N1023">
            <v>1.5529999999999999</v>
          </cell>
          <cell r="O1023">
            <v>1.484</v>
          </cell>
          <cell r="P1023">
            <v>1.496</v>
          </cell>
          <cell r="Q1023">
            <v>1.4750000000000001</v>
          </cell>
          <cell r="R1023">
            <v>1.405</v>
          </cell>
          <cell r="S1023">
            <v>1.6870000000000001</v>
          </cell>
          <cell r="T1023">
            <v>1.37</v>
          </cell>
          <cell r="U1023">
            <v>1.3380000000000001</v>
          </cell>
          <cell r="V1023">
            <v>1.2909999999999999</v>
          </cell>
          <cell r="W1023">
            <v>1.3640000000000001</v>
          </cell>
          <cell r="X1023">
            <v>1.3380000000000001</v>
          </cell>
          <cell r="Y1023">
            <v>1.337</v>
          </cell>
          <cell r="Z1023">
            <v>1.3129999999999999</v>
          </cell>
          <cell r="AA1023">
            <v>1.2929999999999999</v>
          </cell>
          <cell r="AB1023">
            <v>1.274</v>
          </cell>
          <cell r="AC1023">
            <v>1.26</v>
          </cell>
        </row>
        <row r="1024">
          <cell r="A1024" t="str">
            <v>Total High-performance renovation (Thousand households)</v>
          </cell>
          <cell r="C1024">
            <v>389.85</v>
          </cell>
          <cell r="D1024">
            <v>412.46100000000001</v>
          </cell>
          <cell r="E1024">
            <v>517.09100000000001</v>
          </cell>
          <cell r="F1024">
            <v>533.548</v>
          </cell>
          <cell r="G1024">
            <v>516.90599999999995</v>
          </cell>
          <cell r="H1024">
            <v>524.10900000000004</v>
          </cell>
          <cell r="I1024">
            <v>518.59900000000005</v>
          </cell>
          <cell r="J1024">
            <v>547.55100000000004</v>
          </cell>
          <cell r="K1024">
            <v>546.53</v>
          </cell>
          <cell r="L1024">
            <v>563.49300000000005</v>
          </cell>
          <cell r="M1024">
            <v>582.71500000000003</v>
          </cell>
          <cell r="N1024">
            <v>599.97</v>
          </cell>
          <cell r="O1024">
            <v>513.827</v>
          </cell>
          <cell r="P1024">
            <v>540.86699999999996</v>
          </cell>
          <cell r="Q1024">
            <v>561.84100000000001</v>
          </cell>
          <cell r="R1024">
            <v>536.55399999999997</v>
          </cell>
          <cell r="S1024">
            <v>554.25599999999997</v>
          </cell>
          <cell r="T1024">
            <v>522.50699999999995</v>
          </cell>
          <cell r="U1024">
            <v>521.06700000000001</v>
          </cell>
          <cell r="V1024">
            <v>495.28899999999999</v>
          </cell>
          <cell r="W1024">
            <v>305.83</v>
          </cell>
          <cell r="X1024">
            <v>285.02300000000002</v>
          </cell>
          <cell r="Y1024">
            <v>287.34500000000003</v>
          </cell>
          <cell r="Z1024">
            <v>267.548</v>
          </cell>
          <cell r="AA1024">
            <v>258.79599999999999</v>
          </cell>
          <cell r="AB1024">
            <v>250.28800000000001</v>
          </cell>
          <cell r="AC1024">
            <v>245.97</v>
          </cell>
        </row>
        <row r="1025">
          <cell r="A1025" t="str">
            <v>VAT (Billion euro)</v>
          </cell>
          <cell r="C1025">
            <v>1.167</v>
          </cell>
          <cell r="D1025">
            <v>1.1930000000000001</v>
          </cell>
          <cell r="E1025">
            <v>1.5049999999999999</v>
          </cell>
          <cell r="F1025">
            <v>1.53</v>
          </cell>
          <cell r="G1025">
            <v>1.405</v>
          </cell>
          <cell r="H1025">
            <v>1.359</v>
          </cell>
          <cell r="I1025">
            <v>1.2989999999999999</v>
          </cell>
          <cell r="J1025">
            <v>1.3959999999999999</v>
          </cell>
          <cell r="K1025">
            <v>1.246</v>
          </cell>
          <cell r="L1025">
            <v>1.1970000000000001</v>
          </cell>
          <cell r="M1025">
            <v>1.1739999999999999</v>
          </cell>
          <cell r="N1025">
            <v>1.1439999999999999</v>
          </cell>
          <cell r="O1025">
            <v>1.032</v>
          </cell>
          <cell r="P1025">
            <v>1.1639999999999999</v>
          </cell>
          <cell r="Q1025">
            <v>1.1599999999999999</v>
          </cell>
          <cell r="R1025">
            <v>1.07</v>
          </cell>
          <cell r="S1025">
            <v>1.304</v>
          </cell>
          <cell r="T1025">
            <v>1.0680000000000001</v>
          </cell>
          <cell r="U1025">
            <v>1.034</v>
          </cell>
          <cell r="V1025">
            <v>0.94199999999999995</v>
          </cell>
          <cell r="W1025">
            <v>1.095</v>
          </cell>
          <cell r="X1025">
            <v>1.056</v>
          </cell>
          <cell r="Y1025">
            <v>1.0720000000000001</v>
          </cell>
          <cell r="Z1025">
            <v>1.0389999999999999</v>
          </cell>
          <cell r="AA1025">
            <v>1.0089999999999999</v>
          </cell>
          <cell r="AB1025">
            <v>0.98199999999999998</v>
          </cell>
          <cell r="AC1025">
            <v>0.96499999999999997</v>
          </cell>
        </row>
        <row r="1026">
          <cell r="A1026" t="str">
            <v>VAT heater (Billion euro)</v>
          </cell>
          <cell r="C1026">
            <v>0.78200000000000003</v>
          </cell>
          <cell r="D1026">
            <v>0.81699999999999995</v>
          </cell>
          <cell r="E1026">
            <v>0.76400000000000001</v>
          </cell>
          <cell r="F1026">
            <v>0.78500000000000003</v>
          </cell>
          <cell r="G1026">
            <v>0.73</v>
          </cell>
          <cell r="H1026">
            <v>0.67100000000000004</v>
          </cell>
          <cell r="I1026">
            <v>0.61599999999999999</v>
          </cell>
          <cell r="J1026">
            <v>0.68700000000000006</v>
          </cell>
          <cell r="K1026">
            <v>0.629</v>
          </cell>
          <cell r="L1026">
            <v>0.64400000000000002</v>
          </cell>
          <cell r="M1026">
            <v>0.66400000000000003</v>
          </cell>
          <cell r="N1026">
            <v>0.68</v>
          </cell>
          <cell r="O1026">
            <v>0.58599999999999997</v>
          </cell>
          <cell r="P1026">
            <v>0.61499999999999999</v>
          </cell>
          <cell r="Q1026">
            <v>0.628</v>
          </cell>
          <cell r="R1026">
            <v>0.57199999999999995</v>
          </cell>
          <cell r="S1026">
            <v>0.61099999999999999</v>
          </cell>
          <cell r="T1026">
            <v>0.54500000000000004</v>
          </cell>
          <cell r="U1026">
            <v>0.54400000000000004</v>
          </cell>
          <cell r="V1026">
            <v>0.51</v>
          </cell>
          <cell r="W1026">
            <v>0.67500000000000004</v>
          </cell>
          <cell r="X1026">
            <v>0.66</v>
          </cell>
          <cell r="Y1026">
            <v>0.69599999999999995</v>
          </cell>
          <cell r="Z1026">
            <v>0.68300000000000005</v>
          </cell>
          <cell r="AA1026">
            <v>0.67</v>
          </cell>
          <cell r="AB1026">
            <v>0.65800000000000003</v>
          </cell>
          <cell r="AC1026">
            <v>0.64500000000000002</v>
          </cell>
        </row>
        <row r="1027">
          <cell r="A1027" t="str">
            <v>VAT insulation (Billion euro)</v>
          </cell>
          <cell r="C1027">
            <v>0.38500000000000001</v>
          </cell>
          <cell r="D1027">
            <v>0.376</v>
          </cell>
          <cell r="E1027">
            <v>0.74099999999999999</v>
          </cell>
          <cell r="F1027">
            <v>0.745</v>
          </cell>
          <cell r="G1027">
            <v>0.67500000000000004</v>
          </cell>
          <cell r="H1027">
            <v>0.68899999999999995</v>
          </cell>
          <cell r="I1027">
            <v>0.68300000000000005</v>
          </cell>
          <cell r="J1027">
            <v>0.70899999999999996</v>
          </cell>
          <cell r="K1027">
            <v>0.61599999999999999</v>
          </cell>
          <cell r="L1027">
            <v>0.55300000000000005</v>
          </cell>
          <cell r="M1027">
            <v>0.51</v>
          </cell>
          <cell r="N1027">
            <v>0.46400000000000002</v>
          </cell>
          <cell r="O1027">
            <v>0.44600000000000001</v>
          </cell>
          <cell r="P1027">
            <v>0.54900000000000004</v>
          </cell>
          <cell r="Q1027">
            <v>0.53200000000000003</v>
          </cell>
          <cell r="R1027">
            <v>0.497</v>
          </cell>
          <cell r="S1027">
            <v>0.69299999999999995</v>
          </cell>
          <cell r="T1027">
            <v>0.52300000000000002</v>
          </cell>
          <cell r="U1027">
            <v>0.49</v>
          </cell>
          <cell r="V1027">
            <v>0.433</v>
          </cell>
          <cell r="W1027">
            <v>0.41899999999999998</v>
          </cell>
          <cell r="X1027">
            <v>0.39600000000000002</v>
          </cell>
          <cell r="Y1027">
            <v>0.376</v>
          </cell>
          <cell r="Z1027">
            <v>0.35699999999999998</v>
          </cell>
          <cell r="AA1027">
            <v>0.33900000000000002</v>
          </cell>
          <cell r="AB1027">
            <v>0.32300000000000001</v>
          </cell>
          <cell r="AC1027">
            <v>0.32</v>
          </cell>
        </row>
        <row r="1028">
          <cell r="A1028" t="str">
            <v>Zero interest loan (Billion euro)</v>
          </cell>
          <cell r="C1028">
            <v>0.98</v>
          </cell>
          <cell r="D1028">
            <v>0.97</v>
          </cell>
          <cell r="E1028">
            <v>1.587</v>
          </cell>
          <cell r="F1028">
            <v>1.5649999999999999</v>
          </cell>
          <cell r="G1028">
            <v>1.4259999999999999</v>
          </cell>
          <cell r="H1028">
            <v>1.4390000000000001</v>
          </cell>
          <cell r="I1028">
            <v>1.4039999999999999</v>
          </cell>
          <cell r="J1028">
            <v>1.554</v>
          </cell>
          <cell r="K1028">
            <v>1.377</v>
          </cell>
          <cell r="L1028">
            <v>1.2669999999999999</v>
          </cell>
          <cell r="M1028">
            <v>1.2110000000000001</v>
          </cell>
          <cell r="N1028">
            <v>1.127</v>
          </cell>
          <cell r="O1028">
            <v>1.103</v>
          </cell>
          <cell r="P1028">
            <v>1.45</v>
          </cell>
          <cell r="Q1028">
            <v>1.4059999999999999</v>
          </cell>
          <cell r="R1028">
            <v>1.34</v>
          </cell>
          <cell r="S1028">
            <v>1.8140000000000001</v>
          </cell>
          <cell r="T1028">
            <v>1.421</v>
          </cell>
          <cell r="U1028">
            <v>1.339</v>
          </cell>
          <cell r="V1028">
            <v>1.1819999999999999</v>
          </cell>
          <cell r="W1028">
            <v>1.1639999999999999</v>
          </cell>
          <cell r="X1028">
            <v>1.105</v>
          </cell>
          <cell r="Y1028">
            <v>1.0509999999999999</v>
          </cell>
          <cell r="Z1028">
            <v>1</v>
          </cell>
          <cell r="AA1028">
            <v>0.95399999999999996</v>
          </cell>
          <cell r="AB1028">
            <v>0.91</v>
          </cell>
          <cell r="AC1028">
            <v>0.89400000000000002</v>
          </cell>
        </row>
        <row r="1029">
          <cell r="A1029" t="str">
            <v>Zero interest loan (Thousand households)</v>
          </cell>
          <cell r="C1029">
            <v>600.85699999999997</v>
          </cell>
          <cell r="D1029">
            <v>633.01700000000005</v>
          </cell>
          <cell r="E1029">
            <v>906.89599999999996</v>
          </cell>
          <cell r="F1029">
            <v>930.62599999999998</v>
          </cell>
          <cell r="G1029">
            <v>910.702</v>
          </cell>
          <cell r="H1029">
            <v>919.18600000000004</v>
          </cell>
          <cell r="I1029">
            <v>904.08699999999999</v>
          </cell>
          <cell r="J1029">
            <v>1080.7819999999999</v>
          </cell>
          <cell r="K1029">
            <v>976.09299999999996</v>
          </cell>
          <cell r="L1029">
            <v>923.36900000000003</v>
          </cell>
          <cell r="M1029">
            <v>917.61</v>
          </cell>
          <cell r="N1029">
            <v>878.91600000000005</v>
          </cell>
          <cell r="O1029">
            <v>847.97500000000002</v>
          </cell>
          <cell r="P1029">
            <v>1204.8320000000001</v>
          </cell>
          <cell r="Q1029">
            <v>1151.3900000000001</v>
          </cell>
          <cell r="R1029">
            <v>1118.2660000000001</v>
          </cell>
          <cell r="S1029">
            <v>1312.817</v>
          </cell>
          <cell r="T1029">
            <v>1149.153</v>
          </cell>
          <cell r="U1029">
            <v>1093.078</v>
          </cell>
          <cell r="V1029">
            <v>975.24699999999996</v>
          </cell>
          <cell r="W1029">
            <v>971.54300000000001</v>
          </cell>
          <cell r="X1029">
            <v>920.87199999999996</v>
          </cell>
          <cell r="Y1029">
            <v>876.26300000000003</v>
          </cell>
          <cell r="Z1029">
            <v>833.78700000000003</v>
          </cell>
          <cell r="AA1029">
            <v>795.30100000000004</v>
          </cell>
          <cell r="AB1029">
            <v>758.97500000000002</v>
          </cell>
          <cell r="AC1029">
            <v>731.077</v>
          </cell>
        </row>
        <row r="1030">
          <cell r="A1030" t="str">
            <v>Zero interest loan insulation (Billion euro)</v>
          </cell>
          <cell r="C1030">
            <v>0.98</v>
          </cell>
          <cell r="D1030">
            <v>0.97</v>
          </cell>
          <cell r="E1030">
            <v>1.587</v>
          </cell>
          <cell r="F1030">
            <v>1.5649999999999999</v>
          </cell>
          <cell r="G1030">
            <v>1.4259999999999999</v>
          </cell>
          <cell r="H1030">
            <v>1.4390000000000001</v>
          </cell>
          <cell r="I1030">
            <v>1.4039999999999999</v>
          </cell>
          <cell r="J1030">
            <v>1.554</v>
          </cell>
          <cell r="K1030">
            <v>1.377</v>
          </cell>
          <cell r="L1030">
            <v>1.2669999999999999</v>
          </cell>
          <cell r="M1030">
            <v>1.2110000000000001</v>
          </cell>
          <cell r="N1030">
            <v>1.127</v>
          </cell>
          <cell r="O1030">
            <v>1.103</v>
          </cell>
          <cell r="P1030">
            <v>1.45</v>
          </cell>
          <cell r="Q1030">
            <v>1.4059999999999999</v>
          </cell>
          <cell r="R1030">
            <v>1.34</v>
          </cell>
          <cell r="S1030">
            <v>1.8140000000000001</v>
          </cell>
          <cell r="T1030">
            <v>1.421</v>
          </cell>
          <cell r="U1030">
            <v>1.339</v>
          </cell>
          <cell r="V1030">
            <v>1.1819999999999999</v>
          </cell>
          <cell r="W1030">
            <v>1.1639999999999999</v>
          </cell>
          <cell r="X1030">
            <v>1.105</v>
          </cell>
          <cell r="Y1030">
            <v>1.0509999999999999</v>
          </cell>
          <cell r="Z1030">
            <v>1</v>
          </cell>
          <cell r="AA1030">
            <v>0.95399999999999996</v>
          </cell>
          <cell r="AB1030">
            <v>0.91</v>
          </cell>
          <cell r="AC1030">
            <v>0.89400000000000002</v>
          </cell>
        </row>
        <row r="1031">
          <cell r="A1031" t="str">
            <v>Zero interest loan insulation (Thousand households)</v>
          </cell>
          <cell r="C1031">
            <v>600.85699999999997</v>
          </cell>
          <cell r="D1031">
            <v>633.01700000000005</v>
          </cell>
          <cell r="E1031">
            <v>906.89599999999996</v>
          </cell>
          <cell r="F1031">
            <v>930.62599999999998</v>
          </cell>
          <cell r="G1031">
            <v>910.702</v>
          </cell>
          <cell r="H1031">
            <v>919.18600000000004</v>
          </cell>
          <cell r="I1031">
            <v>904.08699999999999</v>
          </cell>
          <cell r="J1031">
            <v>1080.7819999999999</v>
          </cell>
          <cell r="K1031">
            <v>976.09299999999996</v>
          </cell>
          <cell r="L1031">
            <v>923.36900000000003</v>
          </cell>
          <cell r="M1031">
            <v>917.61</v>
          </cell>
          <cell r="N1031">
            <v>878.91600000000005</v>
          </cell>
          <cell r="O1031">
            <v>847.97500000000002</v>
          </cell>
          <cell r="P1031">
            <v>1204.8320000000001</v>
          </cell>
          <cell r="Q1031">
            <v>1151.3900000000001</v>
          </cell>
          <cell r="R1031">
            <v>1118.2660000000001</v>
          </cell>
          <cell r="S1031">
            <v>1312.817</v>
          </cell>
          <cell r="T1031">
            <v>1149.153</v>
          </cell>
          <cell r="U1031">
            <v>1093.078</v>
          </cell>
          <cell r="V1031">
            <v>975.24699999999996</v>
          </cell>
          <cell r="W1031">
            <v>971.54300000000001</v>
          </cell>
          <cell r="X1031">
            <v>920.87199999999996</v>
          </cell>
          <cell r="Y1031">
            <v>876.26300000000003</v>
          </cell>
          <cell r="Z1031">
            <v>833.78700000000003</v>
          </cell>
          <cell r="AA1031">
            <v>795.30100000000004</v>
          </cell>
          <cell r="AB1031">
            <v>758.97500000000002</v>
          </cell>
          <cell r="AC1031">
            <v>731.077</v>
          </cell>
        </row>
        <row r="1032">
          <cell r="A1032" t="str">
            <v>Zero interest loan insulation C1 (Thousand households)</v>
          </cell>
          <cell r="C1032">
            <v>43.878</v>
          </cell>
          <cell r="D1032">
            <v>42.634</v>
          </cell>
          <cell r="E1032">
            <v>73.903999999999996</v>
          </cell>
          <cell r="F1032">
            <v>80.188000000000002</v>
          </cell>
          <cell r="G1032">
            <v>75.97</v>
          </cell>
          <cell r="H1032">
            <v>74.741</v>
          </cell>
          <cell r="I1032">
            <v>77.36</v>
          </cell>
          <cell r="J1032">
            <v>82.552999999999997</v>
          </cell>
          <cell r="K1032">
            <v>72.980999999999995</v>
          </cell>
          <cell r="L1032">
            <v>65.323999999999998</v>
          </cell>
          <cell r="M1032">
            <v>59.128999999999998</v>
          </cell>
          <cell r="N1032">
            <v>54.107999999999997</v>
          </cell>
          <cell r="O1032">
            <v>52.280999999999999</v>
          </cell>
          <cell r="P1032">
            <v>72.489000000000004</v>
          </cell>
          <cell r="Q1032">
            <v>67.602999999999994</v>
          </cell>
          <cell r="R1032">
            <v>61.874000000000002</v>
          </cell>
          <cell r="S1032">
            <v>78.024000000000001</v>
          </cell>
          <cell r="T1032">
            <v>70.644999999999996</v>
          </cell>
          <cell r="U1032">
            <v>65.506</v>
          </cell>
          <cell r="V1032">
            <v>60.582000000000001</v>
          </cell>
          <cell r="W1032">
            <v>56.29</v>
          </cell>
          <cell r="X1032">
            <v>53.234999999999999</v>
          </cell>
          <cell r="Y1032">
            <v>50.651000000000003</v>
          </cell>
          <cell r="Z1032">
            <v>47.957000000000001</v>
          </cell>
          <cell r="AA1032">
            <v>45.555999999999997</v>
          </cell>
          <cell r="AB1032">
            <v>43.418999999999997</v>
          </cell>
          <cell r="AC1032">
            <v>41.722999999999999</v>
          </cell>
        </row>
        <row r="1033">
          <cell r="A1033" t="str">
            <v>Zero interest loan insulation C2 (Thousand households)</v>
          </cell>
          <cell r="C1033">
            <v>71.819999999999993</v>
          </cell>
          <cell r="D1033">
            <v>70.61</v>
          </cell>
          <cell r="E1033">
            <v>90.492999999999995</v>
          </cell>
          <cell r="F1033">
            <v>92.86</v>
          </cell>
          <cell r="G1033">
            <v>93.24</v>
          </cell>
          <cell r="H1033">
            <v>93.56</v>
          </cell>
          <cell r="I1033">
            <v>95.113</v>
          </cell>
          <cell r="J1033">
            <v>102.622</v>
          </cell>
          <cell r="K1033">
            <v>91.926000000000002</v>
          </cell>
          <cell r="L1033">
            <v>83.195999999999998</v>
          </cell>
          <cell r="M1033">
            <v>75.977999999999994</v>
          </cell>
          <cell r="N1033">
            <v>69.975999999999999</v>
          </cell>
          <cell r="O1033">
            <v>69.691000000000003</v>
          </cell>
          <cell r="P1033">
            <v>92.488</v>
          </cell>
          <cell r="Q1033">
            <v>87.298000000000002</v>
          </cell>
          <cell r="R1033">
            <v>80.492999999999995</v>
          </cell>
          <cell r="S1033">
            <v>111.875</v>
          </cell>
          <cell r="T1033">
            <v>98.287999999999997</v>
          </cell>
          <cell r="U1033">
            <v>91.53</v>
          </cell>
          <cell r="V1033">
            <v>85.180999999999997</v>
          </cell>
          <cell r="W1033">
            <v>80.424999999999997</v>
          </cell>
          <cell r="X1033">
            <v>76.570999999999998</v>
          </cell>
          <cell r="Y1033">
            <v>73.085999999999999</v>
          </cell>
          <cell r="Z1033">
            <v>69.647000000000006</v>
          </cell>
          <cell r="AA1033">
            <v>66.573999999999998</v>
          </cell>
          <cell r="AB1033">
            <v>63.71</v>
          </cell>
          <cell r="AC1033">
            <v>63.195</v>
          </cell>
        </row>
        <row r="1034">
          <cell r="A1034" t="str">
            <v>Zero interest loan insulation C3 (Thousand households)</v>
          </cell>
          <cell r="C1034">
            <v>125.9</v>
          </cell>
          <cell r="D1034">
            <v>120.202</v>
          </cell>
          <cell r="E1034">
            <v>147.71600000000001</v>
          </cell>
          <cell r="F1034">
            <v>141.483</v>
          </cell>
          <cell r="G1034">
            <v>126.018</v>
          </cell>
          <cell r="H1034">
            <v>126.75700000000001</v>
          </cell>
          <cell r="I1034">
            <v>121.855</v>
          </cell>
          <cell r="J1034">
            <v>127.343</v>
          </cell>
          <cell r="K1034">
            <v>112.29300000000001</v>
          </cell>
          <cell r="L1034">
            <v>100.62</v>
          </cell>
          <cell r="M1034">
            <v>91.364000000000004</v>
          </cell>
          <cell r="N1034">
            <v>83.888000000000005</v>
          </cell>
          <cell r="O1034">
            <v>84.26</v>
          </cell>
          <cell r="P1034">
            <v>124.23</v>
          </cell>
          <cell r="Q1034">
            <v>116.97</v>
          </cell>
          <cell r="R1034">
            <v>107.167</v>
          </cell>
          <cell r="S1034">
            <v>145.27000000000001</v>
          </cell>
          <cell r="T1034">
            <v>122.777</v>
          </cell>
          <cell r="U1034">
            <v>113.66800000000001</v>
          </cell>
          <cell r="V1034">
            <v>105.351</v>
          </cell>
          <cell r="W1034">
            <v>99.444000000000003</v>
          </cell>
          <cell r="X1034">
            <v>94.646000000000001</v>
          </cell>
          <cell r="Y1034">
            <v>90.269000000000005</v>
          </cell>
          <cell r="Z1034">
            <v>86.111000000000004</v>
          </cell>
          <cell r="AA1034">
            <v>82.331999999999994</v>
          </cell>
          <cell r="AB1034">
            <v>78.701999999999998</v>
          </cell>
          <cell r="AC1034">
            <v>76.248000000000005</v>
          </cell>
        </row>
        <row r="1035">
          <cell r="A1035" t="str">
            <v>Zero interest loan insulation C4 (Thousand households)</v>
          </cell>
          <cell r="C1035">
            <v>131.65799999999999</v>
          </cell>
          <cell r="D1035">
            <v>125.801</v>
          </cell>
          <cell r="E1035">
            <v>164.43</v>
          </cell>
          <cell r="F1035">
            <v>157.23400000000001</v>
          </cell>
          <cell r="G1035">
            <v>141.4</v>
          </cell>
          <cell r="H1035">
            <v>141.11000000000001</v>
          </cell>
          <cell r="I1035">
            <v>136.23599999999999</v>
          </cell>
          <cell r="J1035">
            <v>165.251</v>
          </cell>
          <cell r="K1035">
            <v>145.44499999999999</v>
          </cell>
          <cell r="L1035">
            <v>129.51599999999999</v>
          </cell>
          <cell r="M1035">
            <v>116.57599999999999</v>
          </cell>
          <cell r="N1035">
            <v>106.011</v>
          </cell>
          <cell r="O1035">
            <v>106.58799999999999</v>
          </cell>
          <cell r="P1035">
            <v>185.60300000000001</v>
          </cell>
          <cell r="Q1035">
            <v>172.46</v>
          </cell>
          <cell r="R1035">
            <v>157.26</v>
          </cell>
          <cell r="S1035">
            <v>200.59399999999999</v>
          </cell>
          <cell r="T1035">
            <v>168.613</v>
          </cell>
          <cell r="U1035">
            <v>155.30600000000001</v>
          </cell>
          <cell r="V1035">
            <v>143.24100000000001</v>
          </cell>
          <cell r="W1035">
            <v>134.863</v>
          </cell>
          <cell r="X1035">
            <v>127.919</v>
          </cell>
          <cell r="Y1035">
            <v>121.506</v>
          </cell>
          <cell r="Z1035">
            <v>115.53700000000001</v>
          </cell>
          <cell r="AA1035">
            <v>110.09099999999999</v>
          </cell>
          <cell r="AB1035">
            <v>104.958</v>
          </cell>
          <cell r="AC1035">
            <v>101.209</v>
          </cell>
        </row>
        <row r="1036">
          <cell r="A1036" t="str">
            <v>Zero interest loan insulation C5 (Thousand households)</v>
          </cell>
          <cell r="C1036">
            <v>227.601</v>
          </cell>
          <cell r="D1036">
            <v>273.76900000000001</v>
          </cell>
          <cell r="E1036">
            <v>430.35300000000001</v>
          </cell>
          <cell r="F1036">
            <v>458.86200000000002</v>
          </cell>
          <cell r="G1036">
            <v>474.07400000000001</v>
          </cell>
          <cell r="H1036">
            <v>483.01900000000001</v>
          </cell>
          <cell r="I1036">
            <v>473.52300000000002</v>
          </cell>
          <cell r="J1036">
            <v>603.01300000000003</v>
          </cell>
          <cell r="K1036">
            <v>553.447</v>
          </cell>
          <cell r="L1036">
            <v>544.71400000000006</v>
          </cell>
          <cell r="M1036">
            <v>574.56200000000001</v>
          </cell>
          <cell r="N1036">
            <v>564.93200000000002</v>
          </cell>
          <cell r="O1036">
            <v>535.15599999999995</v>
          </cell>
          <cell r="P1036">
            <v>730.02200000000005</v>
          </cell>
          <cell r="Q1036">
            <v>707.05899999999997</v>
          </cell>
          <cell r="R1036">
            <v>711.47299999999996</v>
          </cell>
          <cell r="S1036">
            <v>777.05399999999997</v>
          </cell>
          <cell r="T1036">
            <v>688.83</v>
          </cell>
          <cell r="U1036">
            <v>667.06799999999998</v>
          </cell>
          <cell r="V1036">
            <v>580.89099999999996</v>
          </cell>
          <cell r="W1036">
            <v>600.52099999999996</v>
          </cell>
          <cell r="X1036">
            <v>568.50199999999995</v>
          </cell>
          <cell r="Y1036">
            <v>540.75</v>
          </cell>
          <cell r="Z1036">
            <v>514.53499999999997</v>
          </cell>
          <cell r="AA1036">
            <v>490.74700000000001</v>
          </cell>
          <cell r="AB1036">
            <v>468.185</v>
          </cell>
          <cell r="AC1036">
            <v>448.70299999999997</v>
          </cell>
        </row>
        <row r="1037">
          <cell r="A1037" t="str">
            <v>Zero interest loan insulation Multi-family (Thousand households)</v>
          </cell>
          <cell r="C1037">
            <v>157.84200000000001</v>
          </cell>
          <cell r="D1037">
            <v>197.58</v>
          </cell>
          <cell r="E1037">
            <v>301.471</v>
          </cell>
          <cell r="F1037">
            <v>329.40300000000002</v>
          </cell>
          <cell r="G1037">
            <v>356.27800000000002</v>
          </cell>
          <cell r="H1037">
            <v>363.09500000000003</v>
          </cell>
          <cell r="I1037">
            <v>357.505</v>
          </cell>
          <cell r="J1037">
            <v>546.63800000000003</v>
          </cell>
          <cell r="K1037">
            <v>486.89800000000002</v>
          </cell>
          <cell r="L1037">
            <v>464.279</v>
          </cell>
          <cell r="M1037">
            <v>474.46199999999999</v>
          </cell>
          <cell r="N1037">
            <v>461.42200000000003</v>
          </cell>
          <cell r="O1037">
            <v>442.75900000000001</v>
          </cell>
          <cell r="P1037">
            <v>690.48199999999997</v>
          </cell>
          <cell r="Q1037">
            <v>659.476</v>
          </cell>
          <cell r="R1037">
            <v>656.71799999999996</v>
          </cell>
          <cell r="S1037">
            <v>708.46699999999998</v>
          </cell>
          <cell r="T1037">
            <v>616.10299999999995</v>
          </cell>
          <cell r="U1037">
            <v>592.48099999999999</v>
          </cell>
          <cell r="V1037">
            <v>539.399</v>
          </cell>
          <cell r="W1037">
            <v>551.48500000000001</v>
          </cell>
          <cell r="X1037">
            <v>517.39599999999996</v>
          </cell>
          <cell r="Y1037">
            <v>487.79500000000002</v>
          </cell>
          <cell r="Z1037">
            <v>460.10300000000001</v>
          </cell>
          <cell r="AA1037">
            <v>435.00299999999999</v>
          </cell>
          <cell r="AB1037">
            <v>412.97300000000001</v>
          </cell>
          <cell r="AC1037">
            <v>393.82499999999999</v>
          </cell>
        </row>
        <row r="1038">
          <cell r="A1038" t="str">
            <v>Zero interest loan insulation Single-family (Thousand households)</v>
          </cell>
          <cell r="C1038">
            <v>443.01600000000002</v>
          </cell>
          <cell r="D1038">
            <v>435.43700000000001</v>
          </cell>
          <cell r="E1038">
            <v>605.42499999999995</v>
          </cell>
          <cell r="F1038">
            <v>601.22400000000005</v>
          </cell>
          <cell r="G1038">
            <v>554.42399999999998</v>
          </cell>
          <cell r="H1038">
            <v>556.09100000000001</v>
          </cell>
          <cell r="I1038">
            <v>546.58199999999999</v>
          </cell>
          <cell r="J1038">
            <v>534.14400000000001</v>
          </cell>
          <cell r="K1038">
            <v>489.19499999999999</v>
          </cell>
          <cell r="L1038">
            <v>459.09</v>
          </cell>
          <cell r="M1038">
            <v>443.14699999999999</v>
          </cell>
          <cell r="N1038">
            <v>417.495</v>
          </cell>
          <cell r="O1038">
            <v>405.21600000000001</v>
          </cell>
          <cell r="P1038">
            <v>514.351</v>
          </cell>
          <cell r="Q1038">
            <v>491.91399999999999</v>
          </cell>
          <cell r="R1038">
            <v>461.548</v>
          </cell>
          <cell r="S1038">
            <v>604.351</v>
          </cell>
          <cell r="T1038">
            <v>533.04999999999995</v>
          </cell>
          <cell r="U1038">
            <v>500.596</v>
          </cell>
          <cell r="V1038">
            <v>435.84800000000001</v>
          </cell>
          <cell r="W1038">
            <v>420.05900000000003</v>
          </cell>
          <cell r="X1038">
            <v>403.476</v>
          </cell>
          <cell r="Y1038">
            <v>388.46699999999998</v>
          </cell>
          <cell r="Z1038">
            <v>373.68299999999999</v>
          </cell>
          <cell r="AA1038">
            <v>360.298</v>
          </cell>
          <cell r="AB1038">
            <v>346.00099999999998</v>
          </cell>
          <cell r="AC1038">
            <v>337.25200000000001</v>
          </cell>
        </row>
        <row r="1039">
          <cell r="A1039" t="str">
            <v>Zero interest loan Multi-family (Thousand households)</v>
          </cell>
          <cell r="C1039">
            <v>157.84200000000001</v>
          </cell>
          <cell r="D1039">
            <v>197.58</v>
          </cell>
          <cell r="E1039">
            <v>301.471</v>
          </cell>
          <cell r="F1039">
            <v>329.40300000000002</v>
          </cell>
          <cell r="G1039">
            <v>356.27800000000002</v>
          </cell>
          <cell r="H1039">
            <v>363.09500000000003</v>
          </cell>
          <cell r="I1039">
            <v>357.505</v>
          </cell>
          <cell r="J1039">
            <v>546.63800000000003</v>
          </cell>
          <cell r="K1039">
            <v>486.89800000000002</v>
          </cell>
          <cell r="L1039">
            <v>464.279</v>
          </cell>
          <cell r="M1039">
            <v>474.46199999999999</v>
          </cell>
          <cell r="N1039">
            <v>461.42200000000003</v>
          </cell>
          <cell r="O1039">
            <v>442.75900000000001</v>
          </cell>
          <cell r="P1039">
            <v>690.48199999999997</v>
          </cell>
          <cell r="Q1039">
            <v>659.476</v>
          </cell>
          <cell r="R1039">
            <v>656.71799999999996</v>
          </cell>
          <cell r="S1039">
            <v>708.46699999999998</v>
          </cell>
          <cell r="T1039">
            <v>616.10299999999995</v>
          </cell>
          <cell r="U1039">
            <v>592.48099999999999</v>
          </cell>
          <cell r="V1039">
            <v>539.399</v>
          </cell>
          <cell r="W1039">
            <v>551.48500000000001</v>
          </cell>
          <cell r="X1039">
            <v>517.39599999999996</v>
          </cell>
          <cell r="Y1039">
            <v>487.79500000000002</v>
          </cell>
          <cell r="Z1039">
            <v>460.10300000000001</v>
          </cell>
          <cell r="AA1039">
            <v>435.00299999999999</v>
          </cell>
          <cell r="AB1039">
            <v>412.97300000000001</v>
          </cell>
          <cell r="AC1039">
            <v>393.82499999999999</v>
          </cell>
        </row>
        <row r="1040">
          <cell r="A1040" t="str">
            <v>Zero interest loan Single-family (Thousand households)</v>
          </cell>
          <cell r="C1040">
            <v>443.01600000000002</v>
          </cell>
          <cell r="D1040">
            <v>435.43700000000001</v>
          </cell>
          <cell r="E1040">
            <v>605.42499999999995</v>
          </cell>
          <cell r="F1040">
            <v>601.22400000000005</v>
          </cell>
          <cell r="G1040">
            <v>554.42399999999998</v>
          </cell>
          <cell r="H1040">
            <v>556.09100000000001</v>
          </cell>
          <cell r="I1040">
            <v>546.58199999999999</v>
          </cell>
          <cell r="J1040">
            <v>534.14400000000001</v>
          </cell>
          <cell r="K1040">
            <v>489.19499999999999</v>
          </cell>
          <cell r="L1040">
            <v>459.09</v>
          </cell>
          <cell r="M1040">
            <v>443.14699999999999</v>
          </cell>
          <cell r="N1040">
            <v>417.495</v>
          </cell>
          <cell r="O1040">
            <v>405.21600000000001</v>
          </cell>
          <cell r="P1040">
            <v>514.351</v>
          </cell>
          <cell r="Q1040">
            <v>491.91399999999999</v>
          </cell>
          <cell r="R1040">
            <v>461.548</v>
          </cell>
          <cell r="S1040">
            <v>604.351</v>
          </cell>
          <cell r="T1040">
            <v>533.04999999999995</v>
          </cell>
          <cell r="U1040">
            <v>500.596</v>
          </cell>
          <cell r="V1040">
            <v>435.84800000000001</v>
          </cell>
          <cell r="W1040">
            <v>420.05900000000003</v>
          </cell>
          <cell r="X1040">
            <v>403.476</v>
          </cell>
          <cell r="Y1040">
            <v>388.46699999999998</v>
          </cell>
          <cell r="Z1040">
            <v>373.68299999999999</v>
          </cell>
          <cell r="AA1040">
            <v>360.298</v>
          </cell>
          <cell r="AB1040">
            <v>346.00099999999998</v>
          </cell>
          <cell r="AC1040">
            <v>337.25200000000001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17">
          <cell r="L17">
            <v>0</v>
          </cell>
          <cell r="M17">
            <v>600.98400000000004</v>
          </cell>
          <cell r="N17">
            <v>633.01700000000005</v>
          </cell>
          <cell r="O17">
            <v>906.89599999999996</v>
          </cell>
          <cell r="P17">
            <v>930.62599999999998</v>
          </cell>
          <cell r="Q17">
            <v>910.702</v>
          </cell>
          <cell r="R17">
            <v>919.18600000000004</v>
          </cell>
          <cell r="S17">
            <v>904.08699999999999</v>
          </cell>
          <cell r="T17">
            <v>1080.7819999999999</v>
          </cell>
          <cell r="U17">
            <v>976.09299999999996</v>
          </cell>
          <cell r="V17">
            <v>923.36900000000003</v>
          </cell>
          <cell r="W17">
            <v>917.61</v>
          </cell>
          <cell r="X17">
            <v>878.91600000000005</v>
          </cell>
          <cell r="Y17">
            <v>847.97500000000002</v>
          </cell>
          <cell r="Z17">
            <v>1204.8320000000001</v>
          </cell>
          <cell r="AA17">
            <v>1151.3900000000001</v>
          </cell>
          <cell r="AB17">
            <v>1118.2660000000001</v>
          </cell>
          <cell r="AC17">
            <v>1312.817</v>
          </cell>
          <cell r="AD17">
            <v>1149.153</v>
          </cell>
          <cell r="AE17">
            <v>1093.078</v>
          </cell>
          <cell r="AF17">
            <v>975.24699999999996</v>
          </cell>
          <cell r="AG17">
            <v>971.54300000000001</v>
          </cell>
          <cell r="AH17">
            <v>920.87199999999996</v>
          </cell>
          <cell r="AI17">
            <v>876.26300000000003</v>
          </cell>
          <cell r="AJ17">
            <v>833.78700000000003</v>
          </cell>
          <cell r="AK17">
            <v>795.30100000000004</v>
          </cell>
          <cell r="AL17">
            <v>758.97500000000002</v>
          </cell>
          <cell r="AM17">
            <v>731.077</v>
          </cell>
        </row>
      </sheetData>
      <sheetData sheetId="9"/>
      <sheetData sheetId="10">
        <row r="1">
          <cell r="O1">
            <v>2026</v>
          </cell>
        </row>
      </sheetData>
      <sheetData sheetId="11">
        <row r="50">
          <cell r="L50">
            <v>737.38400000000001</v>
          </cell>
          <cell r="M50">
            <v>783.78</v>
          </cell>
          <cell r="N50">
            <v>746.93200000000002</v>
          </cell>
          <cell r="O50">
            <v>796.71400000000006</v>
          </cell>
          <cell r="P50">
            <v>739.553</v>
          </cell>
          <cell r="Q50">
            <v>677.56700000000001</v>
          </cell>
          <cell r="R50">
            <v>618.96</v>
          </cell>
          <cell r="S50">
            <v>709.94</v>
          </cell>
          <cell r="T50">
            <v>649.88699999999994</v>
          </cell>
          <cell r="U50">
            <v>676.26400000000001</v>
          </cell>
          <cell r="V50">
            <v>708.21100000000001</v>
          </cell>
          <cell r="W50">
            <v>738.125</v>
          </cell>
          <cell r="X50">
            <v>611.06799999999998</v>
          </cell>
          <cell r="Y50">
            <v>646.81899999999996</v>
          </cell>
          <cell r="Z50">
            <v>661.37599999999998</v>
          </cell>
          <cell r="AA50">
            <v>614.90200000000004</v>
          </cell>
          <cell r="AB50">
            <v>651.11699999999996</v>
          </cell>
          <cell r="AC50">
            <v>583.976</v>
          </cell>
          <cell r="AD50">
            <v>578.20899999999995</v>
          </cell>
          <cell r="AE50">
            <v>545.43100000000004</v>
          </cell>
          <cell r="AF50">
            <v>903.31299999999999</v>
          </cell>
          <cell r="AG50">
            <v>925.48099999999999</v>
          </cell>
          <cell r="AH50">
            <v>909.22699999999998</v>
          </cell>
          <cell r="AI50">
            <v>934.14300000000003</v>
          </cell>
          <cell r="AJ50">
            <v>876.24099999999999</v>
          </cell>
          <cell r="AK50">
            <v>813.71799999999996</v>
          </cell>
          <cell r="AL50">
            <v>753.04600000000005</v>
          </cell>
        </row>
        <row r="51">
          <cell r="L51">
            <v>608.87099999999998</v>
          </cell>
          <cell r="M51">
            <v>673.97299999999996</v>
          </cell>
          <cell r="N51">
            <v>537.78899999999999</v>
          </cell>
          <cell r="O51">
            <v>543.63099999999997</v>
          </cell>
          <cell r="P51">
            <v>460.57100000000003</v>
          </cell>
          <cell r="Q51">
            <v>364.91500000000002</v>
          </cell>
        </row>
        <row r="55">
          <cell r="L55">
            <v>161.881</v>
          </cell>
          <cell r="M55">
            <v>163.381</v>
          </cell>
          <cell r="N55">
            <v>162.20500000000001</v>
          </cell>
          <cell r="O55">
            <v>162.91499999999999</v>
          </cell>
          <cell r="P55">
            <v>162.28</v>
          </cell>
          <cell r="Q55">
            <v>161.78299999999999</v>
          </cell>
          <cell r="R55">
            <v>161.364</v>
          </cell>
          <cell r="S55">
            <v>161.31700000000001</v>
          </cell>
          <cell r="T55">
            <v>161.148</v>
          </cell>
          <cell r="U55">
            <v>161.089</v>
          </cell>
          <cell r="V55">
            <v>160.96199999999999</v>
          </cell>
          <cell r="W55">
            <v>160.886</v>
          </cell>
          <cell r="X55">
            <v>154.08500000000001</v>
          </cell>
          <cell r="Y55">
            <v>154.108</v>
          </cell>
          <cell r="Z55">
            <v>154.05500000000001</v>
          </cell>
          <cell r="AA55">
            <v>151.74100000000001</v>
          </cell>
          <cell r="AB55">
            <v>152.221</v>
          </cell>
          <cell r="AC55">
            <v>150.04900000000001</v>
          </cell>
          <cell r="AD55">
            <v>149.60499999999999</v>
          </cell>
          <cell r="AE55">
            <v>148.16900000000001</v>
          </cell>
          <cell r="AF55">
            <v>165.15600000000001</v>
          </cell>
          <cell r="AG55">
            <v>165.51499999999999</v>
          </cell>
          <cell r="AH55">
            <v>164.96799999999999</v>
          </cell>
          <cell r="AI55">
            <v>164.518</v>
          </cell>
          <cell r="AJ55">
            <v>163.70599999999999</v>
          </cell>
          <cell r="AK55">
            <v>162.59899999999999</v>
          </cell>
          <cell r="AL55">
            <v>161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D7E7A-6A69-45F3-8223-44E120B4BF42}">
  <dimension ref="H1:AL45"/>
  <sheetViews>
    <sheetView zoomScale="71" zoomScaleNormal="90" workbookViewId="0">
      <pane ySplit="1" topLeftCell="A2" activePane="bottomLeft" state="frozen"/>
      <selection pane="bottomLeft" activeCell="P13" sqref="P13:AK13"/>
    </sheetView>
  </sheetViews>
  <sheetFormatPr baseColWidth="10" defaultRowHeight="15" x14ac:dyDescent="0.25"/>
  <cols>
    <col min="1" max="1" width="33" bestFit="1" customWidth="1"/>
    <col min="7" max="7" width="61.5703125" customWidth="1"/>
    <col min="8" max="8" width="33" bestFit="1" customWidth="1"/>
  </cols>
  <sheetData>
    <row r="1" spans="8:37" x14ac:dyDescent="0.25"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</row>
    <row r="2" spans="8:37" x14ac:dyDescent="0.25">
      <c r="H2" s="1" t="s">
        <v>0</v>
      </c>
    </row>
    <row r="3" spans="8:37" x14ac:dyDescent="0.25">
      <c r="H3" t="s">
        <v>1</v>
      </c>
      <c r="I3" t="s">
        <v>2</v>
      </c>
      <c r="J3" s="2">
        <v>20.029027200000002</v>
      </c>
      <c r="K3" s="2">
        <v>19.411973236199998</v>
      </c>
      <c r="L3" s="2">
        <v>18.814168600000002</v>
      </c>
      <c r="M3" s="2">
        <v>17.709595680000003</v>
      </c>
      <c r="N3" s="2">
        <v>16.390503219999999</v>
      </c>
      <c r="O3" s="2">
        <v>15.312055730000001</v>
      </c>
      <c r="P3" s="2">
        <v>14.157465630000001</v>
      </c>
      <c r="Q3" s="2">
        <v>12.9917094</v>
      </c>
      <c r="R3" s="2">
        <v>11.875064166</v>
      </c>
      <c r="S3" s="2">
        <v>10.772317234000001</v>
      </c>
      <c r="T3" s="2">
        <v>9.7862682779999997</v>
      </c>
      <c r="U3" s="2">
        <v>8.9065488460000015</v>
      </c>
      <c r="V3" s="2">
        <v>8.1083560099999996</v>
      </c>
      <c r="W3" s="2">
        <v>7.1768011280000001</v>
      </c>
      <c r="X3" s="2">
        <v>6.32789059</v>
      </c>
      <c r="Y3" s="2">
        <v>5.5623376300000009</v>
      </c>
      <c r="Z3" s="2">
        <v>4.9445607620000009</v>
      </c>
      <c r="AA3" s="2">
        <v>3.5846932000000007</v>
      </c>
      <c r="AB3" s="2">
        <v>3.821662586</v>
      </c>
      <c r="AC3" s="2">
        <v>3.4012272600000002</v>
      </c>
      <c r="AD3" s="2">
        <v>3.0332030560000005</v>
      </c>
      <c r="AE3" s="2">
        <v>2.7097248780000003</v>
      </c>
      <c r="AF3" s="2">
        <v>2.4235972800000005</v>
      </c>
      <c r="AG3" s="2">
        <v>1.8607589520000003</v>
      </c>
      <c r="AH3" s="2">
        <v>1.3507376219999998</v>
      </c>
      <c r="AI3" s="2">
        <v>0.86911671599999996</v>
      </c>
      <c r="AJ3" s="2">
        <v>0.416923182</v>
      </c>
      <c r="AK3" s="2">
        <v>0</v>
      </c>
    </row>
    <row r="4" spans="8:37" x14ac:dyDescent="0.25">
      <c r="H4" t="s">
        <v>3</v>
      </c>
      <c r="I4" t="s">
        <v>4</v>
      </c>
      <c r="J4" s="2">
        <v>10.044</v>
      </c>
      <c r="K4" s="2">
        <v>9.0399999999999991</v>
      </c>
      <c r="L4" s="2">
        <v>8.0969999999999995</v>
      </c>
      <c r="M4" s="2">
        <v>7.01</v>
      </c>
      <c r="N4" s="2">
        <v>5.8310000000000004</v>
      </c>
      <c r="O4" s="2">
        <v>4.8979999999999997</v>
      </c>
      <c r="P4" s="2">
        <v>4.0190000000000001</v>
      </c>
      <c r="Q4" s="2">
        <v>3.234</v>
      </c>
      <c r="R4" s="2">
        <v>2.4950000000000001</v>
      </c>
      <c r="S4" s="2">
        <v>1.8140000000000001</v>
      </c>
      <c r="T4" s="2">
        <v>1.177</v>
      </c>
      <c r="U4" s="2">
        <v>0.57499999999999996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</row>
    <row r="5" spans="8:37" x14ac:dyDescent="0.25">
      <c r="H5" t="s">
        <v>5</v>
      </c>
      <c r="I5" t="s">
        <v>6</v>
      </c>
      <c r="J5" s="2">
        <v>4.0209999999999999</v>
      </c>
      <c r="K5" s="2">
        <v>3.9380000000000002</v>
      </c>
      <c r="L5" s="2">
        <v>3.9079999999999999</v>
      </c>
      <c r="M5" s="2">
        <v>3.8820000000000001</v>
      </c>
      <c r="N5" s="2">
        <v>3.8879999999999999</v>
      </c>
      <c r="O5" s="2">
        <v>3.8879999999999999</v>
      </c>
      <c r="P5" s="2">
        <v>3.8759999999999999</v>
      </c>
      <c r="Q5" s="2">
        <v>3.84</v>
      </c>
      <c r="R5" s="2">
        <v>3.8239999999999998</v>
      </c>
      <c r="S5" s="2">
        <v>3.802</v>
      </c>
      <c r="T5" s="2">
        <v>3.7909999999999999</v>
      </c>
      <c r="U5" s="2">
        <v>3.7909999999999999</v>
      </c>
      <c r="V5" s="2">
        <v>3.8010000000000002</v>
      </c>
      <c r="W5" s="2">
        <v>3.7789999999999999</v>
      </c>
      <c r="X5" s="2">
        <v>3.7610000000000001</v>
      </c>
      <c r="Y5" s="2">
        <v>3.7450000000000001</v>
      </c>
      <c r="Z5" s="2">
        <v>3.726</v>
      </c>
      <c r="AA5" s="2">
        <v>3.7050000000000001</v>
      </c>
      <c r="AB5" s="2">
        <v>3.6739999999999999</v>
      </c>
      <c r="AC5" s="2">
        <v>3.6469999999999998</v>
      </c>
      <c r="AD5" s="2">
        <v>3.6179999999999999</v>
      </c>
      <c r="AE5" s="2">
        <v>3.6230000000000002</v>
      </c>
      <c r="AF5" s="2">
        <v>3.6230000000000002</v>
      </c>
      <c r="AG5" s="2">
        <v>3.6349999999999998</v>
      </c>
      <c r="AH5" s="2">
        <v>3.64</v>
      </c>
      <c r="AI5" s="2">
        <v>3.65</v>
      </c>
      <c r="AJ5" s="2">
        <v>3.6640000000000001</v>
      </c>
      <c r="AK5" s="2">
        <v>3.68</v>
      </c>
    </row>
    <row r="7" spans="8:37" x14ac:dyDescent="0.25">
      <c r="I7" s="3" t="s">
        <v>7</v>
      </c>
      <c r="J7" s="2">
        <v>30.073027200000002</v>
      </c>
      <c r="K7" s="2">
        <v>28.451973236199997</v>
      </c>
      <c r="L7" s="2">
        <v>26.911168600000003</v>
      </c>
      <c r="M7" s="2">
        <v>24.719595680000005</v>
      </c>
      <c r="N7" s="2">
        <v>22.221503219999999</v>
      </c>
      <c r="O7" s="2">
        <v>20.210055730000001</v>
      </c>
      <c r="P7" s="2">
        <v>18.176465630000003</v>
      </c>
      <c r="Q7" s="2">
        <v>16.2257094</v>
      </c>
      <c r="R7" s="2">
        <v>14.370064165999999</v>
      </c>
      <c r="S7" s="2">
        <v>12.586317234000001</v>
      </c>
      <c r="T7" s="2">
        <v>10.963268277999999</v>
      </c>
      <c r="U7" s="2">
        <v>9.4815488460000008</v>
      </c>
      <c r="V7" s="2">
        <v>8.1083560099999996</v>
      </c>
      <c r="W7" s="2">
        <v>7.1768011280000001</v>
      </c>
      <c r="X7" s="2">
        <v>6.32789059</v>
      </c>
      <c r="Y7" s="2">
        <v>5.5623376300000009</v>
      </c>
      <c r="Z7" s="2">
        <v>4.9445607620000009</v>
      </c>
      <c r="AA7" s="2">
        <v>3.5846932000000007</v>
      </c>
      <c r="AB7" s="2">
        <v>3.821662586</v>
      </c>
      <c r="AC7" s="2">
        <v>3.4012272600000002</v>
      </c>
      <c r="AD7" s="2">
        <v>3.0332030560000005</v>
      </c>
      <c r="AE7" s="2">
        <v>2.7097248780000003</v>
      </c>
      <c r="AF7" s="2">
        <v>2.4235972800000005</v>
      </c>
      <c r="AG7" s="2">
        <v>1.8607589520000003</v>
      </c>
      <c r="AH7" s="2">
        <v>1.3507376219999998</v>
      </c>
      <c r="AI7" s="2">
        <v>0.86911671599999996</v>
      </c>
      <c r="AJ7" s="2">
        <v>0.416923182</v>
      </c>
      <c r="AK7" s="2">
        <v>0</v>
      </c>
    </row>
    <row r="8" spans="8:37" x14ac:dyDescent="0.25">
      <c r="I8" s="3" t="s">
        <v>8</v>
      </c>
      <c r="K8" s="4">
        <v>1.5408046361999936</v>
      </c>
      <c r="L8" s="4">
        <v>2.1915729199999987</v>
      </c>
      <c r="M8" s="4">
        <v>2.4980924600000058</v>
      </c>
      <c r="N8" s="4">
        <v>2.0114474899999983</v>
      </c>
      <c r="O8" s="4">
        <v>2.0335900999999978</v>
      </c>
      <c r="P8" s="4">
        <v>1.9507562300000032</v>
      </c>
      <c r="Q8" s="4">
        <v>1.8556452340000007</v>
      </c>
      <c r="R8" s="4">
        <v>1.7837469319999979</v>
      </c>
      <c r="S8" s="4">
        <v>1.6230489560000017</v>
      </c>
      <c r="T8" s="4">
        <v>1.4817194319999984</v>
      </c>
      <c r="U8" s="4">
        <v>1.3731928360000012</v>
      </c>
      <c r="V8" s="4">
        <v>0.93155488199999947</v>
      </c>
      <c r="W8" s="4">
        <v>0.84891053800000016</v>
      </c>
      <c r="X8" s="4">
        <v>0.76555295999999906</v>
      </c>
      <c r="Y8" s="4">
        <v>0.61777686799999998</v>
      </c>
      <c r="Z8" s="4">
        <v>1.3598675620000003</v>
      </c>
      <c r="AA8" s="4">
        <v>-0.23696938599999928</v>
      </c>
      <c r="AB8" s="4">
        <v>0.42043532599999978</v>
      </c>
      <c r="AC8" s="4">
        <v>0.36802420399999969</v>
      </c>
      <c r="AD8" s="4">
        <v>0.32347817800000023</v>
      </c>
      <c r="AE8" s="4">
        <v>0.28612759799999976</v>
      </c>
      <c r="AF8" s="4">
        <v>0.56283832800000022</v>
      </c>
      <c r="AG8" s="4">
        <v>0.51002133000000049</v>
      </c>
      <c r="AH8" s="4">
        <v>0.48162090599999985</v>
      </c>
      <c r="AI8" s="4">
        <v>0.45219353399999995</v>
      </c>
      <c r="AJ8" s="4">
        <v>0.416923182</v>
      </c>
      <c r="AK8" s="4" t="e">
        <v>#REF!</v>
      </c>
    </row>
    <row r="10" spans="8:37" x14ac:dyDescent="0.25">
      <c r="H10" s="59" t="s">
        <v>9</v>
      </c>
      <c r="I10" s="59"/>
      <c r="J10" s="59"/>
      <c r="K10" s="59"/>
      <c r="L10" s="59"/>
      <c r="M10" s="59"/>
      <c r="N10" s="59"/>
      <c r="O10" s="59"/>
    </row>
    <row r="11" spans="8:37" x14ac:dyDescent="0.25">
      <c r="H11" s="5" t="s">
        <v>10</v>
      </c>
      <c r="I11" s="60" t="s">
        <v>11</v>
      </c>
      <c r="J11" s="60"/>
      <c r="K11" s="60"/>
      <c r="L11" s="6">
        <v>7.0000000000000007E-2</v>
      </c>
      <c r="M11" s="7"/>
      <c r="N11" s="8"/>
      <c r="O11" s="8"/>
      <c r="V11" s="9"/>
    </row>
    <row r="12" spans="8:37" x14ac:dyDescent="0.25">
      <c r="H12" s="5"/>
      <c r="I12" s="10" t="s">
        <v>12</v>
      </c>
      <c r="J12" s="10"/>
      <c r="K12" s="10"/>
      <c r="L12" s="6">
        <v>0.03</v>
      </c>
      <c r="M12" s="7"/>
      <c r="N12" s="8"/>
      <c r="O12" s="7"/>
      <c r="V12" s="9"/>
    </row>
    <row r="13" spans="8:37" x14ac:dyDescent="0.25">
      <c r="H13" s="5"/>
      <c r="I13" s="60" t="s">
        <v>13</v>
      </c>
      <c r="J13" s="60"/>
      <c r="K13" s="60"/>
      <c r="L13" s="11">
        <v>0.66666666666666663</v>
      </c>
      <c r="M13" s="7"/>
      <c r="N13" s="7"/>
      <c r="O13" s="7"/>
      <c r="P13" s="61" t="s">
        <v>14</v>
      </c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</row>
    <row r="14" spans="8:37" x14ac:dyDescent="0.25">
      <c r="H14" t="s">
        <v>15</v>
      </c>
      <c r="J14" s="12">
        <v>1</v>
      </c>
      <c r="K14" s="12">
        <v>0.9966666666666667</v>
      </c>
      <c r="L14" s="12">
        <v>0.9933333333333334</v>
      </c>
      <c r="M14" s="12">
        <v>0.9900000000000001</v>
      </c>
      <c r="N14" s="12">
        <v>0.9866666666666668</v>
      </c>
      <c r="O14" s="12">
        <v>0.9833333333333335</v>
      </c>
      <c r="P14" s="12">
        <v>0.9800000000000002</v>
      </c>
      <c r="Q14" s="12">
        <v>0.9766666666666669</v>
      </c>
      <c r="R14" s="4">
        <v>0.97516666666666696</v>
      </c>
      <c r="S14" s="4">
        <v>0.9736666666666669</v>
      </c>
      <c r="T14" s="4">
        <v>0.97216666666666685</v>
      </c>
      <c r="U14" s="4">
        <v>0.97066666666666679</v>
      </c>
      <c r="V14" s="4">
        <v>0.96916666666666673</v>
      </c>
      <c r="W14" s="4">
        <v>0.96766666666666667</v>
      </c>
      <c r="X14" s="4">
        <v>0.96616666666666662</v>
      </c>
      <c r="Y14" s="4">
        <v>0.96466666666666656</v>
      </c>
      <c r="Z14" s="4">
        <v>0.9631666666666665</v>
      </c>
      <c r="AA14" s="4">
        <v>0.96166666666666645</v>
      </c>
      <c r="AB14" s="4">
        <v>0.96016666666666639</v>
      </c>
      <c r="AC14" s="4">
        <v>0.95866666666666633</v>
      </c>
      <c r="AD14" s="4">
        <v>0.95716666666666628</v>
      </c>
      <c r="AE14" s="4">
        <v>0.95566666666666622</v>
      </c>
      <c r="AF14" s="4">
        <v>0.95416666666666616</v>
      </c>
      <c r="AG14" s="4">
        <v>0.95266666666666611</v>
      </c>
      <c r="AH14" s="4">
        <v>0.95116666666666605</v>
      </c>
      <c r="AI14" s="4">
        <v>0.94966666666666599</v>
      </c>
      <c r="AJ14" s="4">
        <v>0.94816666666666594</v>
      </c>
      <c r="AK14" s="4">
        <v>0.94666666666666688</v>
      </c>
    </row>
    <row r="15" spans="8:37" x14ac:dyDescent="0.25">
      <c r="H15" s="13" t="s">
        <v>16</v>
      </c>
      <c r="I15" s="13"/>
      <c r="J15" s="14">
        <v>1</v>
      </c>
      <c r="K15" s="14">
        <v>0.99</v>
      </c>
      <c r="L15" s="14">
        <v>0.98</v>
      </c>
      <c r="M15" s="14">
        <v>0.97</v>
      </c>
      <c r="N15" s="14">
        <v>0.96</v>
      </c>
      <c r="O15" s="14">
        <v>0.95</v>
      </c>
      <c r="P15" s="14">
        <v>0.94</v>
      </c>
      <c r="Q15" s="14">
        <v>0.92999999999999994</v>
      </c>
      <c r="R15" s="14">
        <v>0.92749999999999999</v>
      </c>
      <c r="S15" s="14">
        <v>0.92500000000000004</v>
      </c>
      <c r="T15" s="14">
        <v>0.9225000000000001</v>
      </c>
      <c r="U15" s="14">
        <v>0.92000000000000015</v>
      </c>
      <c r="V15" s="14">
        <v>0.9175000000000002</v>
      </c>
      <c r="W15" s="14">
        <v>0.91500000000000026</v>
      </c>
      <c r="X15" s="14">
        <v>0.91250000000000031</v>
      </c>
      <c r="Y15" s="14">
        <v>0.91000000000000036</v>
      </c>
      <c r="Z15" s="14">
        <v>0.90750000000000042</v>
      </c>
      <c r="AA15" s="14">
        <v>0.90500000000000047</v>
      </c>
      <c r="AB15" s="14">
        <v>0.90250000000000052</v>
      </c>
      <c r="AC15" s="14">
        <v>0.90000000000000058</v>
      </c>
      <c r="AD15" s="14">
        <v>0.89750000000000063</v>
      </c>
      <c r="AE15" s="14">
        <v>0.89500000000000068</v>
      </c>
      <c r="AF15" s="14">
        <v>0.89250000000000074</v>
      </c>
      <c r="AG15" s="14">
        <v>0.89000000000000079</v>
      </c>
      <c r="AH15" s="14">
        <v>0.88750000000000084</v>
      </c>
      <c r="AI15" s="14">
        <v>0.8850000000000009</v>
      </c>
      <c r="AJ15" s="14">
        <v>0.88250000000000095</v>
      </c>
      <c r="AK15" s="14">
        <v>0.88</v>
      </c>
    </row>
    <row r="16" spans="8:37" x14ac:dyDescent="0.25">
      <c r="H16" s="3" t="s">
        <v>17</v>
      </c>
      <c r="J16" s="4">
        <v>1</v>
      </c>
      <c r="K16" s="4">
        <v>0.98670000000000002</v>
      </c>
      <c r="L16" s="4">
        <v>0.9734666666666667</v>
      </c>
      <c r="M16" s="4">
        <v>0.96030000000000004</v>
      </c>
      <c r="N16" s="4">
        <v>0.94720000000000004</v>
      </c>
      <c r="O16" s="4">
        <v>0.93416666666666681</v>
      </c>
      <c r="P16" s="4">
        <v>0.92120000000000013</v>
      </c>
      <c r="Q16" s="4">
        <v>0.90830000000000011</v>
      </c>
      <c r="R16" s="4">
        <v>0.90446708333333359</v>
      </c>
      <c r="S16" s="4">
        <v>0.9006416666666669</v>
      </c>
      <c r="T16" s="4">
        <v>0.89682375000000025</v>
      </c>
      <c r="U16" s="4">
        <v>0.89301333333333355</v>
      </c>
      <c r="V16" s="4">
        <v>0.88921041666666689</v>
      </c>
      <c r="W16" s="4">
        <v>0.88541500000000029</v>
      </c>
      <c r="X16" s="4">
        <v>0.88162708333333362</v>
      </c>
      <c r="Y16" s="4">
        <v>0.87784666666666689</v>
      </c>
      <c r="Z16" s="4">
        <v>0.8740737500000002</v>
      </c>
      <c r="AA16" s="4">
        <v>0.87030833333333357</v>
      </c>
      <c r="AB16" s="4">
        <v>0.86655041666666688</v>
      </c>
      <c r="AC16" s="4">
        <v>0.86280000000000023</v>
      </c>
      <c r="AD16" s="4">
        <v>0.85905708333333364</v>
      </c>
      <c r="AE16" s="4">
        <v>0.85532166666666687</v>
      </c>
      <c r="AF16" s="4">
        <v>0.85159375000000026</v>
      </c>
      <c r="AG16" s="4">
        <v>0.84787333333333359</v>
      </c>
      <c r="AH16" s="4">
        <v>0.84416041666666697</v>
      </c>
      <c r="AI16" s="4">
        <v>0.84045500000000029</v>
      </c>
      <c r="AJ16" s="4">
        <v>0.83675708333333354</v>
      </c>
      <c r="AK16" s="4">
        <v>0.83306666666666684</v>
      </c>
    </row>
    <row r="18" spans="8:38" x14ac:dyDescent="0.25">
      <c r="H18" s="1" t="s">
        <v>18</v>
      </c>
    </row>
    <row r="19" spans="8:38" x14ac:dyDescent="0.25">
      <c r="H19" t="s">
        <v>2</v>
      </c>
      <c r="J19" s="4">
        <v>20.029027200000002</v>
      </c>
      <c r="K19" s="4">
        <v>19.153793992158537</v>
      </c>
      <c r="L19" s="4">
        <v>18.314965993146668</v>
      </c>
      <c r="M19" s="4">
        <v>17.006524731504005</v>
      </c>
      <c r="N19" s="4">
        <v>15.525084649984001</v>
      </c>
      <c r="O19" s="4">
        <v>14.304012061108336</v>
      </c>
      <c r="P19" s="4">
        <v>13.041857338356003</v>
      </c>
      <c r="Q19" s="4">
        <v>11.80036964802</v>
      </c>
      <c r="R19" s="4">
        <v>10.740604650618206</v>
      </c>
      <c r="S19" s="4">
        <v>9.70199774749182</v>
      </c>
      <c r="T19" s="4">
        <v>8.7765578155820041</v>
      </c>
      <c r="U19" s="4">
        <v>7.953666873462617</v>
      </c>
      <c r="V19" s="4">
        <v>7.2100346261337727</v>
      </c>
      <c r="W19" s="4">
        <v>6.3544473707481224</v>
      </c>
      <c r="X19" s="4">
        <v>5.5788397245141477</v>
      </c>
      <c r="Y19" s="4">
        <v>4.8828795473700684</v>
      </c>
      <c r="Z19" s="4">
        <v>4.3219107673441997</v>
      </c>
      <c r="AA19" s="4">
        <v>3.1197883644033348</v>
      </c>
      <c r="AB19" s="4">
        <v>3.3116633062577114</v>
      </c>
      <c r="AC19" s="4">
        <v>2.9345788799280008</v>
      </c>
      <c r="AD19" s="4">
        <v>2.6056945704451149</v>
      </c>
      <c r="AE19" s="4">
        <v>2.3176863988590908</v>
      </c>
      <c r="AF19" s="4">
        <v>2.0639202961650009</v>
      </c>
      <c r="AG19" s="4">
        <v>1.5776878951620807</v>
      </c>
      <c r="AH19" s="4">
        <v>1.1402392337948628</v>
      </c>
      <c r="AI19" s="4">
        <v>0.73045348954578027</v>
      </c>
      <c r="AJ19" s="4">
        <v>0.34886342574437257</v>
      </c>
      <c r="AK19" s="4">
        <v>0</v>
      </c>
    </row>
    <row r="20" spans="8:38" x14ac:dyDescent="0.25">
      <c r="H20" t="s">
        <v>4</v>
      </c>
      <c r="J20" s="4">
        <v>10.044</v>
      </c>
      <c r="K20" s="4">
        <v>8.9197679999999995</v>
      </c>
      <c r="L20" s="4">
        <v>7.8821595999999996</v>
      </c>
      <c r="M20" s="4">
        <v>6.7317030000000004</v>
      </c>
      <c r="N20" s="4">
        <v>5.5231232000000006</v>
      </c>
      <c r="O20" s="4">
        <v>4.5755483333333338</v>
      </c>
      <c r="P20" s="4">
        <v>3.7023028000000004</v>
      </c>
      <c r="Q20" s="4">
        <v>2.9374422000000004</v>
      </c>
      <c r="R20" s="4">
        <v>2.2566453729166676</v>
      </c>
      <c r="S20" s="4">
        <v>1.6337639833333337</v>
      </c>
      <c r="T20" s="4">
        <v>1.0555615537500003</v>
      </c>
      <c r="U20" s="4">
        <v>0.51348266666666675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</row>
    <row r="21" spans="8:38" x14ac:dyDescent="0.25">
      <c r="H21" t="s">
        <v>6</v>
      </c>
      <c r="J21" s="4">
        <v>4.0209999999999999</v>
      </c>
      <c r="K21" s="4">
        <v>3.8856246000000003</v>
      </c>
      <c r="L21" s="4">
        <v>3.8043077333333333</v>
      </c>
      <c r="M21" s="4">
        <v>3.7278846000000003</v>
      </c>
      <c r="N21" s="4">
        <v>3.6827136</v>
      </c>
      <c r="O21" s="4">
        <v>3.6320400000000004</v>
      </c>
      <c r="P21" s="4">
        <v>3.5705712000000003</v>
      </c>
      <c r="Q21" s="4">
        <v>3.4878720000000003</v>
      </c>
      <c r="R21" s="4">
        <v>3.4586821266666674</v>
      </c>
      <c r="S21" s="4">
        <v>3.4242396166666675</v>
      </c>
      <c r="T21" s="4">
        <v>3.3998588362500008</v>
      </c>
      <c r="U21" s="4">
        <v>3.3854135466666673</v>
      </c>
      <c r="V21" s="4">
        <v>3.3798887937500011</v>
      </c>
      <c r="W21" s="4">
        <v>3.3459832850000009</v>
      </c>
      <c r="X21" s="4">
        <v>3.3157994604166676</v>
      </c>
      <c r="Y21" s="4">
        <v>3.2875357666666676</v>
      </c>
      <c r="Z21" s="4">
        <v>3.2567987925000006</v>
      </c>
      <c r="AA21" s="4">
        <v>3.224492375000001</v>
      </c>
      <c r="AB21" s="4">
        <v>3.1837062308333341</v>
      </c>
      <c r="AC21" s="4">
        <v>3.1466316000000005</v>
      </c>
      <c r="AD21" s="4">
        <v>3.1080685275000008</v>
      </c>
      <c r="AE21" s="4">
        <v>3.0988303983333343</v>
      </c>
      <c r="AF21" s="4">
        <v>3.0853241562500013</v>
      </c>
      <c r="AG21" s="4">
        <v>3.0820195666666672</v>
      </c>
      <c r="AH21" s="4">
        <v>3.0727439166666679</v>
      </c>
      <c r="AI21" s="4">
        <v>3.0676607500000008</v>
      </c>
      <c r="AJ21" s="4">
        <v>3.065877953333334</v>
      </c>
      <c r="AK21" s="4">
        <v>3.065685333333334</v>
      </c>
    </row>
    <row r="23" spans="8:38" x14ac:dyDescent="0.25">
      <c r="H23" t="s">
        <v>7</v>
      </c>
      <c r="J23" s="2">
        <v>30.073027200000002</v>
      </c>
      <c r="K23" s="2">
        <v>28.073561992158538</v>
      </c>
      <c r="L23" s="2">
        <v>26.197125593146666</v>
      </c>
      <c r="M23" s="2">
        <v>23.738227731504004</v>
      </c>
      <c r="N23" s="2">
        <v>21.048207849984003</v>
      </c>
      <c r="O23" s="2">
        <v>18.879560394441668</v>
      </c>
      <c r="P23" s="2">
        <v>16.744160138356005</v>
      </c>
      <c r="Q23" s="2">
        <v>14.737811848020002</v>
      </c>
      <c r="R23" s="2">
        <v>12.997250023534873</v>
      </c>
      <c r="S23" s="2">
        <v>11.335761730825153</v>
      </c>
      <c r="T23" s="2">
        <v>9.8321193693320037</v>
      </c>
      <c r="U23" s="2">
        <v>8.4671495401292844</v>
      </c>
      <c r="V23" s="2">
        <v>7.2100346261337727</v>
      </c>
      <c r="W23" s="2">
        <v>6.3544473707481224</v>
      </c>
      <c r="X23" s="2">
        <v>5.5788397245141477</v>
      </c>
      <c r="Y23" s="2">
        <v>4.8828795473700684</v>
      </c>
      <c r="Z23" s="2">
        <v>4.3219107673441997</v>
      </c>
      <c r="AA23" s="2">
        <v>3.1197883644033348</v>
      </c>
      <c r="AB23" s="2">
        <v>3.3116633062577114</v>
      </c>
      <c r="AC23" s="2">
        <v>2.9345788799280008</v>
      </c>
      <c r="AD23" s="2">
        <v>2.6056945704451149</v>
      </c>
      <c r="AE23" s="2">
        <v>2.3176863988590908</v>
      </c>
      <c r="AF23" s="2">
        <v>2.0639202961650009</v>
      </c>
      <c r="AG23" s="2">
        <v>1.5776878951620807</v>
      </c>
      <c r="AH23" s="2">
        <v>1.1402392337948628</v>
      </c>
      <c r="AI23" s="2">
        <v>0.73045348954578027</v>
      </c>
      <c r="AJ23" s="2">
        <v>0.34886342574437257</v>
      </c>
      <c r="AK23" s="2">
        <v>0</v>
      </c>
    </row>
    <row r="24" spans="8:38" x14ac:dyDescent="0.25">
      <c r="H24" t="s">
        <v>8</v>
      </c>
      <c r="J24" s="2"/>
      <c r="K24" s="2">
        <v>-1.9994652078414639</v>
      </c>
      <c r="L24" s="2">
        <v>-1.8764363990118724</v>
      </c>
      <c r="M24" s="2">
        <v>-2.4588978616426616</v>
      </c>
      <c r="N24" s="2">
        <v>-2.6900198815200014</v>
      </c>
      <c r="O24" s="2">
        <v>-2.1686474555423345</v>
      </c>
      <c r="P24" s="2">
        <v>-2.1354002560856635</v>
      </c>
      <c r="Q24" s="2">
        <v>-2.0063482903360033</v>
      </c>
      <c r="R24" s="2">
        <v>-1.7405618244851286</v>
      </c>
      <c r="S24" s="2">
        <v>-1.6614882927097199</v>
      </c>
      <c r="T24" s="2">
        <v>-1.5036423614931493</v>
      </c>
      <c r="U24" s="2">
        <v>-1.3649698292027193</v>
      </c>
      <c r="V24" s="2">
        <v>-1.2571149139955118</v>
      </c>
      <c r="W24" s="2">
        <v>-0.85558725538565028</v>
      </c>
      <c r="X24" s="2">
        <v>-0.77560764623397471</v>
      </c>
      <c r="Y24" s="2">
        <v>-0.69596017714407932</v>
      </c>
      <c r="Z24" s="2">
        <v>-0.5609687800258687</v>
      </c>
      <c r="AA24" s="2">
        <v>-1.2021224029408648</v>
      </c>
      <c r="AB24" s="2">
        <v>0.19187494185437659</v>
      </c>
      <c r="AC24" s="2">
        <v>-0.37708442632971062</v>
      </c>
      <c r="AD24" s="2">
        <v>-0.32888430948288594</v>
      </c>
      <c r="AE24" s="2">
        <v>-0.2880081715860241</v>
      </c>
      <c r="AF24" s="2">
        <v>-0.25376610269408983</v>
      </c>
      <c r="AG24" s="2">
        <v>-0.4862324010029202</v>
      </c>
      <c r="AH24" s="2">
        <v>-0.43744866136721794</v>
      </c>
      <c r="AI24" s="2">
        <v>-0.40978574424908254</v>
      </c>
      <c r="AJ24" s="2">
        <v>-0.3815900638014077</v>
      </c>
      <c r="AK24" s="2">
        <v>-0.34886342574437257</v>
      </c>
    </row>
    <row r="25" spans="8:38" x14ac:dyDescent="0.25">
      <c r="H25" t="s">
        <v>19</v>
      </c>
      <c r="J25" s="2"/>
      <c r="K25" s="2"/>
      <c r="L25" s="9">
        <v>-6.6839982740202197E-2</v>
      </c>
      <c r="M25" s="9">
        <v>-0.15442765196185193</v>
      </c>
      <c r="N25" s="9">
        <v>-0.2502480498960854</v>
      </c>
      <c r="O25" s="9">
        <v>-0.32749679574985613</v>
      </c>
      <c r="P25" s="9">
        <v>-0.4035612530026309</v>
      </c>
      <c r="Q25" s="9">
        <v>-0.47502878857565201</v>
      </c>
      <c r="R25" s="9">
        <v>-0.53702882351853876</v>
      </c>
      <c r="S25" s="9">
        <v>-0.59621220370997308</v>
      </c>
      <c r="T25" s="9">
        <v>-0.64977300094379564</v>
      </c>
      <c r="U25" s="9">
        <v>-0.69839418515917884</v>
      </c>
      <c r="V25" s="9">
        <v>-0.74317350152618089</v>
      </c>
      <c r="W25" s="9">
        <v>-0.7736501206180022</v>
      </c>
      <c r="X25" s="9">
        <v>-0.80127780984570396</v>
      </c>
      <c r="Y25" s="9">
        <v>-0.82606840027161688</v>
      </c>
      <c r="Z25" s="9">
        <v>-0.84605050229994361</v>
      </c>
      <c r="AA25" s="9">
        <v>-0.88887094679062284</v>
      </c>
      <c r="AB25" s="9">
        <v>-0.88203622656851599</v>
      </c>
      <c r="AC25" s="9">
        <v>-0.8954682387383659</v>
      </c>
      <c r="AD25" s="9">
        <v>-0.90718332888527176</v>
      </c>
      <c r="AE25" s="9">
        <v>-0.91744238228456854</v>
      </c>
      <c r="AF25" s="9">
        <v>-0.92648170913468364</v>
      </c>
      <c r="AG25" s="9">
        <v>-0.94380164883947548</v>
      </c>
      <c r="AH25" s="9">
        <v>-0.95938387746758491</v>
      </c>
      <c r="AI25" s="9">
        <v>-0.97398073355458747</v>
      </c>
      <c r="AJ25" s="9">
        <v>-0.98757323969641553</v>
      </c>
      <c r="AK25" s="9">
        <v>-1</v>
      </c>
    </row>
    <row r="27" spans="8:38" x14ac:dyDescent="0.25">
      <c r="H27" s="1" t="s">
        <v>20</v>
      </c>
      <c r="K27" s="2">
        <v>28.565027200000003</v>
      </c>
    </row>
    <row r="29" spans="8:38" x14ac:dyDescent="0.25">
      <c r="H29" t="s">
        <v>21</v>
      </c>
      <c r="I29" t="s">
        <v>22</v>
      </c>
      <c r="J29">
        <v>0.39700000000000002</v>
      </c>
      <c r="K29">
        <v>0.54500000000000004</v>
      </c>
      <c r="L29">
        <v>0.77500000000000002</v>
      </c>
      <c r="M29">
        <v>1.014</v>
      </c>
      <c r="N29">
        <v>1.262</v>
      </c>
      <c r="O29">
        <v>1.51</v>
      </c>
      <c r="P29">
        <v>1.7589999999999999</v>
      </c>
      <c r="Q29">
        <v>1.9470000000000001</v>
      </c>
      <c r="R29">
        <v>2.1509999999999998</v>
      </c>
      <c r="S29">
        <v>2.3519999999999999</v>
      </c>
      <c r="T29">
        <v>2.5609999999999999</v>
      </c>
      <c r="U29">
        <v>2.7789999999999999</v>
      </c>
      <c r="V29">
        <v>3.0059999999999998</v>
      </c>
      <c r="W29">
        <v>3.2250000000000001</v>
      </c>
      <c r="X29">
        <v>3.456</v>
      </c>
      <c r="Y29">
        <v>3.6960000000000002</v>
      </c>
      <c r="Z29">
        <v>3.9380000000000002</v>
      </c>
      <c r="AA29">
        <v>4.1139999999999999</v>
      </c>
      <c r="AB29">
        <v>4.2869999999999999</v>
      </c>
      <c r="AC29">
        <v>4.4640000000000004</v>
      </c>
      <c r="AD29">
        <v>4.6390000000000002</v>
      </c>
      <c r="AE29">
        <v>4.7679999999999998</v>
      </c>
      <c r="AF29">
        <v>4.8940000000000001</v>
      </c>
      <c r="AG29">
        <v>5.0179999999999998</v>
      </c>
      <c r="AH29">
        <v>5.14</v>
      </c>
      <c r="AI29">
        <v>5.2590000000000003</v>
      </c>
      <c r="AJ29">
        <v>5.3769999999999998</v>
      </c>
      <c r="AK29">
        <v>5.4960000000000004</v>
      </c>
      <c r="AL29" s="9">
        <v>0.53053502287926779</v>
      </c>
    </row>
    <row r="30" spans="8:38" x14ac:dyDescent="0.25">
      <c r="H30" t="s">
        <v>23</v>
      </c>
      <c r="I30" t="s">
        <v>24</v>
      </c>
      <c r="J30">
        <v>2.1560000000000001</v>
      </c>
      <c r="K30">
        <v>2.4350000000000001</v>
      </c>
      <c r="L30">
        <v>2.7589999999999999</v>
      </c>
      <c r="M30">
        <v>3.1080000000000001</v>
      </c>
      <c r="N30">
        <v>3.4849999999999999</v>
      </c>
      <c r="O30">
        <v>3.88</v>
      </c>
      <c r="P30">
        <v>4.298</v>
      </c>
      <c r="Q30">
        <v>4.71</v>
      </c>
      <c r="R30">
        <v>5.1550000000000002</v>
      </c>
      <c r="S30">
        <v>5.6230000000000002</v>
      </c>
      <c r="T30">
        <v>6.1159999999999997</v>
      </c>
      <c r="U30">
        <v>6.6289999999999996</v>
      </c>
      <c r="V30">
        <v>7.16</v>
      </c>
      <c r="W30">
        <v>7.6289999999999996</v>
      </c>
      <c r="X30">
        <v>8.1199999999999992</v>
      </c>
      <c r="Y30">
        <v>8.6240000000000006</v>
      </c>
      <c r="Z30">
        <v>9.1059999999999999</v>
      </c>
      <c r="AA30">
        <v>9.5779999999999994</v>
      </c>
      <c r="AB30">
        <v>10.029</v>
      </c>
      <c r="AC30">
        <v>10.477</v>
      </c>
      <c r="AD30">
        <v>10.901</v>
      </c>
      <c r="AE30">
        <v>11.173</v>
      </c>
      <c r="AF30">
        <v>11.425000000000001</v>
      </c>
      <c r="AG30">
        <v>11.68</v>
      </c>
      <c r="AH30">
        <v>11.916</v>
      </c>
      <c r="AI30">
        <v>12.146000000000001</v>
      </c>
      <c r="AJ30">
        <v>12.371</v>
      </c>
      <c r="AK30">
        <v>12.590999999999999</v>
      </c>
    </row>
    <row r="31" spans="8:38" x14ac:dyDescent="0.25">
      <c r="H31" t="s">
        <v>25</v>
      </c>
      <c r="I31" t="s">
        <v>26</v>
      </c>
      <c r="J31">
        <v>5.55</v>
      </c>
      <c r="K31">
        <v>6.0179999999999998</v>
      </c>
      <c r="L31">
        <v>6.4219999999999997</v>
      </c>
      <c r="M31">
        <v>7.0019999999999998</v>
      </c>
      <c r="N31">
        <v>7.5830000000000002</v>
      </c>
      <c r="O31">
        <v>8.1660000000000004</v>
      </c>
      <c r="P31">
        <v>8.7690000000000001</v>
      </c>
      <c r="Q31">
        <v>9.3789999999999996</v>
      </c>
      <c r="R31">
        <v>9.9779999999999998</v>
      </c>
      <c r="S31">
        <v>10.547000000000001</v>
      </c>
      <c r="T31">
        <v>11.045</v>
      </c>
      <c r="U31">
        <v>11.486000000000001</v>
      </c>
      <c r="V31">
        <v>11.86</v>
      </c>
      <c r="W31">
        <v>12.102</v>
      </c>
      <c r="X31">
        <v>12.430999999999999</v>
      </c>
      <c r="Y31">
        <v>12.670999999999999</v>
      </c>
      <c r="Z31">
        <v>12.821</v>
      </c>
      <c r="AA31">
        <v>13.044</v>
      </c>
      <c r="AB31">
        <v>13.095000000000001</v>
      </c>
      <c r="AC31">
        <v>13.098000000000001</v>
      </c>
      <c r="AD31">
        <v>13.045999999999999</v>
      </c>
      <c r="AE31">
        <v>13.007999999999999</v>
      </c>
      <c r="AF31">
        <v>12.962999999999999</v>
      </c>
      <c r="AG31">
        <v>12.907999999999999</v>
      </c>
      <c r="AH31">
        <v>12.849</v>
      </c>
      <c r="AI31">
        <v>12.782999999999999</v>
      </c>
      <c r="AJ31">
        <v>12.712</v>
      </c>
      <c r="AK31">
        <v>12.637</v>
      </c>
    </row>
    <row r="32" spans="8:38" x14ac:dyDescent="0.25">
      <c r="H32" t="s">
        <v>27</v>
      </c>
      <c r="I32" t="s">
        <v>28</v>
      </c>
      <c r="J32">
        <v>12.773999999999999</v>
      </c>
      <c r="K32">
        <v>12.688000000000001</v>
      </c>
      <c r="L32">
        <v>12.589</v>
      </c>
      <c r="M32">
        <v>12.481999999999999</v>
      </c>
      <c r="N32">
        <v>12.31</v>
      </c>
      <c r="O32">
        <v>12.032999999999999</v>
      </c>
      <c r="P32">
        <v>11.680999999999999</v>
      </c>
      <c r="Q32">
        <v>11.26</v>
      </c>
      <c r="R32">
        <v>10.956</v>
      </c>
      <c r="S32">
        <v>10.538</v>
      </c>
      <c r="T32">
        <v>10.066000000000001</v>
      </c>
      <c r="U32">
        <v>9.5239999999999991</v>
      </c>
      <c r="V32">
        <v>8.9529999999999994</v>
      </c>
      <c r="W32">
        <v>8.4779999999999998</v>
      </c>
      <c r="X32">
        <v>7.8449999999999998</v>
      </c>
      <c r="Y32">
        <v>7.25</v>
      </c>
      <c r="Z32">
        <v>6.7320000000000002</v>
      </c>
      <c r="AA32">
        <v>6.1260000000000003</v>
      </c>
      <c r="AB32">
        <v>5.6390000000000002</v>
      </c>
      <c r="AC32">
        <v>5.18</v>
      </c>
      <c r="AD32">
        <v>4.7850000000000001</v>
      </c>
      <c r="AE32">
        <v>4.5540000000000003</v>
      </c>
      <c r="AF32">
        <v>4.3440000000000003</v>
      </c>
      <c r="AG32">
        <v>4.1340000000000003</v>
      </c>
      <c r="AH32">
        <v>3.9449999999999998</v>
      </c>
      <c r="AI32">
        <v>3.7639999999999998</v>
      </c>
      <c r="AJ32">
        <v>3.5449999999999999</v>
      </c>
      <c r="AK32">
        <v>3.327</v>
      </c>
    </row>
    <row r="33" spans="8:37" x14ac:dyDescent="0.25">
      <c r="H33" t="s">
        <v>29</v>
      </c>
      <c r="I33" t="s">
        <v>30</v>
      </c>
      <c r="J33">
        <v>5.024</v>
      </c>
      <c r="K33">
        <v>4.8410000000000002</v>
      </c>
      <c r="L33">
        <v>4.6219999999999999</v>
      </c>
      <c r="M33">
        <v>4.3940000000000001</v>
      </c>
      <c r="N33">
        <v>4.1429999999999998</v>
      </c>
      <c r="O33">
        <v>3.8820000000000001</v>
      </c>
      <c r="P33">
        <v>3.6160000000000001</v>
      </c>
      <c r="Q33">
        <v>3.3519999999999999</v>
      </c>
      <c r="R33">
        <v>2.86</v>
      </c>
      <c r="S33">
        <v>2.4329999999999998</v>
      </c>
      <c r="T33">
        <v>2.0550000000000002</v>
      </c>
      <c r="U33">
        <v>1.74</v>
      </c>
      <c r="V33">
        <v>1.4670000000000001</v>
      </c>
      <c r="W33">
        <v>1.266</v>
      </c>
      <c r="X33">
        <v>1.089</v>
      </c>
      <c r="Y33">
        <v>0.93</v>
      </c>
      <c r="Z33">
        <v>0.79500000000000004</v>
      </c>
      <c r="AA33">
        <v>0.622</v>
      </c>
      <c r="AB33">
        <v>0.51300000000000001</v>
      </c>
      <c r="AC33">
        <v>0.41599999999999998</v>
      </c>
      <c r="AD33">
        <v>0.33100000000000002</v>
      </c>
      <c r="AE33">
        <v>0.26200000000000001</v>
      </c>
      <c r="AF33">
        <v>0.19900000000000001</v>
      </c>
      <c r="AG33">
        <v>0.14199999999999999</v>
      </c>
      <c r="AH33">
        <v>0.09</v>
      </c>
      <c r="AI33">
        <v>4.2999999999999997E-2</v>
      </c>
      <c r="AJ33">
        <v>3.9E-2</v>
      </c>
      <c r="AK33">
        <v>3.5999999999999997E-2</v>
      </c>
    </row>
    <row r="34" spans="8:37" x14ac:dyDescent="0.25">
      <c r="H34" t="s">
        <v>31</v>
      </c>
      <c r="I34" t="s">
        <v>32</v>
      </c>
      <c r="J34">
        <v>2.927</v>
      </c>
      <c r="K34">
        <v>2.7549999999999999</v>
      </c>
      <c r="L34">
        <v>2.573</v>
      </c>
      <c r="M34">
        <v>2.23</v>
      </c>
      <c r="N34">
        <v>1.9119999999999999</v>
      </c>
      <c r="O34">
        <v>1.639</v>
      </c>
      <c r="P34">
        <v>1.38</v>
      </c>
      <c r="Q34">
        <v>1.1160000000000001</v>
      </c>
      <c r="R34">
        <v>0.90100000000000002</v>
      </c>
      <c r="S34">
        <v>0.72499999999999998</v>
      </c>
      <c r="T34">
        <v>0.58199999999999996</v>
      </c>
      <c r="U34">
        <v>0.46500000000000002</v>
      </c>
      <c r="V34">
        <v>0.36899999999999999</v>
      </c>
      <c r="W34">
        <v>0.29899999999999999</v>
      </c>
      <c r="X34">
        <v>0.24199999999999999</v>
      </c>
      <c r="Y34">
        <v>0.192</v>
      </c>
      <c r="Z34">
        <v>0.152</v>
      </c>
      <c r="AA34">
        <v>0.113</v>
      </c>
      <c r="AB34">
        <v>8.6999999999999994E-2</v>
      </c>
      <c r="AC34">
        <v>6.5000000000000002E-2</v>
      </c>
      <c r="AD34">
        <v>4.8000000000000001E-2</v>
      </c>
      <c r="AE34">
        <v>3.6999999999999998E-2</v>
      </c>
      <c r="AF34">
        <v>2.7E-2</v>
      </c>
      <c r="AG34">
        <v>1.9E-2</v>
      </c>
      <c r="AH34">
        <v>1.2E-2</v>
      </c>
      <c r="AI34">
        <v>6.0000000000000001E-3</v>
      </c>
      <c r="AJ34">
        <v>5.0000000000000001E-3</v>
      </c>
      <c r="AK34">
        <v>5.0000000000000001E-3</v>
      </c>
    </row>
    <row r="35" spans="8:37" x14ac:dyDescent="0.25">
      <c r="H35" t="s">
        <v>33</v>
      </c>
      <c r="I35" t="s">
        <v>34</v>
      </c>
      <c r="J35">
        <v>1.3979999999999999</v>
      </c>
      <c r="K35">
        <v>1.1619999999999999</v>
      </c>
      <c r="L35">
        <v>0.97299999999999998</v>
      </c>
      <c r="M35">
        <v>0.751</v>
      </c>
      <c r="N35">
        <v>0.55300000000000005</v>
      </c>
      <c r="O35">
        <v>0.40500000000000003</v>
      </c>
      <c r="P35">
        <v>0.28000000000000003</v>
      </c>
      <c r="Q35">
        <v>0.19500000000000001</v>
      </c>
      <c r="R35">
        <v>0.13700000000000001</v>
      </c>
      <c r="S35">
        <v>9.7000000000000003E-2</v>
      </c>
      <c r="T35">
        <v>6.8000000000000005E-2</v>
      </c>
      <c r="U35">
        <v>4.9000000000000002E-2</v>
      </c>
      <c r="V35">
        <v>3.5000000000000003E-2</v>
      </c>
      <c r="W35">
        <v>2.7E-2</v>
      </c>
      <c r="X35">
        <v>2.1000000000000001E-2</v>
      </c>
      <c r="Y35">
        <v>1.6E-2</v>
      </c>
      <c r="Z35">
        <v>1.2E-2</v>
      </c>
      <c r="AA35">
        <v>8.9999999999999993E-3</v>
      </c>
      <c r="AB35">
        <v>7.0000000000000001E-3</v>
      </c>
      <c r="AC35">
        <v>5.0000000000000001E-3</v>
      </c>
      <c r="AD35">
        <v>3.0000000000000001E-3</v>
      </c>
      <c r="AE35">
        <v>2E-3</v>
      </c>
      <c r="AF35">
        <v>2E-3</v>
      </c>
      <c r="AG35">
        <v>1E-3</v>
      </c>
      <c r="AH35">
        <v>1E-3</v>
      </c>
      <c r="AI35">
        <v>0</v>
      </c>
      <c r="AJ35">
        <v>0</v>
      </c>
      <c r="AK35">
        <v>0</v>
      </c>
    </row>
    <row r="37" spans="8:37" x14ac:dyDescent="0.25">
      <c r="I37" t="s">
        <v>35</v>
      </c>
      <c r="J37">
        <v>4.3250000000000002</v>
      </c>
      <c r="K37">
        <v>3.9169999999999998</v>
      </c>
      <c r="L37">
        <v>3.5459999999999998</v>
      </c>
      <c r="M37">
        <v>2.9809999999999999</v>
      </c>
      <c r="N37">
        <v>2.4649999999999999</v>
      </c>
      <c r="O37">
        <v>2.044</v>
      </c>
      <c r="P37">
        <v>1.66</v>
      </c>
      <c r="Q37">
        <v>1.3110000000000002</v>
      </c>
      <c r="R37">
        <v>1.038</v>
      </c>
      <c r="S37">
        <v>0.82199999999999995</v>
      </c>
      <c r="T37">
        <v>0.64999999999999991</v>
      </c>
      <c r="U37">
        <v>0.51400000000000001</v>
      </c>
      <c r="V37">
        <v>0.40400000000000003</v>
      </c>
      <c r="W37">
        <v>0.32600000000000001</v>
      </c>
      <c r="X37">
        <v>0.26300000000000001</v>
      </c>
      <c r="Y37">
        <v>0.20800000000000002</v>
      </c>
      <c r="Z37">
        <v>0.16400000000000001</v>
      </c>
      <c r="AA37">
        <v>0.122</v>
      </c>
      <c r="AB37">
        <v>9.4E-2</v>
      </c>
      <c r="AC37">
        <v>7.0000000000000007E-2</v>
      </c>
      <c r="AD37">
        <v>5.1000000000000004E-2</v>
      </c>
      <c r="AE37">
        <v>3.9E-2</v>
      </c>
      <c r="AF37">
        <v>2.8999999999999998E-2</v>
      </c>
      <c r="AG37">
        <v>0.02</v>
      </c>
      <c r="AH37">
        <v>1.3000000000000001E-2</v>
      </c>
      <c r="AI37">
        <v>6.0000000000000001E-3</v>
      </c>
      <c r="AJ37">
        <v>5.0000000000000001E-3</v>
      </c>
      <c r="AK37">
        <v>5.0000000000000001E-3</v>
      </c>
    </row>
    <row r="38" spans="8:37" x14ac:dyDescent="0.25">
      <c r="L38" s="9">
        <v>-0.69687861271676299</v>
      </c>
    </row>
    <row r="39" spans="8:37" x14ac:dyDescent="0.25">
      <c r="J39" s="9">
        <v>8.4463706742539529E-2</v>
      </c>
    </row>
    <row r="41" spans="8:37" x14ac:dyDescent="0.25">
      <c r="H41" s="1" t="s">
        <v>36</v>
      </c>
    </row>
    <row r="42" spans="8:37" x14ac:dyDescent="0.25">
      <c r="H42" t="s">
        <v>37</v>
      </c>
      <c r="I42" t="s">
        <v>38</v>
      </c>
      <c r="J42">
        <v>0</v>
      </c>
      <c r="K42">
        <v>0.25</v>
      </c>
      <c r="L42">
        <v>0.54800000000000004</v>
      </c>
      <c r="M42">
        <v>0.84699999999999998</v>
      </c>
      <c r="N42">
        <v>1.145</v>
      </c>
      <c r="O42">
        <v>1.444</v>
      </c>
      <c r="P42">
        <v>1.742</v>
      </c>
      <c r="Q42">
        <v>1.952</v>
      </c>
      <c r="R42">
        <v>2.1619999999999999</v>
      </c>
      <c r="S42">
        <v>2.3719999999999999</v>
      </c>
      <c r="T42">
        <v>2.5819999999999999</v>
      </c>
      <c r="U42">
        <v>2.7919999999999998</v>
      </c>
      <c r="V42">
        <v>3.0019999999999998</v>
      </c>
      <c r="W42">
        <v>3.2120000000000002</v>
      </c>
      <c r="X42">
        <v>3.4220000000000002</v>
      </c>
      <c r="Y42">
        <v>3.6320000000000001</v>
      </c>
      <c r="Z42">
        <v>3.8420000000000001</v>
      </c>
      <c r="AA42">
        <v>3.9420000000000002</v>
      </c>
      <c r="AB42">
        <v>4.0419999999999998</v>
      </c>
      <c r="AC42">
        <v>4.1420000000000003</v>
      </c>
      <c r="AD42">
        <v>4.242</v>
      </c>
      <c r="AE42">
        <v>4.3419999999999996</v>
      </c>
      <c r="AF42">
        <v>4.4420000000000002</v>
      </c>
      <c r="AG42">
        <v>4.5419999999999998</v>
      </c>
      <c r="AH42">
        <v>4.6420000000000003</v>
      </c>
      <c r="AI42">
        <v>4.742</v>
      </c>
      <c r="AJ42">
        <v>4.8419999999999996</v>
      </c>
      <c r="AK42">
        <v>4.9420000000000002</v>
      </c>
    </row>
    <row r="43" spans="8:37" x14ac:dyDescent="0.25">
      <c r="H43" t="s">
        <v>39</v>
      </c>
      <c r="I43" t="s">
        <v>40</v>
      </c>
      <c r="J43">
        <v>30.225000000000001</v>
      </c>
      <c r="K43">
        <v>30.195</v>
      </c>
      <c r="L43">
        <v>30.164999999999999</v>
      </c>
      <c r="M43">
        <v>30.134</v>
      </c>
      <c r="N43">
        <v>30.103000000000002</v>
      </c>
      <c r="O43">
        <v>30.071999999999999</v>
      </c>
      <c r="P43">
        <v>30.04</v>
      </c>
      <c r="Q43">
        <v>30.007999999999999</v>
      </c>
      <c r="R43">
        <v>29.975999999999999</v>
      </c>
      <c r="S43">
        <v>29.943999999999999</v>
      </c>
      <c r="T43">
        <v>29.911999999999999</v>
      </c>
      <c r="U43">
        <v>29.879000000000001</v>
      </c>
      <c r="V43">
        <v>29.847000000000001</v>
      </c>
      <c r="W43">
        <v>29.814</v>
      </c>
      <c r="X43">
        <v>29.780999999999999</v>
      </c>
      <c r="Y43">
        <v>29.748000000000001</v>
      </c>
      <c r="Z43">
        <v>29.713999999999999</v>
      </c>
      <c r="AA43">
        <v>29.664000000000001</v>
      </c>
      <c r="AB43">
        <v>29.614000000000001</v>
      </c>
      <c r="AC43">
        <v>29.562999999999999</v>
      </c>
      <c r="AD43">
        <v>29.513000000000002</v>
      </c>
      <c r="AE43">
        <v>29.462</v>
      </c>
      <c r="AF43">
        <v>29.411000000000001</v>
      </c>
      <c r="AG43">
        <v>29.36</v>
      </c>
      <c r="AH43">
        <v>29.31</v>
      </c>
      <c r="AI43">
        <v>29.259</v>
      </c>
      <c r="AJ43">
        <v>29.207999999999998</v>
      </c>
      <c r="AK43">
        <v>29.15</v>
      </c>
    </row>
    <row r="45" spans="8:37" x14ac:dyDescent="0.25">
      <c r="H45" t="s">
        <v>41</v>
      </c>
      <c r="J45">
        <v>30.225000000000001</v>
      </c>
      <c r="K45">
        <v>30.445</v>
      </c>
      <c r="L45">
        <v>30.713000000000001</v>
      </c>
      <c r="M45">
        <v>30.981000000000002</v>
      </c>
      <c r="N45">
        <v>31.248000000000001</v>
      </c>
      <c r="O45">
        <v>31.515000000000001</v>
      </c>
      <c r="P45">
        <v>31.782</v>
      </c>
      <c r="Q45">
        <v>31.960999999999999</v>
      </c>
      <c r="R45">
        <v>32.139000000000003</v>
      </c>
      <c r="S45">
        <v>32.316000000000003</v>
      </c>
      <c r="T45">
        <v>32.494</v>
      </c>
      <c r="U45">
        <v>32.671999999999997</v>
      </c>
      <c r="V45">
        <v>32.848999999999997</v>
      </c>
      <c r="W45">
        <v>33.026000000000003</v>
      </c>
      <c r="X45">
        <v>33.203000000000003</v>
      </c>
      <c r="Y45">
        <v>33.380000000000003</v>
      </c>
      <c r="Z45">
        <v>33.557000000000002</v>
      </c>
      <c r="AA45">
        <v>33.606000000000002</v>
      </c>
      <c r="AB45">
        <v>33.655999999999999</v>
      </c>
      <c r="AC45">
        <v>33.704999999999998</v>
      </c>
      <c r="AD45">
        <v>33.755000000000003</v>
      </c>
      <c r="AE45">
        <v>33.804000000000002</v>
      </c>
      <c r="AF45">
        <v>33.853000000000002</v>
      </c>
      <c r="AG45">
        <v>33.902999999999999</v>
      </c>
      <c r="AH45">
        <v>33.951999999999998</v>
      </c>
      <c r="AI45">
        <v>34.000999999999998</v>
      </c>
      <c r="AJ45">
        <v>34.049999999999997</v>
      </c>
      <c r="AK45">
        <v>34.091999999999999</v>
      </c>
    </row>
  </sheetData>
  <mergeCells count="4">
    <mergeCell ref="H10:O10"/>
    <mergeCell ref="I11:K11"/>
    <mergeCell ref="I13:K13"/>
    <mergeCell ref="P13:AK1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892AE-C4D5-40B9-B52A-C309B951E6BE}">
  <dimension ref="A1:AD3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2" sqref="H12"/>
    </sheetView>
  </sheetViews>
  <sheetFormatPr baseColWidth="10" defaultRowHeight="15" x14ac:dyDescent="0.25"/>
  <cols>
    <col min="1" max="1" width="36" customWidth="1"/>
  </cols>
  <sheetData>
    <row r="1" spans="1:30" x14ac:dyDescent="0.25"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</row>
    <row r="2" spans="1:30" x14ac:dyDescent="0.25">
      <c r="A2" s="15" t="s">
        <v>65</v>
      </c>
    </row>
    <row r="3" spans="1:30" s="1" customFormat="1" x14ac:dyDescent="0.25">
      <c r="A3" s="1" t="s">
        <v>42</v>
      </c>
      <c r="C3" s="21">
        <v>11.458</v>
      </c>
      <c r="D3" s="21">
        <v>12.267641100000001</v>
      </c>
      <c r="E3" s="21">
        <v>12.208245466666668</v>
      </c>
      <c r="F3" s="21">
        <v>13.523904900000002</v>
      </c>
      <c r="G3" s="21">
        <v>14.286617600000001</v>
      </c>
      <c r="H3" s="21">
        <v>16.005077500000002</v>
      </c>
      <c r="I3" s="21">
        <v>18.748262400000002</v>
      </c>
      <c r="J3" s="21">
        <v>22.345996600000003</v>
      </c>
      <c r="K3" s="21">
        <v>24.338304745416671</v>
      </c>
      <c r="L3" s="21">
        <v>27.323666883333342</v>
      </c>
      <c r="M3" s="21">
        <v>29.812215097500005</v>
      </c>
      <c r="N3" s="21">
        <v>31.749303040000004</v>
      </c>
      <c r="O3" s="21">
        <v>33.213787483333341</v>
      </c>
      <c r="P3" s="21">
        <v>34.234570975000011</v>
      </c>
      <c r="Q3" s="21">
        <v>34.577414208333344</v>
      </c>
      <c r="R3" s="21">
        <v>34.620516840000008</v>
      </c>
      <c r="S3" s="21">
        <v>34.391305767500008</v>
      </c>
      <c r="T3" s="21">
        <v>33.736632233333346</v>
      </c>
      <c r="U3" s="21">
        <v>33.227875727083344</v>
      </c>
      <c r="V3" s="21">
        <v>32.72427840000001</v>
      </c>
      <c r="W3" s="21">
        <v>32.249861965416677</v>
      </c>
      <c r="X3" s="21">
        <v>31.770923308333344</v>
      </c>
      <c r="Y3" s="21">
        <v>31.306289437500009</v>
      </c>
      <c r="Z3" s="21">
        <v>30.85665422000001</v>
      </c>
      <c r="AA3" s="21">
        <v>30.418476454166676</v>
      </c>
      <c r="AB3" s="21">
        <v>29.992477130000012</v>
      </c>
      <c r="AC3" s="21">
        <v>29.831226777916676</v>
      </c>
      <c r="AD3" s="21">
        <v>29.662171733333341</v>
      </c>
    </row>
    <row r="4" spans="1:30" s="1" customFormat="1" x14ac:dyDescent="0.25">
      <c r="A4" s="1" t="s">
        <v>45</v>
      </c>
      <c r="C4" s="21">
        <v>91.073100697362747</v>
      </c>
      <c r="D4" s="21">
        <v>96.810133325983116</v>
      </c>
      <c r="E4" s="21">
        <v>93.553525936534498</v>
      </c>
      <c r="F4" s="21">
        <v>88.769941454216948</v>
      </c>
      <c r="G4" s="21">
        <v>82.852804232496368</v>
      </c>
      <c r="H4" s="21">
        <v>78.085130016666682</v>
      </c>
      <c r="I4" s="21">
        <v>72.867244683313686</v>
      </c>
      <c r="J4" s="21">
        <v>67.520762035176631</v>
      </c>
      <c r="K4" s="21">
        <v>63.404245026578351</v>
      </c>
      <c r="L4" s="21">
        <v>59.158788683736525</v>
      </c>
      <c r="M4" s="21">
        <v>55.345027321568679</v>
      </c>
      <c r="N4" s="21">
        <v>51.935912067322441</v>
      </c>
      <c r="O4" s="21">
        <v>48.816965035792144</v>
      </c>
      <c r="P4" s="21">
        <v>45.488281131734709</v>
      </c>
      <c r="Q4" s="21">
        <v>42.361686227274106</v>
      </c>
      <c r="R4" s="21">
        <v>39.469857769751606</v>
      </c>
      <c r="S4" s="21">
        <v>37.316451232465397</v>
      </c>
      <c r="T4" s="21">
        <v>29.211601968421466</v>
      </c>
      <c r="U4" s="21">
        <v>32.847981798955743</v>
      </c>
      <c r="V4" s="21">
        <v>31.268531607862524</v>
      </c>
      <c r="W4" s="21">
        <v>29.957945896578767</v>
      </c>
      <c r="X4" s="21">
        <v>28.900666015854199</v>
      </c>
      <c r="Y4" s="21">
        <v>28.06975184235225</v>
      </c>
      <c r="Z4" s="21">
        <v>27.065806516350012</v>
      </c>
      <c r="AA4" s="21">
        <v>26.309126504398105</v>
      </c>
      <c r="AB4" s="21">
        <v>25.51911927565213</v>
      </c>
      <c r="AC4" s="21">
        <v>24.633593490643658</v>
      </c>
      <c r="AD4" s="21">
        <v>23.69458028573807</v>
      </c>
    </row>
    <row r="5" spans="1:30" s="3" customFormat="1" x14ac:dyDescent="0.25">
      <c r="A5" s="22" t="s">
        <v>46</v>
      </c>
      <c r="C5" s="23">
        <v>91</v>
      </c>
      <c r="D5" s="23">
        <v>87.912009900000001</v>
      </c>
      <c r="E5" s="23">
        <v>84.929125866666666</v>
      </c>
      <c r="F5" s="23">
        <v>80.55764640000001</v>
      </c>
      <c r="G5" s="23">
        <v>75.156531200000003</v>
      </c>
      <c r="H5" s="23">
        <v>70.80142583333334</v>
      </c>
      <c r="I5" s="23">
        <v>66.03806440000001</v>
      </c>
      <c r="J5" s="23">
        <v>61.157655599999998</v>
      </c>
      <c r="K5" s="23">
        <v>57.282613788750012</v>
      </c>
      <c r="L5" s="23">
        <v>53.29186805833335</v>
      </c>
      <c r="M5" s="23">
        <v>49.695694458750012</v>
      </c>
      <c r="N5" s="23">
        <v>46.469734826666674</v>
      </c>
      <c r="O5" s="23">
        <v>43.509954897916678</v>
      </c>
      <c r="P5" s="23">
        <v>40.335965740000013</v>
      </c>
      <c r="Q5" s="23">
        <v>37.350131385416681</v>
      </c>
      <c r="R5" s="23">
        <v>34.582769433333347</v>
      </c>
      <c r="S5" s="23">
        <v>32.490195361250009</v>
      </c>
      <c r="T5" s="23">
        <v>24.988292866666672</v>
      </c>
      <c r="U5" s="23">
        <v>28.163755092083338</v>
      </c>
      <c r="V5" s="23">
        <v>26.600124000000005</v>
      </c>
      <c r="W5" s="23">
        <v>25.283768076666675</v>
      </c>
      <c r="X5" s="23">
        <v>24.194483985000005</v>
      </c>
      <c r="Y5" s="23">
        <v>23.313230500000007</v>
      </c>
      <c r="Z5" s="23">
        <v>22.276176086666673</v>
      </c>
      <c r="AA5" s="23">
        <v>21.466155235416672</v>
      </c>
      <c r="AB5" s="23">
        <v>20.627287065000008</v>
      </c>
      <c r="AC5" s="23">
        <v>19.703119041250005</v>
      </c>
      <c r="AD5" s="23">
        <v>18.733170133333335</v>
      </c>
    </row>
    <row r="6" spans="1:30" s="3" customFormat="1" x14ac:dyDescent="0.25">
      <c r="A6" s="22" t="s">
        <v>47</v>
      </c>
      <c r="C6" s="23">
        <v>7.3100697362742204E-2</v>
      </c>
      <c r="D6" s="23">
        <v>9.7202214530095851E-2</v>
      </c>
      <c r="E6" s="23">
        <v>0.11953407563741233</v>
      </c>
      <c r="F6" s="23">
        <v>0.14230037656083527</v>
      </c>
      <c r="G6" s="23">
        <v>0.1641999204512346</v>
      </c>
      <c r="H6" s="23">
        <v>0.18505600000000005</v>
      </c>
      <c r="I6" s="23">
        <v>0.20488531210333386</v>
      </c>
      <c r="J6" s="23">
        <v>0.22485534106965527</v>
      </c>
      <c r="K6" s="23">
        <v>0.35760896268485143</v>
      </c>
      <c r="L6" s="23">
        <v>0.48884892688166759</v>
      </c>
      <c r="M6" s="23">
        <v>0.61796674267605656</v>
      </c>
      <c r="N6" s="23">
        <v>0.74473068908099815</v>
      </c>
      <c r="O6" s="23">
        <v>0.86910422553072297</v>
      </c>
      <c r="P6" s="23">
        <v>1.0170171070315379</v>
      </c>
      <c r="Q6" s="23">
        <v>1.160492457559779</v>
      </c>
      <c r="R6" s="23">
        <v>1.2989194482590185</v>
      </c>
      <c r="S6" s="23">
        <v>1.4338512137185349</v>
      </c>
      <c r="T6" s="23">
        <v>1.5677089228073844</v>
      </c>
      <c r="U6" s="23">
        <v>1.6980465433309719</v>
      </c>
      <c r="V6" s="23">
        <v>1.8258138253295626</v>
      </c>
      <c r="W6" s="23">
        <v>1.9507281929503824</v>
      </c>
      <c r="X6" s="23">
        <v>2.078848756685626</v>
      </c>
      <c r="Y6" s="23">
        <v>2.2047257203202193</v>
      </c>
      <c r="Z6" s="23">
        <v>2.3291025645606052</v>
      </c>
      <c r="AA6" s="23">
        <v>2.4512324958543306</v>
      </c>
      <c r="AB6" s="23">
        <v>2.5719122765019273</v>
      </c>
      <c r="AC6" s="23">
        <v>2.6910568593351369</v>
      </c>
      <c r="AD6" s="23">
        <v>2.8073573991558196</v>
      </c>
    </row>
    <row r="7" spans="1:30" s="1" customFormat="1" x14ac:dyDescent="0.25">
      <c r="A7" s="1" t="s">
        <v>43</v>
      </c>
      <c r="C7" s="21">
        <v>31</v>
      </c>
      <c r="D7" s="21">
        <v>27.531890099999998</v>
      </c>
      <c r="E7" s="21">
        <v>24.328878933333336</v>
      </c>
      <c r="F7" s="21">
        <v>20.7751302</v>
      </c>
      <c r="G7" s="21">
        <v>17.0477056</v>
      </c>
      <c r="H7" s="21">
        <v>14.122731666666668</v>
      </c>
      <c r="I7" s="21">
        <v>11.426564800000001</v>
      </c>
      <c r="J7" s="21">
        <v>9.0666506000000009</v>
      </c>
      <c r="K7" s="21">
        <v>6.9634920745833355</v>
      </c>
      <c r="L7" s="21">
        <v>5.0408914083333354</v>
      </c>
      <c r="M7" s="21">
        <v>3.257263860000001</v>
      </c>
      <c r="N7" s="21">
        <v>1.5833126400000004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  <c r="AC7" s="21">
        <v>0</v>
      </c>
      <c r="AD7" s="21">
        <v>0</v>
      </c>
    </row>
    <row r="8" spans="1:30" s="1" customFormat="1" x14ac:dyDescent="0.25">
      <c r="A8" s="1" t="s">
        <v>44</v>
      </c>
      <c r="C8" s="21">
        <v>76.102999999999994</v>
      </c>
      <c r="D8" s="21">
        <v>73.572298799999999</v>
      </c>
      <c r="E8" s="21">
        <v>71.268468133333329</v>
      </c>
      <c r="F8" s="21">
        <v>68.384883600000009</v>
      </c>
      <c r="G8" s="21">
        <v>65.213772800000001</v>
      </c>
      <c r="H8" s="21">
        <v>62.57048333333335</v>
      </c>
      <c r="I8" s="21">
        <v>59.876157600000013</v>
      </c>
      <c r="J8" s="21">
        <v>57.152052600000005</v>
      </c>
      <c r="K8" s="21">
        <v>55.165256346666681</v>
      </c>
      <c r="L8" s="21">
        <v>53.22882314166668</v>
      </c>
      <c r="M8" s="21">
        <v>51.467818188750016</v>
      </c>
      <c r="N8" s="21">
        <v>49.863185493333347</v>
      </c>
      <c r="O8" s="21">
        <v>48.380160350000011</v>
      </c>
      <c r="P8" s="21">
        <v>47.260796455000019</v>
      </c>
      <c r="Q8" s="21">
        <v>46.169928727083345</v>
      </c>
      <c r="R8" s="21">
        <v>45.146776220000014</v>
      </c>
      <c r="S8" s="21">
        <v>44.297183576250013</v>
      </c>
      <c r="T8" s="21">
        <v>41.955824133333344</v>
      </c>
      <c r="U8" s="21">
        <v>42.384713980000008</v>
      </c>
      <c r="V8" s="21">
        <v>41.599039200000007</v>
      </c>
      <c r="W8" s="21">
        <v>40.885103767083351</v>
      </c>
      <c r="X8" s="21">
        <v>40.283939856666677</v>
      </c>
      <c r="Y8" s="21">
        <v>39.738770750000015</v>
      </c>
      <c r="Z8" s="21">
        <v>39.185313973333344</v>
      </c>
      <c r="AA8" s="21">
        <v>38.689560216666678</v>
      </c>
      <c r="AB8" s="21">
        <v>38.202041570000013</v>
      </c>
      <c r="AC8" s="21">
        <v>37.625619009166677</v>
      </c>
      <c r="AD8" s="21">
        <v>37.01231893333334</v>
      </c>
    </row>
    <row r="9" spans="1:30" s="3" customFormat="1" x14ac:dyDescent="0.25">
      <c r="A9" s="22" t="s">
        <v>48</v>
      </c>
      <c r="C9" s="23">
        <v>43.212696382129486</v>
      </c>
      <c r="D9" s="23">
        <v>42.31385880054988</v>
      </c>
      <c r="E9" s="23">
        <v>41.536483704433351</v>
      </c>
      <c r="F9" s="23">
        <v>40.667520379935695</v>
      </c>
      <c r="G9" s="23">
        <v>39.825102217033759</v>
      </c>
      <c r="H9" s="23">
        <v>39.024819422050811</v>
      </c>
      <c r="I9" s="23">
        <v>38.230836629390396</v>
      </c>
      <c r="J9" s="23">
        <v>37.358549909254364</v>
      </c>
      <c r="K9" s="23">
        <v>36.866512379882913</v>
      </c>
      <c r="L9" s="23">
        <v>36.413810135346651</v>
      </c>
      <c r="M9" s="23">
        <v>35.99230261723541</v>
      </c>
      <c r="N9" s="23">
        <v>35.597345033866596</v>
      </c>
      <c r="O9" s="23">
        <v>35.226321966904536</v>
      </c>
      <c r="P9" s="23">
        <v>34.836627156052366</v>
      </c>
      <c r="Q9" s="23">
        <v>34.42524884688283</v>
      </c>
      <c r="R9" s="23">
        <v>34.027908786349002</v>
      </c>
      <c r="S9" s="23">
        <v>33.639454757964209</v>
      </c>
      <c r="T9" s="23">
        <v>33.160118570066786</v>
      </c>
      <c r="U9" s="23">
        <v>32.707682146040369</v>
      </c>
      <c r="V9" s="23">
        <v>32.265963057074885</v>
      </c>
      <c r="W9" s="23">
        <v>31.838617549383535</v>
      </c>
      <c r="X9" s="23">
        <v>31.515579046215009</v>
      </c>
      <c r="Y9" s="23">
        <v>31.199762526567994</v>
      </c>
      <c r="Z9" s="23">
        <v>30.903146800840062</v>
      </c>
      <c r="AA9" s="23">
        <v>30.61041600465461</v>
      </c>
      <c r="AB9" s="23">
        <v>30.331026198109832</v>
      </c>
      <c r="AC9" s="23">
        <v>29.983103118584342</v>
      </c>
      <c r="AD9" s="23">
        <v>29.609635619385557</v>
      </c>
    </row>
    <row r="10" spans="1:30" s="3" customFormat="1" x14ac:dyDescent="0.25">
      <c r="A10" s="22" t="s">
        <v>49</v>
      </c>
      <c r="C10" s="23">
        <v>32.890303617870508</v>
      </c>
      <c r="D10" s="23">
        <v>31.258439999450115</v>
      </c>
      <c r="E10" s="23">
        <v>29.731984428899981</v>
      </c>
      <c r="F10" s="23">
        <v>27.717363220064318</v>
      </c>
      <c r="G10" s="23">
        <v>25.388670582966245</v>
      </c>
      <c r="H10" s="23">
        <v>23.545663911282535</v>
      </c>
      <c r="I10" s="23">
        <v>21.645320970609614</v>
      </c>
      <c r="J10" s="23">
        <v>19.793502690745637</v>
      </c>
      <c r="K10" s="23">
        <v>18.298743966783768</v>
      </c>
      <c r="L10" s="23">
        <v>16.815013006320029</v>
      </c>
      <c r="M10" s="23">
        <v>15.475515571514606</v>
      </c>
      <c r="N10" s="23">
        <v>14.265840459466752</v>
      </c>
      <c r="O10" s="23">
        <v>13.153838383095477</v>
      </c>
      <c r="P10" s="23">
        <v>12.424169298947653</v>
      </c>
      <c r="Q10" s="23">
        <v>11.744679880200517</v>
      </c>
      <c r="R10" s="23">
        <v>11.118867433651015</v>
      </c>
      <c r="S10" s="23">
        <v>10.657728818285804</v>
      </c>
      <c r="T10" s="23">
        <v>8.7957055632665622</v>
      </c>
      <c r="U10" s="23">
        <v>9.6770318339596386</v>
      </c>
      <c r="V10" s="23">
        <v>9.3330761429251226</v>
      </c>
      <c r="W10" s="23">
        <v>9.0464862176998171</v>
      </c>
      <c r="X10" s="23">
        <v>8.7683608104516679</v>
      </c>
      <c r="Y10" s="23">
        <v>8.5390082234320186</v>
      </c>
      <c r="Z10" s="23">
        <v>8.2821671724932795</v>
      </c>
      <c r="AA10" s="23">
        <v>8.079144212012066</v>
      </c>
      <c r="AB10" s="23">
        <v>7.8710153718901825</v>
      </c>
      <c r="AC10" s="23">
        <v>7.6425158905823345</v>
      </c>
      <c r="AD10" s="23">
        <v>7.4026833139477812</v>
      </c>
    </row>
    <row r="11" spans="1:30" s="1" customFormat="1" x14ac:dyDescent="0.25">
      <c r="A11" s="1" t="s">
        <v>52</v>
      </c>
      <c r="C11" s="21">
        <v>6.8116285876132929</v>
      </c>
      <c r="D11" s="21">
        <v>9.5653715584841823</v>
      </c>
      <c r="E11" s="21">
        <v>10.642718164152287</v>
      </c>
      <c r="F11" s="21">
        <v>13.766432307565067</v>
      </c>
      <c r="G11" s="21">
        <v>14.421999410520801</v>
      </c>
      <c r="H11" s="21">
        <v>17.711066161904764</v>
      </c>
      <c r="I11" s="21">
        <v>17.561251687255041</v>
      </c>
      <c r="J11" s="21">
        <v>20.628961387205752</v>
      </c>
      <c r="K11" s="21">
        <v>20.185846512536276</v>
      </c>
      <c r="L11" s="21">
        <v>23.629980358624739</v>
      </c>
      <c r="M11" s="21">
        <v>22.794815459815666</v>
      </c>
      <c r="N11" s="21">
        <v>26.546917861108899</v>
      </c>
      <c r="O11" s="21">
        <v>25.499386496140815</v>
      </c>
      <c r="P11" s="21">
        <v>29.13796941698503</v>
      </c>
      <c r="Q11" s="21">
        <v>27.496667484400046</v>
      </c>
      <c r="R11" s="21">
        <v>31.315374162535065</v>
      </c>
      <c r="S11" s="21">
        <v>29.323258041641601</v>
      </c>
      <c r="T11" s="21">
        <v>33.128058638943344</v>
      </c>
      <c r="U11" s="21">
        <v>30.748053207805775</v>
      </c>
      <c r="V11" s="21">
        <v>34.495655581237259</v>
      </c>
      <c r="W11" s="21">
        <v>31.893187355217869</v>
      </c>
      <c r="X11" s="21">
        <v>35.237196942490101</v>
      </c>
      <c r="Y11" s="21">
        <v>32.123780190172802</v>
      </c>
      <c r="Z11" s="21">
        <v>35.494574392046403</v>
      </c>
      <c r="AA11" s="21">
        <v>32.358145721245634</v>
      </c>
      <c r="AB11" s="21">
        <v>35.69860259984771</v>
      </c>
      <c r="AC11" s="21">
        <v>32.544760060480129</v>
      </c>
      <c r="AD11" s="21">
        <v>35.882576002671527</v>
      </c>
    </row>
    <row r="12" spans="1:30" s="3" customFormat="1" x14ac:dyDescent="0.25">
      <c r="A12" s="22" t="s">
        <v>66</v>
      </c>
      <c r="C12" s="23">
        <v>1.397</v>
      </c>
      <c r="D12" s="23">
        <v>2.57883912</v>
      </c>
      <c r="E12" s="23">
        <v>3.2932377333333336</v>
      </c>
      <c r="F12" s="23">
        <v>4.5179234100000008</v>
      </c>
      <c r="G12" s="23">
        <v>4.9358592000000003</v>
      </c>
      <c r="H12" s="23">
        <v>6.2261274166666682</v>
      </c>
      <c r="I12" s="23">
        <v>6.2862688000000011</v>
      </c>
      <c r="J12" s="23">
        <v>7.4904776100000019</v>
      </c>
      <c r="K12" s="23">
        <v>7.4446685629166689</v>
      </c>
      <c r="L12" s="23">
        <v>8.819263328333335</v>
      </c>
      <c r="M12" s="23">
        <v>8.597849291250002</v>
      </c>
      <c r="N12" s="23">
        <v>10.107035605333335</v>
      </c>
      <c r="O12" s="23">
        <v>9.7902066875000031</v>
      </c>
      <c r="P12" s="23">
        <v>11.273546487500003</v>
      </c>
      <c r="Q12" s="23">
        <v>10.715295570833337</v>
      </c>
      <c r="R12" s="23">
        <v>12.28476182266667</v>
      </c>
      <c r="S12" s="23">
        <v>11.571862376250003</v>
      </c>
      <c r="T12" s="23">
        <v>13.150010793333339</v>
      </c>
      <c r="U12" s="23">
        <v>12.267754248750004</v>
      </c>
      <c r="V12" s="23">
        <v>13.829993760000004</v>
      </c>
      <c r="W12" s="23">
        <v>12.844621510000005</v>
      </c>
      <c r="X12" s="23">
        <v>14.146678238000003</v>
      </c>
      <c r="Y12" s="23">
        <v>12.851401281250004</v>
      </c>
      <c r="Z12" s="23">
        <v>14.197893328666673</v>
      </c>
      <c r="AA12" s="23">
        <v>12.938446706250005</v>
      </c>
      <c r="AB12" s="23">
        <v>14.279834723000006</v>
      </c>
      <c r="AC12" s="23">
        <v>13.033328330000003</v>
      </c>
      <c r="AD12" s="23">
        <v>14.396225066666673</v>
      </c>
    </row>
    <row r="13" spans="1:30" s="3" customFormat="1" x14ac:dyDescent="0.25">
      <c r="A13" s="22" t="s">
        <v>67</v>
      </c>
      <c r="C13" s="23">
        <v>4.8818482682347861</v>
      </c>
      <c r="D13" s="23">
        <v>6.2707997093917189</v>
      </c>
      <c r="E13" s="23">
        <v>6.5821543709838117</v>
      </c>
      <c r="F13" s="23">
        <v>8.2757932609311737</v>
      </c>
      <c r="G13" s="23">
        <v>8.4854927953868007</v>
      </c>
      <c r="H13" s="23">
        <v>10.25702516666667</v>
      </c>
      <c r="I13" s="23">
        <v>10.043771409897746</v>
      </c>
      <c r="J13" s="23">
        <v>11.657624882273137</v>
      </c>
      <c r="K13" s="23">
        <v>11.160125907759786</v>
      </c>
      <c r="L13" s="23">
        <v>12.814414808550691</v>
      </c>
      <c r="M13" s="23">
        <v>12.149847837143488</v>
      </c>
      <c r="N13" s="23">
        <v>13.934317747823297</v>
      </c>
      <c r="O13" s="23">
        <v>13.202382164318561</v>
      </c>
      <c r="P13" s="23">
        <v>14.889477081783385</v>
      </c>
      <c r="Q13" s="23">
        <v>13.882251022206473</v>
      </c>
      <c r="R13" s="23">
        <v>15.631338971593053</v>
      </c>
      <c r="S13" s="23">
        <v>14.472440695174368</v>
      </c>
      <c r="T13" s="23">
        <v>16.164438687985719</v>
      </c>
      <c r="U13" s="23">
        <v>14.827857491912065</v>
      </c>
      <c r="V13" s="23">
        <v>16.445858295552725</v>
      </c>
      <c r="W13" s="23">
        <v>15.030613503226188</v>
      </c>
      <c r="X13" s="23">
        <v>16.468384023149508</v>
      </c>
      <c r="Y13" s="23">
        <v>14.888004172599789</v>
      </c>
      <c r="Z13" s="23">
        <v>16.274334384535596</v>
      </c>
      <c r="AA13" s="23">
        <v>14.674090790560827</v>
      </c>
      <c r="AB13" s="23">
        <v>16.001881446516137</v>
      </c>
      <c r="AC13" s="23">
        <v>14.409218980449609</v>
      </c>
      <c r="AD13" s="23">
        <v>15.680536417793935</v>
      </c>
    </row>
    <row r="14" spans="1:30" s="3" customFormat="1" x14ac:dyDescent="0.25">
      <c r="A14" s="22" t="s">
        <v>50</v>
      </c>
      <c r="C14" s="23">
        <v>0.4821428571428571</v>
      </c>
      <c r="D14" s="23">
        <v>0.64166666666666661</v>
      </c>
      <c r="E14" s="23">
        <v>0.68452380952380942</v>
      </c>
      <c r="F14" s="23">
        <v>0.86428571428571421</v>
      </c>
      <c r="G14" s="23">
        <v>0.88690476190476164</v>
      </c>
      <c r="H14" s="23">
        <v>1.0869047619047618</v>
      </c>
      <c r="I14" s="23">
        <v>1.089285714285714</v>
      </c>
      <c r="J14" s="23">
        <v>1.3095238095238095</v>
      </c>
      <c r="K14" s="23">
        <v>1.3333333333333333</v>
      </c>
      <c r="L14" s="23">
        <v>1.6238095238095238</v>
      </c>
      <c r="M14" s="23">
        <v>1.6190476190476186</v>
      </c>
      <c r="N14" s="23">
        <v>1.9380952380952376</v>
      </c>
      <c r="O14" s="23">
        <v>1.9047619047619047</v>
      </c>
      <c r="P14" s="23">
        <v>2.2000000000000002</v>
      </c>
      <c r="Q14" s="23">
        <v>2.0952380952380953</v>
      </c>
      <c r="R14" s="23">
        <v>2.4095238095238098</v>
      </c>
      <c r="S14" s="23">
        <v>2.285714285714286</v>
      </c>
      <c r="T14" s="23">
        <v>2.6190476190476195</v>
      </c>
      <c r="U14" s="23">
        <v>2.4761904761904767</v>
      </c>
      <c r="V14" s="23">
        <v>2.8285714285714296</v>
      </c>
      <c r="W14" s="23">
        <v>2.6666666666666674</v>
      </c>
      <c r="X14" s="23">
        <v>3.0380952380952393</v>
      </c>
      <c r="Y14" s="23">
        <v>2.8571428571428577</v>
      </c>
      <c r="Z14" s="23">
        <v>3.2476190476190485</v>
      </c>
      <c r="AA14" s="23">
        <v>3.0476190476190483</v>
      </c>
      <c r="AB14" s="23">
        <v>3.4571428571428582</v>
      </c>
      <c r="AC14" s="23">
        <v>3.238095238095239</v>
      </c>
      <c r="AD14" s="23">
        <v>3.6666666666666665</v>
      </c>
    </row>
    <row r="15" spans="1:30" s="3" customFormat="1" x14ac:dyDescent="0.25">
      <c r="A15" s="22" t="s">
        <v>51</v>
      </c>
      <c r="C15" s="23">
        <v>5.0637462235649529E-2</v>
      </c>
      <c r="D15" s="23">
        <v>7.4066062425796983E-2</v>
      </c>
      <c r="E15" s="23">
        <v>8.2802250311332495E-2</v>
      </c>
      <c r="F15" s="23">
        <v>0.10842992234817812</v>
      </c>
      <c r="G15" s="23">
        <v>0.11374265322924061</v>
      </c>
      <c r="H15" s="23">
        <v>0.1410088166666667</v>
      </c>
      <c r="I15" s="23">
        <v>0.1419257630715802</v>
      </c>
      <c r="J15" s="23">
        <v>0.17133508540880504</v>
      </c>
      <c r="K15" s="23">
        <v>0.24771870852648556</v>
      </c>
      <c r="L15" s="23">
        <v>0.37249269793118733</v>
      </c>
      <c r="M15" s="23">
        <v>0.42807071237455996</v>
      </c>
      <c r="N15" s="23">
        <v>0.5674692698570315</v>
      </c>
      <c r="O15" s="23">
        <v>0.60203573956034451</v>
      </c>
      <c r="P15" s="23">
        <v>0.77494584770163533</v>
      </c>
      <c r="Q15" s="23">
        <v>0.80388279612213842</v>
      </c>
      <c r="R15" s="23">
        <v>0.98974955875153314</v>
      </c>
      <c r="S15" s="23">
        <v>0.99324068450294323</v>
      </c>
      <c r="T15" s="23">
        <v>1.1945615385766686</v>
      </c>
      <c r="U15" s="23">
        <v>1.1762509909532251</v>
      </c>
      <c r="V15" s="23">
        <v>1.3912320971130989</v>
      </c>
      <c r="W15" s="23">
        <v>1.3512856753250042</v>
      </c>
      <c r="X15" s="23">
        <v>1.5840394432453495</v>
      </c>
      <c r="Y15" s="23">
        <v>1.527231879180152</v>
      </c>
      <c r="Z15" s="23">
        <v>1.7747276312250861</v>
      </c>
      <c r="AA15" s="23">
        <v>1.69798917681576</v>
      </c>
      <c r="AB15" s="23">
        <v>1.9597435731887083</v>
      </c>
      <c r="AC15" s="23">
        <v>1.8641175119352766</v>
      </c>
      <c r="AD15" s="23">
        <v>2.1391478515442519</v>
      </c>
    </row>
    <row r="16" spans="1:30" s="1" customFormat="1" x14ac:dyDescent="0.25">
      <c r="A16" s="1" t="s">
        <v>53</v>
      </c>
      <c r="C16" s="21">
        <v>43.912999999999997</v>
      </c>
      <c r="D16" s="21">
        <v>44.306974140000008</v>
      </c>
      <c r="E16" s="21">
        <v>37.259436666666666</v>
      </c>
      <c r="F16" s="21">
        <v>37.828233630000007</v>
      </c>
      <c r="G16" s="21">
        <v>31.866649600000002</v>
      </c>
      <c r="H16" s="21">
        <v>32.462385083333345</v>
      </c>
      <c r="I16" s="21">
        <v>27.229750800000005</v>
      </c>
      <c r="J16" s="21">
        <v>27.452095880000005</v>
      </c>
      <c r="K16" s="21">
        <v>23.069337427500006</v>
      </c>
      <c r="L16" s="21">
        <v>23.378676255000006</v>
      </c>
      <c r="M16" s="21">
        <v>19.547170455000003</v>
      </c>
      <c r="N16" s="21">
        <v>19.739613226666673</v>
      </c>
      <c r="O16" s="21">
        <v>16.435276131250006</v>
      </c>
      <c r="P16" s="21">
        <v>16.435515937500007</v>
      </c>
      <c r="Q16" s="21">
        <v>13.474788341666672</v>
      </c>
      <c r="R16" s="21">
        <v>13.283224621333339</v>
      </c>
      <c r="S16" s="21">
        <v>10.758099715000002</v>
      </c>
      <c r="T16" s="21">
        <v>10.440740951666671</v>
      </c>
      <c r="U16" s="21">
        <v>8.2729568279166692</v>
      </c>
      <c r="V16" s="21">
        <v>7.8375026400000021</v>
      </c>
      <c r="W16" s="21">
        <v>6.0408894100000019</v>
      </c>
      <c r="X16" s="21">
        <v>6.2849036066666688</v>
      </c>
      <c r="Y16" s="21">
        <v>5.3803693125000009</v>
      </c>
      <c r="Z16" s="21">
        <v>5.6425970333333346</v>
      </c>
      <c r="AA16" s="21">
        <v>4.8606756791666683</v>
      </c>
      <c r="AB16" s="21">
        <v>5.093997755000002</v>
      </c>
      <c r="AC16" s="21">
        <v>4.4574049829166675</v>
      </c>
      <c r="AD16" s="21">
        <v>4.7468138666666677</v>
      </c>
    </row>
    <row r="20" spans="1:30" x14ac:dyDescent="0.25">
      <c r="A20" s="15" t="s">
        <v>58</v>
      </c>
    </row>
    <row r="21" spans="1:30" x14ac:dyDescent="0.25">
      <c r="A21" t="s">
        <v>59</v>
      </c>
      <c r="C21" s="2">
        <v>8.3170000000000002</v>
      </c>
      <c r="D21" s="2">
        <v>8.0120000000000005</v>
      </c>
      <c r="E21" s="2">
        <v>7.72</v>
      </c>
      <c r="F21" s="2">
        <v>7.4039999999999999</v>
      </c>
      <c r="G21" s="2">
        <v>7.0990000000000002</v>
      </c>
      <c r="H21" s="2">
        <v>6.7809999999999997</v>
      </c>
      <c r="I21" s="2">
        <v>6.45</v>
      </c>
      <c r="J21" s="2">
        <v>6.0890000000000004</v>
      </c>
      <c r="K21" s="2">
        <v>5.7549999999999999</v>
      </c>
      <c r="L21" s="2">
        <v>5.407</v>
      </c>
      <c r="M21" s="2">
        <v>5.0659999999999998</v>
      </c>
      <c r="N21" s="2">
        <v>4.7359999999999998</v>
      </c>
      <c r="O21" s="2">
        <v>4.4139999999999997</v>
      </c>
      <c r="P21" s="2">
        <v>4.0890000000000004</v>
      </c>
      <c r="Q21" s="2">
        <v>3.778</v>
      </c>
      <c r="R21" s="2">
        <v>3.4769999999999999</v>
      </c>
      <c r="S21" s="2">
        <v>3.1789999999999998</v>
      </c>
      <c r="T21" s="2">
        <v>2.8879999999999999</v>
      </c>
      <c r="U21" s="2">
        <v>2.593</v>
      </c>
      <c r="V21" s="2">
        <v>2.3029999999999999</v>
      </c>
      <c r="W21" s="2">
        <v>2.0169999999999999</v>
      </c>
      <c r="X21" s="2">
        <v>1.9470000000000001</v>
      </c>
      <c r="Y21" s="2">
        <v>1.87</v>
      </c>
      <c r="Z21" s="2">
        <v>1.8160000000000001</v>
      </c>
      <c r="AA21" s="2">
        <v>1.754</v>
      </c>
      <c r="AB21" s="2">
        <v>1.7010000000000001</v>
      </c>
      <c r="AC21" s="2">
        <v>1.66</v>
      </c>
      <c r="AD21" s="2">
        <v>1.629</v>
      </c>
    </row>
    <row r="22" spans="1:30" x14ac:dyDescent="0.25">
      <c r="A22" t="s">
        <v>60</v>
      </c>
      <c r="C22" s="2">
        <v>2.8959999999999999</v>
      </c>
      <c r="D22" s="2">
        <v>3.6419999999999999</v>
      </c>
      <c r="E22" s="2">
        <v>4.4980000000000002</v>
      </c>
      <c r="F22" s="2">
        <v>5.3159999999999998</v>
      </c>
      <c r="G22" s="2">
        <v>6.1849999999999996</v>
      </c>
      <c r="H22" s="2">
        <v>6.9960000000000004</v>
      </c>
      <c r="I22" s="2">
        <v>7.7450000000000001</v>
      </c>
      <c r="J22" s="2">
        <v>8.3729999999999993</v>
      </c>
      <c r="K22" s="2">
        <v>9.0920000000000005</v>
      </c>
      <c r="L22" s="2">
        <v>9.7509999999999994</v>
      </c>
      <c r="M22" s="2">
        <v>10.436999999999999</v>
      </c>
      <c r="N22" s="2">
        <v>11.154</v>
      </c>
      <c r="O22" s="2">
        <v>11.901999999999999</v>
      </c>
      <c r="P22" s="2">
        <v>12.522</v>
      </c>
      <c r="Q22" s="2">
        <v>13.178000000000001</v>
      </c>
      <c r="R22" s="2">
        <v>13.848000000000001</v>
      </c>
      <c r="S22" s="2">
        <v>14.472</v>
      </c>
      <c r="T22" s="2">
        <v>15.061</v>
      </c>
      <c r="U22" s="2">
        <v>15.583</v>
      </c>
      <c r="V22" s="2">
        <v>16.099</v>
      </c>
      <c r="W22" s="2">
        <v>16.582000000000001</v>
      </c>
      <c r="X22" s="2">
        <v>16.832000000000001</v>
      </c>
      <c r="Y22" s="2">
        <v>17.056000000000001</v>
      </c>
      <c r="Z22" s="2">
        <v>17.302</v>
      </c>
      <c r="AA22" s="2">
        <v>17.521999999999998</v>
      </c>
      <c r="AB22" s="2">
        <v>17.742000000000001</v>
      </c>
      <c r="AC22" s="2">
        <v>17.959</v>
      </c>
      <c r="AD22" s="2">
        <v>18.172000000000001</v>
      </c>
    </row>
    <row r="23" spans="1:30" s="3" customFormat="1" x14ac:dyDescent="0.25">
      <c r="A23" s="22" t="s">
        <v>54</v>
      </c>
      <c r="C23" s="24">
        <v>0.57899999999999996</v>
      </c>
      <c r="D23" s="24">
        <v>0.91300000000000003</v>
      </c>
      <c r="E23" s="24">
        <v>1.286</v>
      </c>
      <c r="F23" s="24">
        <v>1.6120000000000001</v>
      </c>
      <c r="G23" s="24">
        <v>1.958</v>
      </c>
      <c r="H23" s="24">
        <v>2.2749999999999999</v>
      </c>
      <c r="I23" s="24">
        <v>2.5619999999999998</v>
      </c>
      <c r="J23" s="24">
        <v>2.8079999999999998</v>
      </c>
      <c r="K23" s="24">
        <v>3.0950000000000002</v>
      </c>
      <c r="L23" s="24">
        <v>3.3530000000000002</v>
      </c>
      <c r="M23" s="24">
        <v>3.621</v>
      </c>
      <c r="N23" s="24">
        <v>3.903</v>
      </c>
      <c r="O23" s="24">
        <v>4.1980000000000004</v>
      </c>
      <c r="P23" s="24">
        <v>4.4480000000000004</v>
      </c>
      <c r="Q23" s="24">
        <v>4.7140000000000004</v>
      </c>
      <c r="R23" s="24">
        <v>4.9870000000000001</v>
      </c>
      <c r="S23" s="24">
        <v>5.242</v>
      </c>
      <c r="T23" s="24">
        <v>5.4880000000000004</v>
      </c>
      <c r="U23" s="24">
        <v>5.7060000000000004</v>
      </c>
      <c r="V23" s="24">
        <v>5.9219999999999997</v>
      </c>
      <c r="W23" s="24">
        <v>6.125</v>
      </c>
      <c r="X23" s="24">
        <v>6.1890000000000001</v>
      </c>
      <c r="Y23" s="24">
        <v>6.2409999999999997</v>
      </c>
      <c r="Z23" s="24">
        <v>6.32</v>
      </c>
      <c r="AA23" s="24">
        <v>6.3879999999999999</v>
      </c>
      <c r="AB23" s="24">
        <v>6.46</v>
      </c>
      <c r="AC23" s="24">
        <v>6.5359999999999996</v>
      </c>
      <c r="AD23" s="24">
        <v>6.6130000000000004</v>
      </c>
    </row>
    <row r="24" spans="1:30" s="3" customFormat="1" x14ac:dyDescent="0.25">
      <c r="A24" s="22" t="s">
        <v>55</v>
      </c>
      <c r="C24" s="24">
        <v>2.0245646030964743</v>
      </c>
      <c r="D24" s="24">
        <v>2.3706186897524781</v>
      </c>
      <c r="E24" s="24">
        <v>2.7822360155458687</v>
      </c>
      <c r="F24" s="24">
        <v>3.2056033005629971</v>
      </c>
      <c r="G24" s="24">
        <v>3.6555253035636368</v>
      </c>
      <c r="H24" s="24">
        <v>4.0734574114691879</v>
      </c>
      <c r="I24" s="24">
        <v>4.4583702432124808</v>
      </c>
      <c r="J24" s="24">
        <v>4.7627941458228795</v>
      </c>
      <c r="K24" s="24">
        <v>5.0457799861145967</v>
      </c>
      <c r="L24" s="24">
        <v>5.297875344878217</v>
      </c>
      <c r="M24" s="24">
        <v>5.5630299089381188</v>
      </c>
      <c r="N24" s="24">
        <v>5.8441360618830913</v>
      </c>
      <c r="O24" s="24">
        <v>6.1402783308326567</v>
      </c>
      <c r="P24" s="24">
        <v>6.3660965314275488</v>
      </c>
      <c r="Q24" s="24">
        <v>6.6082701982473493</v>
      </c>
      <c r="R24" s="24">
        <v>6.8542603062422192</v>
      </c>
      <c r="S24" s="24">
        <v>7.0717581283664659</v>
      </c>
      <c r="T24" s="24">
        <v>7.2620079829083126</v>
      </c>
      <c r="U24" s="24">
        <v>7.4123467459769454</v>
      </c>
      <c r="V24" s="24">
        <v>7.5576069768958316</v>
      </c>
      <c r="W24" s="24">
        <v>7.6824197250010835</v>
      </c>
      <c r="X24" s="24">
        <v>7.7141645665980239</v>
      </c>
      <c r="Y24" s="24">
        <v>7.7336979000658532</v>
      </c>
      <c r="Z24" s="24">
        <v>7.7456323634941846</v>
      </c>
      <c r="AA24" s="24">
        <v>7.7432680536862568</v>
      </c>
      <c r="AB24" s="24">
        <v>7.7352547025667668</v>
      </c>
      <c r="AC24" s="24">
        <v>7.7194740118804814</v>
      </c>
      <c r="AD24" s="24">
        <v>7.6967860013967027</v>
      </c>
    </row>
    <row r="25" spans="1:30" s="3" customFormat="1" x14ac:dyDescent="0.25">
      <c r="A25" s="22" t="s">
        <v>56</v>
      </c>
      <c r="C25" s="24">
        <v>0.26243539690352607</v>
      </c>
      <c r="D25" s="24">
        <v>0.31838131024752192</v>
      </c>
      <c r="E25" s="24">
        <v>0.37976398445413162</v>
      </c>
      <c r="F25" s="24">
        <v>0.43939669943700288</v>
      </c>
      <c r="G25" s="24">
        <v>0.50147469643636344</v>
      </c>
      <c r="H25" s="24">
        <v>0.56654258853081152</v>
      </c>
      <c r="I25" s="24">
        <v>0.63462975678751898</v>
      </c>
      <c r="J25" s="24">
        <v>0.70220585417712145</v>
      </c>
      <c r="K25" s="24">
        <v>0.79122001388540308</v>
      </c>
      <c r="L25" s="24">
        <v>0.88112465512178317</v>
      </c>
      <c r="M25" s="24">
        <v>0.97297009106188104</v>
      </c>
      <c r="N25" s="24">
        <v>1.0668639381169096</v>
      </c>
      <c r="O25" s="24">
        <v>1.1627216691673434</v>
      </c>
      <c r="P25" s="24">
        <v>1.2345701352391172</v>
      </c>
      <c r="Q25" s="24">
        <v>1.309063135085984</v>
      </c>
      <c r="R25" s="24">
        <v>1.3867396937577814</v>
      </c>
      <c r="S25" s="24">
        <v>1.4659085383002006</v>
      </c>
      <c r="T25" s="24">
        <v>1.5443253504250218</v>
      </c>
      <c r="U25" s="24">
        <v>1.6246532540230554</v>
      </c>
      <c r="V25" s="24">
        <v>1.7060596897708344</v>
      </c>
      <c r="W25" s="24">
        <v>1.7889136083322494</v>
      </c>
      <c r="X25" s="24">
        <v>1.8678354334019756</v>
      </c>
      <c r="Y25" s="24">
        <v>1.9479687666008123</v>
      </c>
      <c r="Z25" s="24">
        <v>2.0287009698391487</v>
      </c>
      <c r="AA25" s="24">
        <v>2.1107319463137437</v>
      </c>
      <c r="AB25" s="24">
        <v>2.1934119640999001</v>
      </c>
      <c r="AC25" s="24">
        <v>2.2768593214528523</v>
      </c>
      <c r="AD25" s="24">
        <v>2.3622139986032971</v>
      </c>
    </row>
    <row r="26" spans="1:30" s="3" customFormat="1" x14ac:dyDescent="0.25">
      <c r="A26" s="22" t="s">
        <v>57</v>
      </c>
      <c r="C26" s="24">
        <v>0.03</v>
      </c>
      <c r="D26" s="24">
        <v>0.04</v>
      </c>
      <c r="E26" s="24">
        <v>0.05</v>
      </c>
      <c r="F26" s="24">
        <v>6.0000000000000005E-2</v>
      </c>
      <c r="G26" s="24">
        <v>7.0000000000000007E-2</v>
      </c>
      <c r="H26" s="24">
        <v>0.08</v>
      </c>
      <c r="I26" s="24">
        <v>0.09</v>
      </c>
      <c r="J26" s="24">
        <v>0.1</v>
      </c>
      <c r="K26" s="24">
        <v>0.16000000000000003</v>
      </c>
      <c r="L26" s="24">
        <v>0.22000000000000003</v>
      </c>
      <c r="M26" s="24">
        <v>0.28000000000000003</v>
      </c>
      <c r="N26" s="24">
        <v>0.34</v>
      </c>
      <c r="O26" s="24">
        <v>0.4</v>
      </c>
      <c r="P26" s="24">
        <v>0.47333333333333338</v>
      </c>
      <c r="Q26" s="24">
        <v>0.54666666666666675</v>
      </c>
      <c r="R26" s="24">
        <v>0.62000000000000011</v>
      </c>
      <c r="S26" s="24">
        <v>0.69333333333333347</v>
      </c>
      <c r="T26" s="24">
        <v>0.76666666666666683</v>
      </c>
      <c r="U26" s="24">
        <v>0.84000000000000019</v>
      </c>
      <c r="V26" s="24">
        <v>0.91333333333333355</v>
      </c>
      <c r="W26" s="24">
        <v>0.98666666666666691</v>
      </c>
      <c r="X26" s="24">
        <v>1.0600000000000003</v>
      </c>
      <c r="Y26" s="24">
        <v>1.1333333333333335</v>
      </c>
      <c r="Z26" s="24">
        <v>1.2066666666666668</v>
      </c>
      <c r="AA26" s="24">
        <v>1.28</v>
      </c>
      <c r="AB26" s="24">
        <v>1.3533333333333333</v>
      </c>
      <c r="AC26" s="24">
        <v>1.4266666666666665</v>
      </c>
      <c r="AD26" s="24">
        <v>1.5</v>
      </c>
    </row>
    <row r="27" spans="1:30" x14ac:dyDescent="0.25">
      <c r="A27" t="s">
        <v>61</v>
      </c>
      <c r="C27" s="2">
        <v>3.0489999999999999</v>
      </c>
      <c r="D27" s="2">
        <v>2.7879999999999998</v>
      </c>
      <c r="E27" s="2">
        <v>2.528</v>
      </c>
      <c r="F27" s="2">
        <v>2.27</v>
      </c>
      <c r="G27" s="2">
        <v>2.0129999999999999</v>
      </c>
      <c r="H27" s="2">
        <v>1.758</v>
      </c>
      <c r="I27" s="2">
        <v>1.504</v>
      </c>
      <c r="J27" s="2">
        <v>1.2509999999999999</v>
      </c>
      <c r="K27" s="2">
        <v>0.999</v>
      </c>
      <c r="L27" s="2">
        <v>0.748</v>
      </c>
      <c r="M27" s="2">
        <v>0.497</v>
      </c>
      <c r="N27" s="2">
        <v>0.247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</row>
    <row r="28" spans="1:30" x14ac:dyDescent="0.25">
      <c r="A28" t="s">
        <v>62</v>
      </c>
      <c r="C28" s="2">
        <v>2.7330000000000001</v>
      </c>
      <c r="D28" s="2">
        <v>2.7629999999999999</v>
      </c>
      <c r="E28" s="2">
        <v>2.7959999999999998</v>
      </c>
      <c r="F28" s="2">
        <v>2.8279999999999998</v>
      </c>
      <c r="G28" s="2">
        <v>2.86</v>
      </c>
      <c r="H28" s="2">
        <v>2.8919999999999999</v>
      </c>
      <c r="I28" s="2">
        <v>2.923</v>
      </c>
      <c r="J28" s="2">
        <v>2.95</v>
      </c>
      <c r="K28" s="2">
        <v>2.9769999999999999</v>
      </c>
      <c r="L28" s="2">
        <v>3.0030000000000001</v>
      </c>
      <c r="M28" s="2">
        <v>3.03</v>
      </c>
      <c r="N28" s="2">
        <v>3.056</v>
      </c>
      <c r="O28" s="2">
        <v>3.0819999999999999</v>
      </c>
      <c r="P28" s="2">
        <v>3.1019999999999999</v>
      </c>
      <c r="Q28" s="2">
        <v>3.121</v>
      </c>
      <c r="R28" s="2">
        <v>3.141</v>
      </c>
      <c r="S28" s="2">
        <v>3.1579999999999999</v>
      </c>
      <c r="T28" s="2">
        <v>3.1720000000000002</v>
      </c>
      <c r="U28" s="2">
        <v>3.1840000000000002</v>
      </c>
      <c r="V28" s="2">
        <v>3.1949999999999998</v>
      </c>
      <c r="W28" s="2">
        <v>3.2050000000000001</v>
      </c>
      <c r="X28" s="2">
        <v>3.2069999999999999</v>
      </c>
      <c r="Y28" s="2">
        <v>3.2090000000000001</v>
      </c>
      <c r="Z28" s="2">
        <v>3.2109999999999999</v>
      </c>
      <c r="AA28" s="2">
        <v>3.2120000000000002</v>
      </c>
      <c r="AB28" s="2">
        <v>3.2130000000000001</v>
      </c>
      <c r="AC28" s="2">
        <v>3.206</v>
      </c>
      <c r="AD28" s="2">
        <v>3.1960000000000002</v>
      </c>
    </row>
    <row r="29" spans="1:30" x14ac:dyDescent="0.25">
      <c r="A29" t="s">
        <v>63</v>
      </c>
      <c r="C29" s="2">
        <v>11.808999999999999</v>
      </c>
      <c r="D29" s="2">
        <v>11.673999999999999</v>
      </c>
      <c r="E29" s="2">
        <v>11.552</v>
      </c>
      <c r="F29" s="2">
        <v>11.295</v>
      </c>
      <c r="G29" s="2">
        <v>11.045</v>
      </c>
      <c r="H29" s="2">
        <v>10.712999999999999</v>
      </c>
      <c r="I29" s="2">
        <v>10.287000000000001</v>
      </c>
      <c r="J29" s="2">
        <v>9.7759999999999998</v>
      </c>
      <c r="K29" s="2">
        <v>9.3970000000000002</v>
      </c>
      <c r="L29" s="2">
        <v>8.9190000000000005</v>
      </c>
      <c r="M29" s="2">
        <v>8.4700000000000006</v>
      </c>
      <c r="N29" s="2">
        <v>8.0589999999999993</v>
      </c>
      <c r="O29" s="2">
        <v>7.68</v>
      </c>
      <c r="P29" s="2">
        <v>7.25</v>
      </c>
      <c r="Q29" s="2">
        <v>6.8710000000000004</v>
      </c>
      <c r="R29" s="2">
        <v>6.52</v>
      </c>
      <c r="S29" s="2">
        <v>6.2629999999999999</v>
      </c>
      <c r="T29" s="2">
        <v>6.0049999999999999</v>
      </c>
      <c r="U29" s="2">
        <v>5.79</v>
      </c>
      <c r="V29" s="2">
        <v>5.577</v>
      </c>
      <c r="W29" s="2">
        <v>5.3959999999999999</v>
      </c>
      <c r="X29" s="2">
        <v>5.2430000000000003</v>
      </c>
      <c r="Y29" s="2">
        <v>5.1210000000000004</v>
      </c>
      <c r="Z29" s="2">
        <v>4.9560000000000004</v>
      </c>
      <c r="AA29" s="2">
        <v>4.8259999999999996</v>
      </c>
      <c r="AB29" s="2">
        <v>4.6859999999999999</v>
      </c>
      <c r="AC29" s="2">
        <v>4.5279999999999996</v>
      </c>
      <c r="AD29" s="2">
        <v>4.359</v>
      </c>
    </row>
    <row r="30" spans="1:30" x14ac:dyDescent="0.25">
      <c r="A30" t="s">
        <v>64</v>
      </c>
      <c r="C30" s="2">
        <v>1.421</v>
      </c>
      <c r="D30" s="2">
        <v>1.5649999999999999</v>
      </c>
      <c r="E30" s="2">
        <v>1.619</v>
      </c>
      <c r="F30" s="2">
        <v>1.8680000000000001</v>
      </c>
      <c r="G30" s="2">
        <v>2.0470000000000002</v>
      </c>
      <c r="H30" s="2">
        <v>2.375</v>
      </c>
      <c r="I30" s="2">
        <v>2.8740000000000001</v>
      </c>
      <c r="J30" s="2">
        <v>3.5209999999999999</v>
      </c>
      <c r="K30" s="2">
        <v>3.9180000000000001</v>
      </c>
      <c r="L30" s="2">
        <v>4.4889999999999999</v>
      </c>
      <c r="M30" s="2">
        <v>4.9939999999999998</v>
      </c>
      <c r="N30" s="2">
        <v>5.4189999999999996</v>
      </c>
      <c r="O30" s="2">
        <v>5.7720000000000002</v>
      </c>
      <c r="P30" s="2">
        <v>6.0640000000000001</v>
      </c>
      <c r="Q30" s="2">
        <v>6.2549999999999999</v>
      </c>
      <c r="R30" s="2">
        <v>6.3949999999999996</v>
      </c>
      <c r="S30" s="2">
        <v>6.484</v>
      </c>
      <c r="T30" s="2">
        <v>6.48</v>
      </c>
      <c r="U30" s="2">
        <v>6.5060000000000002</v>
      </c>
      <c r="V30" s="2">
        <v>6.53</v>
      </c>
      <c r="W30" s="2">
        <v>6.5540000000000003</v>
      </c>
      <c r="X30" s="2">
        <v>6.5759999999999996</v>
      </c>
      <c r="Y30" s="2">
        <v>6.5970000000000004</v>
      </c>
      <c r="Z30" s="2">
        <v>6.6180000000000003</v>
      </c>
      <c r="AA30" s="2">
        <v>6.6379999999999999</v>
      </c>
      <c r="AB30" s="2">
        <v>6.6580000000000004</v>
      </c>
      <c r="AC30" s="2">
        <v>6.6970000000000001</v>
      </c>
      <c r="AD30" s="2">
        <v>6.7350000000000003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9C4E9-1508-41FD-96C4-B2787B9457FA}">
  <dimension ref="I1:AN78"/>
  <sheetViews>
    <sheetView zoomScale="82" zoomScaleNormal="90" workbookViewId="0">
      <pane ySplit="1" topLeftCell="A74" activePane="bottomLeft" state="frozen"/>
      <selection pane="bottomLeft" activeCell="J32" sqref="J32"/>
    </sheetView>
  </sheetViews>
  <sheetFormatPr baseColWidth="10" defaultRowHeight="15" x14ac:dyDescent="0.25"/>
  <cols>
    <col min="9" max="9" width="53.85546875" customWidth="1"/>
    <col min="10" max="10" width="62" bestFit="1" customWidth="1"/>
    <col min="11" max="11" width="35.42578125" customWidth="1"/>
    <col min="12" max="12" width="11.42578125" customWidth="1"/>
  </cols>
  <sheetData>
    <row r="1" spans="10:39" x14ac:dyDescent="0.25"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2" spans="10:39" x14ac:dyDescent="0.25">
      <c r="J2" s="1" t="s">
        <v>68</v>
      </c>
    </row>
    <row r="3" spans="10:39" x14ac:dyDescent="0.25">
      <c r="J3" t="s">
        <v>69</v>
      </c>
      <c r="K3" t="s">
        <v>70</v>
      </c>
      <c r="L3" s="2">
        <v>0</v>
      </c>
      <c r="M3" s="2">
        <v>5.8999999999999997E-2</v>
      </c>
      <c r="N3" s="2">
        <v>4.2000000000000003E-2</v>
      </c>
      <c r="O3" s="2">
        <v>1.4139999999999999</v>
      </c>
      <c r="P3" s="2">
        <v>1.343</v>
      </c>
      <c r="Q3" s="2">
        <v>1.1419999999999999</v>
      </c>
      <c r="R3" s="2">
        <v>1.0580000000000001</v>
      </c>
      <c r="S3" s="2">
        <v>0.81699999999999995</v>
      </c>
      <c r="T3" s="2">
        <v>0.63700000000000001</v>
      </c>
      <c r="U3" s="2">
        <v>0.49399999999999999</v>
      </c>
      <c r="V3" s="2">
        <v>0.38300000000000001</v>
      </c>
      <c r="W3" s="2">
        <v>0.29699999999999999</v>
      </c>
      <c r="X3" s="2">
        <v>0.22900000000000001</v>
      </c>
      <c r="Y3" s="2">
        <v>1.9E-2</v>
      </c>
      <c r="Z3" s="2">
        <v>1.4E-2</v>
      </c>
      <c r="AA3" s="2">
        <v>1.0999999999999999E-2</v>
      </c>
      <c r="AB3" s="2">
        <v>7.0000000000000001E-3</v>
      </c>
      <c r="AC3" s="2">
        <v>5.0000000000000001E-3</v>
      </c>
      <c r="AD3" s="2">
        <v>3.0000000000000001E-3</v>
      </c>
      <c r="AE3" s="2">
        <v>2E-3</v>
      </c>
      <c r="AF3" s="2">
        <v>1E-3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</row>
    <row r="4" spans="10:39" x14ac:dyDescent="0.25">
      <c r="J4" t="s">
        <v>71</v>
      </c>
      <c r="K4" t="s">
        <v>72</v>
      </c>
      <c r="L4" s="2">
        <v>0</v>
      </c>
      <c r="M4" s="2">
        <v>0.77300000000000002</v>
      </c>
      <c r="N4" s="2">
        <v>0.64800000000000002</v>
      </c>
      <c r="O4" s="2">
        <v>4.173</v>
      </c>
      <c r="P4" s="2">
        <v>4.0060000000000002</v>
      </c>
      <c r="Q4" s="2">
        <v>3.45</v>
      </c>
      <c r="R4" s="2">
        <v>3.2639999999999998</v>
      </c>
      <c r="S4" s="2">
        <v>2.7389999999999999</v>
      </c>
      <c r="T4" s="2">
        <v>2.2549999999999999</v>
      </c>
      <c r="U4" s="2">
        <v>1.851</v>
      </c>
      <c r="V4" s="2">
        <v>1.5309999999999999</v>
      </c>
      <c r="W4" s="2">
        <v>1.2689999999999999</v>
      </c>
      <c r="X4" s="2">
        <v>1.0529999999999999</v>
      </c>
      <c r="Y4" s="2">
        <v>0.65900000000000003</v>
      </c>
      <c r="Z4" s="2">
        <v>0.55000000000000004</v>
      </c>
      <c r="AA4" s="2">
        <v>0.49399999999999999</v>
      </c>
      <c r="AB4" s="2">
        <v>0.38100000000000001</v>
      </c>
      <c r="AC4" s="2">
        <v>0.309</v>
      </c>
      <c r="AD4" s="2">
        <v>0.214</v>
      </c>
      <c r="AE4" s="2">
        <v>0.16700000000000001</v>
      </c>
      <c r="AF4" s="2">
        <v>0.127</v>
      </c>
      <c r="AG4" s="2">
        <v>3.6999999999999998E-2</v>
      </c>
      <c r="AH4" s="2">
        <v>2.7E-2</v>
      </c>
      <c r="AI4" s="2">
        <v>1.6E-2</v>
      </c>
      <c r="AJ4" s="2">
        <v>0.01</v>
      </c>
      <c r="AK4" s="2">
        <v>4.0000000000000001E-3</v>
      </c>
      <c r="AL4" s="2">
        <v>4.0000000000000001E-3</v>
      </c>
      <c r="AM4" s="2">
        <v>3.0000000000000001E-3</v>
      </c>
    </row>
    <row r="5" spans="10:39" x14ac:dyDescent="0.25">
      <c r="J5" t="s">
        <v>73</v>
      </c>
      <c r="K5" t="s">
        <v>74</v>
      </c>
      <c r="L5" s="2">
        <v>0</v>
      </c>
      <c r="M5" s="2">
        <v>61.33</v>
      </c>
      <c r="N5" s="2">
        <v>51.213000000000001</v>
      </c>
      <c r="O5" s="2">
        <v>49.726999999999997</v>
      </c>
      <c r="P5" s="2">
        <v>44.856000000000002</v>
      </c>
      <c r="Q5" s="2">
        <v>34.177</v>
      </c>
      <c r="R5" s="2">
        <v>28.428000000000001</v>
      </c>
      <c r="S5" s="2">
        <v>21.995000000000001</v>
      </c>
      <c r="T5" s="2">
        <v>19.04</v>
      </c>
      <c r="U5" s="2">
        <v>14.397</v>
      </c>
      <c r="V5" s="2">
        <v>12.057</v>
      </c>
      <c r="W5" s="2">
        <v>10.236000000000001</v>
      </c>
      <c r="X5" s="2">
        <v>8.6910000000000007</v>
      </c>
      <c r="Y5" s="2">
        <v>5.9669999999999996</v>
      </c>
      <c r="Z5" s="2">
        <v>5.1449999999999996</v>
      </c>
      <c r="AA5" s="2">
        <v>4.6509999999999998</v>
      </c>
      <c r="AB5" s="2">
        <v>3.8</v>
      </c>
      <c r="AC5" s="2">
        <v>3.214</v>
      </c>
      <c r="AD5" s="2">
        <v>2.3809999999999998</v>
      </c>
      <c r="AE5" s="2">
        <v>1.853</v>
      </c>
      <c r="AF5" s="2">
        <v>1.411</v>
      </c>
      <c r="AG5" s="2">
        <v>0.61899999999999999</v>
      </c>
      <c r="AH5" s="2">
        <v>0.45500000000000002</v>
      </c>
      <c r="AI5" s="2">
        <v>0.29699999999999999</v>
      </c>
      <c r="AJ5" s="2">
        <v>0.185</v>
      </c>
      <c r="AK5" s="2">
        <v>8.1000000000000003E-2</v>
      </c>
      <c r="AL5" s="2">
        <v>6.9000000000000006E-2</v>
      </c>
      <c r="AM5" s="2">
        <v>6.7000000000000004E-2</v>
      </c>
    </row>
    <row r="6" spans="10:39" x14ac:dyDescent="0.25">
      <c r="J6" t="s">
        <v>75</v>
      </c>
      <c r="K6" t="s">
        <v>76</v>
      </c>
      <c r="L6" s="2">
        <v>0</v>
      </c>
      <c r="M6" s="2">
        <v>251.61500000000001</v>
      </c>
      <c r="N6" s="2">
        <v>245.02099999999999</v>
      </c>
      <c r="O6" s="2">
        <v>361.17399999999998</v>
      </c>
      <c r="P6" s="2">
        <v>349.79300000000001</v>
      </c>
      <c r="Q6" s="2">
        <v>289.77600000000001</v>
      </c>
      <c r="R6" s="2">
        <v>264.26400000000001</v>
      </c>
      <c r="S6" s="2">
        <v>232.858</v>
      </c>
      <c r="T6" s="2">
        <v>216.75399999999999</v>
      </c>
      <c r="U6" s="2">
        <v>178.715</v>
      </c>
      <c r="V6" s="2">
        <v>158.511</v>
      </c>
      <c r="W6" s="2">
        <v>141.79</v>
      </c>
      <c r="X6" s="2">
        <v>130.23699999999999</v>
      </c>
      <c r="Y6" s="2">
        <v>94.262</v>
      </c>
      <c r="Z6" s="2">
        <v>89.474000000000004</v>
      </c>
      <c r="AA6" s="2">
        <v>85.396000000000001</v>
      </c>
      <c r="AB6" s="2">
        <v>77.283000000000001</v>
      </c>
      <c r="AC6" s="2">
        <v>77.977000000000004</v>
      </c>
      <c r="AD6" s="2">
        <v>63.783999999999999</v>
      </c>
      <c r="AE6" s="2">
        <v>57.743000000000002</v>
      </c>
      <c r="AF6" s="2">
        <v>51.652000000000001</v>
      </c>
      <c r="AG6" s="2">
        <v>20.056000000000001</v>
      </c>
      <c r="AH6" s="2">
        <v>17.923999999999999</v>
      </c>
      <c r="AI6" s="2">
        <v>14.259</v>
      </c>
      <c r="AJ6" s="2">
        <v>12.85</v>
      </c>
      <c r="AK6" s="2">
        <v>10.356</v>
      </c>
      <c r="AL6" s="2">
        <v>8.9390000000000001</v>
      </c>
      <c r="AM6" s="2">
        <v>8.0939999999999994</v>
      </c>
    </row>
    <row r="7" spans="10:39" x14ac:dyDescent="0.25">
      <c r="J7" t="s">
        <v>77</v>
      </c>
      <c r="K7" t="s">
        <v>78</v>
      </c>
      <c r="L7" s="2">
        <v>0</v>
      </c>
      <c r="M7" s="2">
        <v>354.06599999999997</v>
      </c>
      <c r="N7" s="2">
        <v>379.101</v>
      </c>
      <c r="O7" s="2">
        <v>476.53199999999998</v>
      </c>
      <c r="P7" s="2">
        <v>497.14600000000002</v>
      </c>
      <c r="Q7" s="2">
        <v>476.988</v>
      </c>
      <c r="R7" s="2">
        <v>469.49299999999999</v>
      </c>
      <c r="S7" s="2">
        <v>462.88</v>
      </c>
      <c r="T7" s="2">
        <v>564.20600000000002</v>
      </c>
      <c r="U7" s="2">
        <v>511.10700000000003</v>
      </c>
      <c r="V7" s="2">
        <v>495.06</v>
      </c>
      <c r="W7" s="2">
        <v>481.82400000000001</v>
      </c>
      <c r="X7" s="2">
        <v>473.07100000000003</v>
      </c>
      <c r="Y7" s="2">
        <v>369.38400000000001</v>
      </c>
      <c r="Z7" s="2">
        <v>395.99599999999998</v>
      </c>
      <c r="AA7" s="2">
        <v>400.32100000000003</v>
      </c>
      <c r="AB7" s="2">
        <v>369.173</v>
      </c>
      <c r="AC7" s="2">
        <v>432.59399999999999</v>
      </c>
      <c r="AD7" s="2">
        <v>349.012</v>
      </c>
      <c r="AE7" s="2">
        <v>337.75299999999999</v>
      </c>
      <c r="AF7" s="2">
        <v>309.79599999999999</v>
      </c>
      <c r="AG7" s="2">
        <v>155.376</v>
      </c>
      <c r="AH7" s="2">
        <v>140.96799999999999</v>
      </c>
      <c r="AI7" s="2">
        <v>141.59200000000001</v>
      </c>
      <c r="AJ7" s="2">
        <v>128.27500000000001</v>
      </c>
      <c r="AK7" s="2">
        <v>122.22199999999999</v>
      </c>
      <c r="AL7" s="2">
        <v>116.864</v>
      </c>
      <c r="AM7" s="2">
        <v>114.938</v>
      </c>
    </row>
    <row r="8" spans="10:39" x14ac:dyDescent="0.25">
      <c r="J8" t="s">
        <v>79</v>
      </c>
      <c r="K8" t="s">
        <v>80</v>
      </c>
      <c r="L8" s="2">
        <v>0</v>
      </c>
      <c r="M8" s="2">
        <v>385.95299999999997</v>
      </c>
      <c r="N8" s="2">
        <v>359.24700000000001</v>
      </c>
      <c r="O8" s="2">
        <v>476.10300000000001</v>
      </c>
      <c r="P8" s="2">
        <v>474.09199999999998</v>
      </c>
      <c r="Q8" s="2">
        <v>557.73199999999997</v>
      </c>
      <c r="R8" s="2">
        <v>642.43799999999999</v>
      </c>
      <c r="S8" s="2">
        <v>715.86699999999996</v>
      </c>
      <c r="T8" s="2">
        <v>729.30799999999999</v>
      </c>
      <c r="U8" s="2">
        <v>786.54499999999996</v>
      </c>
      <c r="V8" s="2">
        <v>738.80200000000002</v>
      </c>
      <c r="W8" s="2">
        <v>698.11500000000001</v>
      </c>
      <c r="X8" s="2">
        <v>649.70500000000004</v>
      </c>
      <c r="Y8" s="2">
        <v>559.65</v>
      </c>
      <c r="Z8" s="2">
        <v>634.52</v>
      </c>
      <c r="AA8" s="2">
        <v>572.95899999999995</v>
      </c>
      <c r="AB8" s="2">
        <v>485.81099999999998</v>
      </c>
      <c r="AC8" s="2">
        <v>531.08100000000002</v>
      </c>
      <c r="AD8" s="2">
        <v>428.27300000000002</v>
      </c>
      <c r="AE8" s="2">
        <v>404.35500000000002</v>
      </c>
      <c r="AF8" s="2">
        <v>353.82600000000002</v>
      </c>
      <c r="AG8" s="2">
        <v>322.80700000000002</v>
      </c>
      <c r="AH8" s="2">
        <v>296.75799999999998</v>
      </c>
      <c r="AI8" s="2">
        <v>292.68900000000002</v>
      </c>
      <c r="AJ8" s="2">
        <v>268.95600000000002</v>
      </c>
      <c r="AK8" s="2">
        <v>256.60700000000003</v>
      </c>
      <c r="AL8" s="2">
        <v>246.11799999999999</v>
      </c>
      <c r="AM8" s="2">
        <v>238.65100000000001</v>
      </c>
    </row>
    <row r="9" spans="10:39" x14ac:dyDescent="0.25">
      <c r="J9" t="s">
        <v>81</v>
      </c>
      <c r="K9" t="s">
        <v>82</v>
      </c>
      <c r="L9" s="2">
        <v>0</v>
      </c>
      <c r="M9" s="2">
        <v>2381.4870000000001</v>
      </c>
      <c r="N9" s="2">
        <v>2405.3719999999998</v>
      </c>
      <c r="O9" s="2">
        <v>2647.93</v>
      </c>
      <c r="P9" s="2">
        <v>2664.0360000000001</v>
      </c>
      <c r="Q9" s="2">
        <v>2638.0709999999999</v>
      </c>
      <c r="R9" s="2">
        <v>2640.7150000000001</v>
      </c>
      <c r="S9" s="2">
        <v>2622.0720000000001</v>
      </c>
      <c r="T9" s="2">
        <v>2794.75</v>
      </c>
      <c r="U9" s="2">
        <v>2688.616</v>
      </c>
      <c r="V9" s="2">
        <v>2631.5659999999998</v>
      </c>
      <c r="W9" s="2">
        <v>2618.23</v>
      </c>
      <c r="X9" s="2">
        <v>2576.913</v>
      </c>
      <c r="Y9" s="2">
        <v>2314.181</v>
      </c>
      <c r="Z9" s="2">
        <v>2673.462</v>
      </c>
      <c r="AA9" s="2">
        <v>2617.4340000000002</v>
      </c>
      <c r="AB9" s="2">
        <v>2413.1149999999998</v>
      </c>
      <c r="AC9" s="2">
        <v>2661.2550000000001</v>
      </c>
      <c r="AD9" s="2">
        <v>2371.6799999999998</v>
      </c>
      <c r="AE9" s="2">
        <v>2316.8229999999999</v>
      </c>
      <c r="AF9" s="2">
        <v>2124.6179999999999</v>
      </c>
      <c r="AG9" s="2">
        <v>2462.0340000000001</v>
      </c>
      <c r="AH9" s="2">
        <v>2272.5889999999999</v>
      </c>
      <c r="AI9" s="2">
        <v>2464.5549999999998</v>
      </c>
      <c r="AJ9" s="2">
        <v>2325.223</v>
      </c>
      <c r="AK9" s="2">
        <v>2382.2730000000001</v>
      </c>
      <c r="AL9" s="2">
        <v>2461.0230000000001</v>
      </c>
      <c r="AM9" s="2">
        <v>2534.16</v>
      </c>
    </row>
    <row r="10" spans="10:39" ht="30" x14ac:dyDescent="0.25">
      <c r="K10" s="18" t="s">
        <v>83</v>
      </c>
    </row>
    <row r="12" spans="10:39" x14ac:dyDescent="0.25">
      <c r="J12" t="s">
        <v>84</v>
      </c>
      <c r="K12" t="s">
        <v>85</v>
      </c>
      <c r="L12" s="2">
        <v>0</v>
      </c>
      <c r="M12" s="2">
        <v>1053.796</v>
      </c>
      <c r="N12" s="2">
        <v>1035.2719999999999</v>
      </c>
      <c r="O12" s="2">
        <v>1369.123</v>
      </c>
      <c r="P12" s="2">
        <v>1371.2370000000001</v>
      </c>
      <c r="Q12" s="2">
        <v>1363.2650000000001</v>
      </c>
      <c r="R12" s="2">
        <v>1408.9449999999999</v>
      </c>
      <c r="S12" s="2">
        <v>1437.1569999999999</v>
      </c>
      <c r="T12" s="2">
        <v>1532.1990000000001</v>
      </c>
      <c r="U12" s="2">
        <v>1493.1079999999999</v>
      </c>
      <c r="V12" s="2">
        <v>1406.345</v>
      </c>
      <c r="W12" s="2">
        <v>1333.5309999999999</v>
      </c>
      <c r="X12" s="2">
        <v>1262.9870000000001</v>
      </c>
      <c r="Y12" s="2">
        <v>1029.941</v>
      </c>
      <c r="Z12" s="2">
        <v>1125.6980000000001</v>
      </c>
      <c r="AA12" s="2">
        <v>1063.8320000000001</v>
      </c>
      <c r="AB12" s="2">
        <v>936.45500000000004</v>
      </c>
      <c r="AC12" s="2">
        <v>1045.18</v>
      </c>
      <c r="AD12" s="2">
        <v>843.66700000000003</v>
      </c>
      <c r="AE12" s="2">
        <v>801.875</v>
      </c>
      <c r="AF12" s="2">
        <v>716.81500000000005</v>
      </c>
      <c r="AG12" s="2">
        <v>498.89600000000002</v>
      </c>
      <c r="AH12" s="2">
        <v>456.13299999999998</v>
      </c>
      <c r="AI12" s="2">
        <v>448.85300000000001</v>
      </c>
      <c r="AJ12" s="2">
        <v>410.27600000000001</v>
      </c>
      <c r="AK12" s="2">
        <v>389.27</v>
      </c>
      <c r="AL12" s="2">
        <v>371.99400000000003</v>
      </c>
      <c r="AM12" s="2">
        <v>361.75299999999999</v>
      </c>
    </row>
    <row r="13" spans="10:39" x14ac:dyDescent="0.25">
      <c r="J13" t="s">
        <v>86</v>
      </c>
      <c r="K13" t="s">
        <v>87</v>
      </c>
      <c r="L13" s="2">
        <v>0</v>
      </c>
      <c r="M13" s="2">
        <v>667.84299999999996</v>
      </c>
      <c r="N13" s="2">
        <v>676.02499999999998</v>
      </c>
      <c r="O13" s="2">
        <v>893.02</v>
      </c>
      <c r="P13" s="2">
        <v>897.14499999999998</v>
      </c>
      <c r="Q13" s="2">
        <v>805.53300000000002</v>
      </c>
      <c r="R13" s="2">
        <v>766.50599999999997</v>
      </c>
      <c r="S13" s="2">
        <v>721.28899999999999</v>
      </c>
      <c r="T13" s="2">
        <v>802.89099999999996</v>
      </c>
      <c r="U13" s="2">
        <v>706.56399999999996</v>
      </c>
      <c r="V13" s="2">
        <v>667.54300000000001</v>
      </c>
      <c r="W13" s="2">
        <v>635.41600000000005</v>
      </c>
      <c r="X13" s="2">
        <v>613.28200000000004</v>
      </c>
      <c r="Y13" s="2">
        <v>470.291</v>
      </c>
      <c r="Z13" s="2">
        <v>491.178</v>
      </c>
      <c r="AA13" s="2">
        <v>490.87299999999999</v>
      </c>
      <c r="AB13" s="2">
        <v>450.64400000000001</v>
      </c>
      <c r="AC13" s="2">
        <v>514.09900000000005</v>
      </c>
      <c r="AD13" s="2">
        <v>415.39400000000001</v>
      </c>
      <c r="AE13" s="2">
        <v>397.51900000000001</v>
      </c>
      <c r="AF13" s="2">
        <v>362.988</v>
      </c>
      <c r="AG13" s="2">
        <v>176.089</v>
      </c>
      <c r="AH13" s="2">
        <v>159.374</v>
      </c>
      <c r="AI13" s="2">
        <v>156.16399999999999</v>
      </c>
      <c r="AJ13" s="2">
        <v>141.32</v>
      </c>
      <c r="AK13" s="2">
        <v>132.66300000000001</v>
      </c>
      <c r="AL13" s="2">
        <v>125.876</v>
      </c>
      <c r="AM13" s="2">
        <v>123.102</v>
      </c>
    </row>
    <row r="16" spans="10:39" x14ac:dyDescent="0.25">
      <c r="J16" s="25" t="s">
        <v>88</v>
      </c>
    </row>
    <row r="17" spans="10:39" ht="30" x14ac:dyDescent="0.25">
      <c r="J17" s="16" t="s">
        <v>89</v>
      </c>
      <c r="K17" s="19" t="s">
        <v>90</v>
      </c>
      <c r="L17" s="20">
        <v>0</v>
      </c>
      <c r="M17" s="20">
        <v>600.98400000000004</v>
      </c>
      <c r="N17" s="20">
        <v>633.01700000000005</v>
      </c>
      <c r="O17" s="20">
        <v>906.89599999999996</v>
      </c>
      <c r="P17" s="20">
        <v>930.62599999999998</v>
      </c>
      <c r="Q17" s="20">
        <v>910.702</v>
      </c>
      <c r="R17" s="20">
        <v>919.18600000000004</v>
      </c>
      <c r="S17" s="20">
        <v>904.08699999999999</v>
      </c>
      <c r="T17" s="20">
        <v>1080.7819999999999</v>
      </c>
      <c r="U17" s="20">
        <v>976.09299999999996</v>
      </c>
      <c r="V17" s="20">
        <v>923.36900000000003</v>
      </c>
      <c r="W17" s="20">
        <v>917.61</v>
      </c>
      <c r="X17" s="20">
        <v>878.91600000000005</v>
      </c>
      <c r="Y17" s="20">
        <v>847.97500000000002</v>
      </c>
      <c r="Z17" s="20">
        <v>1204.8320000000001</v>
      </c>
      <c r="AA17" s="20">
        <v>1151.3900000000001</v>
      </c>
      <c r="AB17" s="20">
        <v>1118.2660000000001</v>
      </c>
      <c r="AC17" s="20">
        <v>1312.817</v>
      </c>
      <c r="AD17" s="20">
        <v>1149.153</v>
      </c>
      <c r="AE17" s="20">
        <v>1093.078</v>
      </c>
      <c r="AF17" s="20">
        <v>975.24699999999996</v>
      </c>
      <c r="AG17" s="20">
        <v>971.54300000000001</v>
      </c>
      <c r="AH17" s="20">
        <v>920.87199999999996</v>
      </c>
      <c r="AI17" s="20">
        <v>876.26300000000003</v>
      </c>
      <c r="AJ17" s="20">
        <v>833.78700000000003</v>
      </c>
      <c r="AK17" s="20">
        <v>795.30100000000004</v>
      </c>
      <c r="AL17" s="20">
        <v>758.97500000000002</v>
      </c>
      <c r="AM17" s="20">
        <v>731.077</v>
      </c>
    </row>
    <row r="18" spans="10:39" x14ac:dyDescent="0.25">
      <c r="J18" t="s">
        <v>91</v>
      </c>
      <c r="K18" t="s">
        <v>92</v>
      </c>
      <c r="L18" s="2">
        <v>0</v>
      </c>
      <c r="M18" s="2">
        <v>157.845</v>
      </c>
      <c r="N18" s="2">
        <v>197.58</v>
      </c>
      <c r="O18" s="2">
        <v>301.471</v>
      </c>
      <c r="P18" s="2">
        <v>329.40300000000002</v>
      </c>
      <c r="Q18" s="2">
        <v>356.27800000000002</v>
      </c>
      <c r="R18" s="2">
        <v>363.09500000000003</v>
      </c>
      <c r="S18" s="2">
        <v>357.50599999999997</v>
      </c>
      <c r="T18" s="2">
        <v>546.63800000000003</v>
      </c>
      <c r="U18" s="2">
        <v>486.89800000000002</v>
      </c>
      <c r="V18" s="2">
        <v>464.279</v>
      </c>
      <c r="W18" s="2">
        <v>474.46199999999999</v>
      </c>
      <c r="X18" s="2">
        <v>461.42200000000003</v>
      </c>
      <c r="Y18" s="2">
        <v>442.75900000000001</v>
      </c>
      <c r="Z18" s="2">
        <v>690.48199999999997</v>
      </c>
      <c r="AA18" s="2">
        <v>659.476</v>
      </c>
      <c r="AB18" s="2">
        <v>656.71799999999996</v>
      </c>
      <c r="AC18" s="2">
        <v>708.46699999999998</v>
      </c>
      <c r="AD18" s="2">
        <v>616.10299999999995</v>
      </c>
      <c r="AE18" s="2">
        <v>592.48099999999999</v>
      </c>
      <c r="AF18" s="2">
        <v>539.399</v>
      </c>
      <c r="AG18" s="2">
        <v>551.48500000000001</v>
      </c>
      <c r="AH18" s="2">
        <v>517.39599999999996</v>
      </c>
      <c r="AI18" s="2">
        <v>487.79500000000002</v>
      </c>
      <c r="AJ18" s="2">
        <v>460.10300000000001</v>
      </c>
      <c r="AK18" s="2">
        <v>435.00299999999999</v>
      </c>
      <c r="AL18" s="2">
        <v>412.97300000000001</v>
      </c>
      <c r="AM18" s="2">
        <v>393.82499999999999</v>
      </c>
    </row>
    <row r="19" spans="10:39" x14ac:dyDescent="0.25">
      <c r="J19" t="s">
        <v>93</v>
      </c>
      <c r="K19" t="s">
        <v>94</v>
      </c>
      <c r="L19" s="2">
        <v>0</v>
      </c>
      <c r="M19" s="2">
        <v>443.13900000000001</v>
      </c>
      <c r="N19" s="2">
        <v>435.43700000000001</v>
      </c>
      <c r="O19" s="2">
        <v>605.42499999999995</v>
      </c>
      <c r="P19" s="2">
        <v>601.22400000000005</v>
      </c>
      <c r="Q19" s="2">
        <v>554.42399999999998</v>
      </c>
      <c r="R19" s="2">
        <v>556.09100000000001</v>
      </c>
      <c r="S19" s="2">
        <v>546.58199999999999</v>
      </c>
      <c r="T19" s="2">
        <v>534.14400000000001</v>
      </c>
      <c r="U19" s="2">
        <v>489.19499999999999</v>
      </c>
      <c r="V19" s="2">
        <v>459.09</v>
      </c>
      <c r="W19" s="2">
        <v>443.14699999999999</v>
      </c>
      <c r="X19" s="2">
        <v>417.495</v>
      </c>
      <c r="Y19" s="2">
        <v>405.21600000000001</v>
      </c>
      <c r="Z19" s="2">
        <v>514.351</v>
      </c>
      <c r="AA19" s="2">
        <v>491.91399999999999</v>
      </c>
      <c r="AB19" s="2">
        <v>461.548</v>
      </c>
      <c r="AC19" s="2">
        <v>604.351</v>
      </c>
      <c r="AD19" s="2">
        <v>533.04999999999995</v>
      </c>
      <c r="AE19" s="2">
        <v>500.596</v>
      </c>
      <c r="AF19" s="2">
        <v>435.84800000000001</v>
      </c>
      <c r="AG19" s="2">
        <v>420.05900000000003</v>
      </c>
      <c r="AH19" s="2">
        <v>403.476</v>
      </c>
      <c r="AI19" s="2">
        <v>388.46699999999998</v>
      </c>
      <c r="AJ19" s="2">
        <v>373.68299999999999</v>
      </c>
      <c r="AK19" s="2">
        <v>360.298</v>
      </c>
      <c r="AL19" s="2">
        <v>346.00099999999998</v>
      </c>
      <c r="AM19" s="2">
        <v>337.25200000000001</v>
      </c>
    </row>
    <row r="20" spans="10:39" x14ac:dyDescent="0.25">
      <c r="J20" t="s">
        <v>95</v>
      </c>
      <c r="K20" t="s">
        <v>96</v>
      </c>
      <c r="L20" s="2">
        <v>0</v>
      </c>
      <c r="M20" s="2">
        <v>66.858999999999995</v>
      </c>
      <c r="N20" s="2">
        <v>69.528999999999996</v>
      </c>
      <c r="O20" s="2">
        <v>68.545000000000002</v>
      </c>
      <c r="P20" s="2">
        <v>71.629000000000005</v>
      </c>
      <c r="Q20" s="2">
        <v>68.87</v>
      </c>
      <c r="R20" s="2">
        <v>72.831999999999994</v>
      </c>
      <c r="S20" s="2">
        <v>73.492999999999995</v>
      </c>
      <c r="T20" s="2">
        <v>70.084000000000003</v>
      </c>
      <c r="U20" s="2">
        <v>66.671000000000006</v>
      </c>
      <c r="V20" s="2">
        <v>63.5</v>
      </c>
      <c r="W20" s="2">
        <v>60.5</v>
      </c>
      <c r="X20" s="2">
        <v>57.697000000000003</v>
      </c>
      <c r="Y20" s="2">
        <v>85.98</v>
      </c>
      <c r="Z20" s="2">
        <v>80.191999999999993</v>
      </c>
      <c r="AA20" s="2">
        <v>78.143000000000001</v>
      </c>
      <c r="AB20" s="2">
        <v>72.691000000000003</v>
      </c>
      <c r="AC20" s="2">
        <v>142.85599999999999</v>
      </c>
      <c r="AD20" s="2">
        <v>88.088999999999999</v>
      </c>
      <c r="AE20" s="2">
        <v>81.698999999999998</v>
      </c>
      <c r="AF20" s="2">
        <v>75.69</v>
      </c>
      <c r="AG20" s="2">
        <v>70.771000000000001</v>
      </c>
      <c r="AH20" s="2">
        <v>66.355000000000004</v>
      </c>
      <c r="AI20" s="2">
        <v>62.029000000000003</v>
      </c>
      <c r="AJ20" s="2">
        <v>57.92</v>
      </c>
      <c r="AK20" s="2">
        <v>54.031999999999996</v>
      </c>
      <c r="AL20" s="2">
        <v>52.097999999999999</v>
      </c>
      <c r="AM20" s="2">
        <v>51.326999999999998</v>
      </c>
    </row>
    <row r="21" spans="10:39" x14ac:dyDescent="0.25">
      <c r="J21" t="s">
        <v>97</v>
      </c>
      <c r="K21" t="s">
        <v>98</v>
      </c>
      <c r="L21" s="2">
        <v>0</v>
      </c>
      <c r="M21" s="2">
        <v>75.745999999999995</v>
      </c>
      <c r="N21" s="2">
        <v>66.231999999999999</v>
      </c>
      <c r="O21" s="2">
        <v>94.700999999999993</v>
      </c>
      <c r="P21" s="2">
        <v>79.852999999999994</v>
      </c>
      <c r="Q21" s="2">
        <v>67.77</v>
      </c>
      <c r="R21" s="2">
        <v>60.186</v>
      </c>
      <c r="S21" s="2">
        <v>52.585999999999999</v>
      </c>
      <c r="T21" s="2">
        <v>232.476</v>
      </c>
      <c r="U21" s="2">
        <v>187.34299999999999</v>
      </c>
      <c r="V21" s="2">
        <v>151.661</v>
      </c>
      <c r="W21" s="2">
        <v>123.423</v>
      </c>
      <c r="X21" s="2">
        <v>101.114</v>
      </c>
      <c r="Y21" s="2">
        <v>83.858999999999995</v>
      </c>
      <c r="Z21" s="2">
        <v>377.83499999999998</v>
      </c>
      <c r="AA21" s="2">
        <v>329.00200000000001</v>
      </c>
      <c r="AB21" s="2">
        <v>286.42099999999999</v>
      </c>
      <c r="AC21" s="2">
        <v>254.143</v>
      </c>
      <c r="AD21" s="2">
        <v>214.69200000000001</v>
      </c>
      <c r="AE21" s="2">
        <v>186.93100000000001</v>
      </c>
      <c r="AF21" s="2">
        <v>162.78700000000001</v>
      </c>
      <c r="AG21" s="2">
        <v>146.733</v>
      </c>
      <c r="AH21" s="2">
        <v>132.81800000000001</v>
      </c>
      <c r="AI21" s="2">
        <v>120.76</v>
      </c>
      <c r="AJ21" s="2">
        <v>110.053</v>
      </c>
      <c r="AK21" s="2">
        <v>100.691</v>
      </c>
      <c r="AL21" s="2">
        <v>91.918999999999997</v>
      </c>
      <c r="AM21" s="2">
        <v>84.403999999999996</v>
      </c>
    </row>
    <row r="22" spans="10:39" x14ac:dyDescent="0.25">
      <c r="J22" t="s">
        <v>99</v>
      </c>
      <c r="K22" t="s">
        <v>100</v>
      </c>
      <c r="L22" s="2">
        <v>0</v>
      </c>
      <c r="M22" s="2">
        <v>15.24</v>
      </c>
      <c r="N22" s="2">
        <v>61.817999999999998</v>
      </c>
      <c r="O22" s="2">
        <v>138.22499999999999</v>
      </c>
      <c r="P22" s="2">
        <v>177.92</v>
      </c>
      <c r="Q22" s="2">
        <v>219.637</v>
      </c>
      <c r="R22" s="2">
        <v>230.077</v>
      </c>
      <c r="S22" s="2">
        <v>231.42599999999999</v>
      </c>
      <c r="T22" s="2">
        <v>244.078</v>
      </c>
      <c r="U22" s="2">
        <v>232.88399999999999</v>
      </c>
      <c r="V22" s="2">
        <v>249.11799999999999</v>
      </c>
      <c r="W22" s="2">
        <v>290.54000000000002</v>
      </c>
      <c r="X22" s="2">
        <v>302.61099999999999</v>
      </c>
      <c r="Y22" s="2">
        <v>272.92</v>
      </c>
      <c r="Z22" s="2">
        <v>232.45400000000001</v>
      </c>
      <c r="AA22" s="2">
        <v>252.33099999999999</v>
      </c>
      <c r="AB22" s="2">
        <v>297.60500000000002</v>
      </c>
      <c r="AC22" s="2">
        <v>311.46800000000002</v>
      </c>
      <c r="AD22" s="2">
        <v>313.322</v>
      </c>
      <c r="AE22" s="2">
        <v>323.851</v>
      </c>
      <c r="AF22" s="2">
        <v>300.92200000000003</v>
      </c>
      <c r="AG22" s="2">
        <v>333.98</v>
      </c>
      <c r="AH22" s="2">
        <v>318.22300000000001</v>
      </c>
      <c r="AI22" s="2">
        <v>305.00599999999997</v>
      </c>
      <c r="AJ22" s="2">
        <v>292.13099999999997</v>
      </c>
      <c r="AK22" s="2">
        <v>280.27999999999997</v>
      </c>
      <c r="AL22" s="2">
        <v>268.95699999999999</v>
      </c>
      <c r="AM22" s="2">
        <v>258.09399999999999</v>
      </c>
    </row>
    <row r="23" spans="10:39" x14ac:dyDescent="0.25">
      <c r="J23" t="s">
        <v>101</v>
      </c>
      <c r="K23" t="s">
        <v>102</v>
      </c>
      <c r="L23" s="2">
        <v>0</v>
      </c>
      <c r="M23" s="2">
        <v>373.90800000000002</v>
      </c>
      <c r="N23" s="2">
        <v>360.02300000000002</v>
      </c>
      <c r="O23" s="2">
        <v>458.15300000000002</v>
      </c>
      <c r="P23" s="2">
        <v>465.93099999999998</v>
      </c>
      <c r="Q23" s="2">
        <v>435.46899999999999</v>
      </c>
      <c r="R23" s="2">
        <v>448.279</v>
      </c>
      <c r="S23" s="2">
        <v>445.77100000000002</v>
      </c>
      <c r="T23" s="2">
        <v>403.73599999999999</v>
      </c>
      <c r="U23" s="2">
        <v>368.38600000000002</v>
      </c>
      <c r="V23" s="2">
        <v>339.786</v>
      </c>
      <c r="W23" s="2">
        <v>316.142</v>
      </c>
      <c r="X23" s="2">
        <v>296.3</v>
      </c>
      <c r="Y23" s="2">
        <v>284.07299999999998</v>
      </c>
      <c r="Z23" s="2">
        <v>268.70100000000002</v>
      </c>
      <c r="AA23" s="2">
        <v>264.69499999999999</v>
      </c>
      <c r="AB23" s="2">
        <v>249.39599999999999</v>
      </c>
      <c r="AC23" s="2">
        <v>407.23700000000002</v>
      </c>
      <c r="AD23" s="2">
        <v>356.74900000000002</v>
      </c>
      <c r="AE23" s="2">
        <v>337.65199999999999</v>
      </c>
      <c r="AF23" s="2">
        <v>319.60199999999998</v>
      </c>
      <c r="AG23" s="2">
        <v>305.423</v>
      </c>
      <c r="AH23" s="2">
        <v>295.07900000000001</v>
      </c>
      <c r="AI23" s="2">
        <v>285.70100000000002</v>
      </c>
      <c r="AJ23" s="2">
        <v>276.21899999999999</v>
      </c>
      <c r="AK23" s="2">
        <v>267.637</v>
      </c>
      <c r="AL23" s="2">
        <v>258.41000000000003</v>
      </c>
      <c r="AM23" s="2">
        <v>254.31100000000001</v>
      </c>
    </row>
    <row r="24" spans="10:39" x14ac:dyDescent="0.25">
      <c r="J24" t="s">
        <v>103</v>
      </c>
      <c r="K24" t="s">
        <v>104</v>
      </c>
      <c r="L24" s="2">
        <v>0</v>
      </c>
      <c r="M24" s="2">
        <v>54.747</v>
      </c>
      <c r="N24" s="2">
        <v>45.585999999999999</v>
      </c>
      <c r="O24" s="2">
        <v>100.999</v>
      </c>
      <c r="P24" s="2">
        <v>79.918999999999997</v>
      </c>
      <c r="Q24" s="2">
        <v>63.454999999999998</v>
      </c>
      <c r="R24" s="2">
        <v>53.56</v>
      </c>
      <c r="S24" s="2">
        <v>43.134</v>
      </c>
      <c r="T24" s="2">
        <v>67.227999999999994</v>
      </c>
      <c r="U24" s="2">
        <v>52.518999999999998</v>
      </c>
      <c r="V24" s="2">
        <v>41.478000000000002</v>
      </c>
      <c r="W24" s="2">
        <v>33.203000000000003</v>
      </c>
      <c r="X24" s="2">
        <v>27.021000000000001</v>
      </c>
      <c r="Y24" s="2">
        <v>23.204999999999998</v>
      </c>
      <c r="Z24" s="2">
        <v>157.43299999999999</v>
      </c>
      <c r="AA24" s="2">
        <v>143.04400000000001</v>
      </c>
      <c r="AB24" s="2">
        <v>129.458</v>
      </c>
      <c r="AC24" s="2">
        <v>118.09099999999999</v>
      </c>
      <c r="AD24" s="2">
        <v>103.76300000000001</v>
      </c>
      <c r="AE24" s="2">
        <v>93.215000000000003</v>
      </c>
      <c r="AF24" s="2">
        <v>83.588999999999999</v>
      </c>
      <c r="AG24" s="2">
        <v>77.870999999999995</v>
      </c>
      <c r="AH24" s="2">
        <v>72.927000000000007</v>
      </c>
      <c r="AI24" s="2">
        <v>68.302999999999997</v>
      </c>
      <c r="AJ24" s="2">
        <v>64.081999999999994</v>
      </c>
      <c r="AK24" s="2">
        <v>60.218000000000004</v>
      </c>
      <c r="AL24" s="2">
        <v>56.081000000000003</v>
      </c>
      <c r="AM24" s="2">
        <v>52.365000000000002</v>
      </c>
    </row>
    <row r="25" spans="10:39" x14ac:dyDescent="0.25">
      <c r="J25" t="s">
        <v>105</v>
      </c>
      <c r="K25" t="s">
        <v>106</v>
      </c>
      <c r="L25" s="2">
        <v>0</v>
      </c>
      <c r="M25" s="2">
        <v>14.484</v>
      </c>
      <c r="N25" s="2">
        <v>29.827999999999999</v>
      </c>
      <c r="O25" s="2">
        <v>46.274000000000001</v>
      </c>
      <c r="P25" s="2">
        <v>55.375</v>
      </c>
      <c r="Q25" s="2">
        <v>55.5</v>
      </c>
      <c r="R25" s="2">
        <v>54.250999999999998</v>
      </c>
      <c r="S25" s="2">
        <v>57.676000000000002</v>
      </c>
      <c r="T25" s="2">
        <v>63.179000000000002</v>
      </c>
      <c r="U25" s="2">
        <v>68.290000000000006</v>
      </c>
      <c r="V25" s="2">
        <v>77.825999999999993</v>
      </c>
      <c r="W25" s="2">
        <v>93.801000000000002</v>
      </c>
      <c r="X25" s="2">
        <v>94.174000000000007</v>
      </c>
      <c r="Y25" s="2">
        <v>97.938000000000002</v>
      </c>
      <c r="Z25" s="2">
        <v>88.216999999999999</v>
      </c>
      <c r="AA25" s="2">
        <v>84.174000000000007</v>
      </c>
      <c r="AB25" s="2">
        <v>82.694000000000003</v>
      </c>
      <c r="AC25" s="2">
        <v>79.022000000000006</v>
      </c>
      <c r="AD25" s="2">
        <v>72.537999999999997</v>
      </c>
      <c r="AE25" s="2">
        <v>69.73</v>
      </c>
      <c r="AF25" s="2">
        <v>32.656999999999996</v>
      </c>
      <c r="AG25" s="2">
        <v>36.765000000000001</v>
      </c>
      <c r="AH25" s="2">
        <v>35.470999999999997</v>
      </c>
      <c r="AI25" s="2">
        <v>34.463000000000001</v>
      </c>
      <c r="AJ25" s="2">
        <v>33.381999999999998</v>
      </c>
      <c r="AK25" s="2">
        <v>32.442</v>
      </c>
      <c r="AL25" s="2">
        <v>31.51</v>
      </c>
      <c r="AM25" s="2">
        <v>30.576000000000001</v>
      </c>
    </row>
    <row r="26" spans="10:39" x14ac:dyDescent="0.25"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</row>
    <row r="27" spans="10:39" x14ac:dyDescent="0.25">
      <c r="J27" t="s">
        <v>107</v>
      </c>
      <c r="L27" s="9"/>
      <c r="M27" s="9">
        <v>0.71325526137135098</v>
      </c>
      <c r="N27" s="9">
        <v>0.64075530357004629</v>
      </c>
      <c r="O27" s="9">
        <v>0.616555812353346</v>
      </c>
      <c r="P27" s="9">
        <v>0.5865406726225143</v>
      </c>
      <c r="Q27" s="9">
        <v>0.54784550819038502</v>
      </c>
      <c r="R27" s="9">
        <v>0.54596023002961314</v>
      </c>
      <c r="S27" s="9">
        <v>0.54077207171433728</v>
      </c>
      <c r="T27" s="9">
        <v>0.43576225362746607</v>
      </c>
      <c r="U27" s="9">
        <v>0.43121403390865426</v>
      </c>
      <c r="V27" s="9">
        <v>0.41290534986554672</v>
      </c>
      <c r="W27" s="9">
        <v>0.38071184926057916</v>
      </c>
      <c r="X27" s="9">
        <v>0.36786336805792591</v>
      </c>
      <c r="Y27" s="9">
        <v>0.36236681505940616</v>
      </c>
      <c r="Z27" s="9">
        <v>0.35368748506015774</v>
      </c>
      <c r="AA27" s="9">
        <v>0.35412761965971562</v>
      </c>
      <c r="AB27" s="9">
        <v>0.33878701489627688</v>
      </c>
      <c r="AC27" s="9">
        <v>0.40015325822258546</v>
      </c>
      <c r="AD27" s="9">
        <v>0.40074037138657781</v>
      </c>
      <c r="AE27" s="9">
        <v>0.39417772565178327</v>
      </c>
      <c r="AF27" s="9">
        <v>0.41342449656343472</v>
      </c>
      <c r="AG27" s="9">
        <v>0.39452088070214081</v>
      </c>
      <c r="AH27" s="9">
        <v>0.39962774413816476</v>
      </c>
      <c r="AI27" s="9">
        <v>0.40399286515578087</v>
      </c>
      <c r="AJ27" s="9">
        <v>0.40813900912343315</v>
      </c>
      <c r="AK27" s="9">
        <v>0.41224014555495342</v>
      </c>
      <c r="AL27" s="9">
        <v>0.41436279192331765</v>
      </c>
      <c r="AM27" s="9">
        <v>0.41948522522251419</v>
      </c>
    </row>
    <row r="28" spans="10:39" x14ac:dyDescent="0.25">
      <c r="J28" t="s">
        <v>108</v>
      </c>
      <c r="K28" s="26"/>
      <c r="L28" s="9"/>
      <c r="M28" s="9">
        <v>0.23728585120402537</v>
      </c>
      <c r="N28" s="9">
        <v>0.21446659410410776</v>
      </c>
      <c r="O28" s="9">
        <v>0.18000520456590391</v>
      </c>
      <c r="P28" s="9">
        <v>0.1627743046078661</v>
      </c>
      <c r="Q28" s="9">
        <v>0.15003810247479415</v>
      </c>
      <c r="R28" s="9">
        <v>0.14471282199685373</v>
      </c>
      <c r="S28" s="9">
        <v>0.1394544994010532</v>
      </c>
      <c r="T28" s="9">
        <v>0.27994544690788709</v>
      </c>
      <c r="U28" s="9">
        <v>0.26023544887628536</v>
      </c>
      <c r="V28" s="9">
        <v>0.23301735275929775</v>
      </c>
      <c r="W28" s="9">
        <v>0.20043700482775906</v>
      </c>
      <c r="X28" s="9">
        <v>0.18068962221645754</v>
      </c>
      <c r="Y28" s="9">
        <v>0.20028774433208527</v>
      </c>
      <c r="Z28" s="9">
        <v>0.38015839552734321</v>
      </c>
      <c r="AA28" s="9">
        <v>0.35361172148446657</v>
      </c>
      <c r="AB28" s="9">
        <v>0.32113289682419027</v>
      </c>
      <c r="AC28" s="9">
        <v>0.30240239119389833</v>
      </c>
      <c r="AD28" s="9">
        <v>0.26348188622402763</v>
      </c>
      <c r="AE28" s="9">
        <v>0.24575556364687606</v>
      </c>
      <c r="AF28" s="9">
        <v>0.24452984731047622</v>
      </c>
      <c r="AG28" s="9">
        <v>0.22387480533543036</v>
      </c>
      <c r="AH28" s="9">
        <v>0.21628738847527126</v>
      </c>
      <c r="AI28" s="9">
        <v>0.20860061419916168</v>
      </c>
      <c r="AJ28" s="9">
        <v>0.2014579263049196</v>
      </c>
      <c r="AK28" s="9">
        <v>0.19454646731237607</v>
      </c>
      <c r="AL28" s="9">
        <v>0.18975196811489178</v>
      </c>
      <c r="AM28" s="9">
        <v>0.1856589661554118</v>
      </c>
    </row>
    <row r="29" spans="10:39" x14ac:dyDescent="0.25">
      <c r="J29" t="s">
        <v>109</v>
      </c>
      <c r="L29" s="9"/>
      <c r="M29" s="9">
        <v>4.9458887424623614E-2</v>
      </c>
      <c r="N29" s="9">
        <v>0.14477652258944071</v>
      </c>
      <c r="O29" s="9">
        <v>0.20344008574301795</v>
      </c>
      <c r="P29" s="9">
        <v>0.25068609731514058</v>
      </c>
      <c r="Q29" s="9">
        <v>0.30211529128079218</v>
      </c>
      <c r="R29" s="9">
        <v>0.30932586005443941</v>
      </c>
      <c r="S29" s="9">
        <v>0.31977232279636802</v>
      </c>
      <c r="T29" s="9">
        <v>0.28429137420867484</v>
      </c>
      <c r="U29" s="9">
        <v>0.30855051721506044</v>
      </c>
      <c r="V29" s="9">
        <v>0.35407729737515548</v>
      </c>
      <c r="W29" s="9">
        <v>0.4188500561240614</v>
      </c>
      <c r="X29" s="9">
        <v>0.45144814749077267</v>
      </c>
      <c r="Y29" s="9">
        <v>0.4373454406085085</v>
      </c>
      <c r="Z29" s="9">
        <v>0.26615411941249895</v>
      </c>
      <c r="AA29" s="9">
        <v>0.29225979034037119</v>
      </c>
      <c r="AB29" s="9">
        <v>0.34007919403791226</v>
      </c>
      <c r="AC29" s="9">
        <v>0.2974443505835162</v>
      </c>
      <c r="AD29" s="9">
        <v>0.33577774238939462</v>
      </c>
      <c r="AE29" s="9">
        <v>0.36006671070134066</v>
      </c>
      <c r="AF29" s="9">
        <v>0.34204565612608911</v>
      </c>
      <c r="AG29" s="9">
        <v>0.38160431396242883</v>
      </c>
      <c r="AH29" s="9">
        <v>0.38408595331381562</v>
      </c>
      <c r="AI29" s="9">
        <v>0.38740537943516956</v>
      </c>
      <c r="AJ29" s="9">
        <v>0.39040306457164714</v>
      </c>
      <c r="AK29" s="9">
        <v>0.39321212974710201</v>
      </c>
      <c r="AL29" s="9">
        <v>0.39588523996179054</v>
      </c>
      <c r="AM29" s="9">
        <v>0.39485580862207403</v>
      </c>
    </row>
    <row r="32" spans="10:39" x14ac:dyDescent="0.25">
      <c r="J32" s="1" t="s">
        <v>110</v>
      </c>
      <c r="L32" s="2"/>
    </row>
    <row r="33" spans="9:40" ht="45" x14ac:dyDescent="0.25">
      <c r="I33" t="s">
        <v>111</v>
      </c>
      <c r="J33" t="s">
        <v>112</v>
      </c>
      <c r="K33" s="18" t="s">
        <v>113</v>
      </c>
      <c r="L33" s="2">
        <v>0</v>
      </c>
      <c r="M33" s="2">
        <v>2719.8719999999998</v>
      </c>
      <c r="N33" s="2">
        <v>2757.8530000000001</v>
      </c>
      <c r="O33" s="2">
        <v>3357.1889999999999</v>
      </c>
      <c r="P33" s="2">
        <v>3377.297</v>
      </c>
      <c r="Q33" s="2">
        <v>3299.8339999999998</v>
      </c>
      <c r="R33" s="2">
        <v>3312.223</v>
      </c>
      <c r="S33" s="2">
        <v>3288.7069999999999</v>
      </c>
      <c r="T33" s="2">
        <v>3627.4929999999999</v>
      </c>
      <c r="U33" s="2">
        <v>3414.3119999999999</v>
      </c>
      <c r="V33" s="2">
        <v>3286.806</v>
      </c>
      <c r="W33" s="2">
        <v>3228.8719999999998</v>
      </c>
      <c r="X33" s="2">
        <v>3135.433</v>
      </c>
      <c r="Y33" s="2">
        <v>2841.74</v>
      </c>
      <c r="Z33" s="2">
        <v>3364.63</v>
      </c>
      <c r="AA33" s="2">
        <v>3287.39</v>
      </c>
      <c r="AB33" s="2">
        <v>3035.3380000000002</v>
      </c>
      <c r="AC33" s="2">
        <v>3511.5320000000002</v>
      </c>
      <c r="AD33" s="2">
        <v>2957.8530000000001</v>
      </c>
      <c r="AE33" s="2">
        <v>2865.808</v>
      </c>
      <c r="AF33" s="2">
        <v>2597.4870000000001</v>
      </c>
      <c r="AG33" s="2">
        <v>2923.9780000000001</v>
      </c>
      <c r="AH33" s="2">
        <v>2698.3240000000001</v>
      </c>
      <c r="AI33" s="2">
        <v>2875.4140000000002</v>
      </c>
      <c r="AJ33" s="2">
        <v>2706.085</v>
      </c>
      <c r="AK33" s="2">
        <v>2745.864</v>
      </c>
      <c r="AL33" s="2">
        <v>2811.21</v>
      </c>
      <c r="AM33" s="2">
        <v>2886.14</v>
      </c>
    </row>
    <row r="34" spans="9:40" ht="60" x14ac:dyDescent="0.25">
      <c r="J34" s="17" t="s">
        <v>114</v>
      </c>
      <c r="K34" s="19" t="s">
        <v>115</v>
      </c>
      <c r="L34" s="20">
        <v>0</v>
      </c>
      <c r="M34" s="20">
        <v>939.37</v>
      </c>
      <c r="N34" s="20">
        <v>985.49699999999996</v>
      </c>
      <c r="O34" s="20">
        <v>1616.155</v>
      </c>
      <c r="P34" s="20">
        <v>1643.8879999999999</v>
      </c>
      <c r="Q34" s="20">
        <v>1572.4649999999999</v>
      </c>
      <c r="R34" s="20">
        <v>1590.693</v>
      </c>
      <c r="S34" s="20">
        <v>1570.722</v>
      </c>
      <c r="T34" s="20">
        <v>1913.5239999999999</v>
      </c>
      <c r="U34" s="20">
        <v>1701.788</v>
      </c>
      <c r="V34" s="20">
        <v>1578.6089999999999</v>
      </c>
      <c r="W34" s="20">
        <v>1528.252</v>
      </c>
      <c r="X34" s="20">
        <v>1437.4369999999999</v>
      </c>
      <c r="Y34" s="20">
        <v>1375.5340000000001</v>
      </c>
      <c r="Z34" s="20">
        <v>1896.001</v>
      </c>
      <c r="AA34" s="20">
        <v>1821.345</v>
      </c>
      <c r="AB34" s="20">
        <v>1740.4880000000001</v>
      </c>
      <c r="AC34" s="20">
        <v>2163.0949999999998</v>
      </c>
      <c r="AD34" s="20">
        <v>1735.326</v>
      </c>
      <c r="AE34" s="20">
        <v>1642.0619999999999</v>
      </c>
      <c r="AF34" s="20">
        <v>1448.115</v>
      </c>
      <c r="AG34" s="20">
        <v>1433.4880000000001</v>
      </c>
      <c r="AH34" s="20">
        <v>1346.6079999999999</v>
      </c>
      <c r="AI34" s="20">
        <v>1287.1210000000001</v>
      </c>
      <c r="AJ34" s="20">
        <v>1214.6489999999999</v>
      </c>
      <c r="AK34" s="20">
        <v>1158.8910000000001</v>
      </c>
      <c r="AL34" s="20">
        <v>1109.1610000000001</v>
      </c>
      <c r="AM34" s="20">
        <v>1083.057</v>
      </c>
      <c r="AN34" s="2"/>
    </row>
    <row r="35" spans="9:40" x14ac:dyDescent="0.25">
      <c r="AN35" s="2"/>
    </row>
    <row r="36" spans="9:40" x14ac:dyDescent="0.25">
      <c r="J36" s="1" t="s">
        <v>116</v>
      </c>
      <c r="M36" s="2"/>
      <c r="N36" s="2"/>
      <c r="O36" s="2"/>
      <c r="P36" s="2"/>
      <c r="Q36" s="2"/>
      <c r="R36" s="2"/>
      <c r="S36" s="2"/>
      <c r="AN36" s="2"/>
    </row>
    <row r="37" spans="9:40" x14ac:dyDescent="0.25">
      <c r="J37" t="s">
        <v>117</v>
      </c>
      <c r="K37" t="s">
        <v>118</v>
      </c>
      <c r="L37" s="2">
        <v>0</v>
      </c>
      <c r="M37" s="2">
        <v>912.09100000000001</v>
      </c>
      <c r="N37" s="2">
        <v>953.86800000000005</v>
      </c>
      <c r="O37" s="2">
        <v>1557.0160000000001</v>
      </c>
      <c r="P37" s="2">
        <v>1580.9549999999999</v>
      </c>
      <c r="Q37" s="2">
        <v>1507.3330000000001</v>
      </c>
      <c r="R37" s="2">
        <v>1523.5650000000001</v>
      </c>
      <c r="S37" s="2">
        <v>1503.885</v>
      </c>
      <c r="T37" s="2">
        <v>1845.4849999999999</v>
      </c>
      <c r="U37" s="2">
        <v>1634.01</v>
      </c>
      <c r="V37" s="2">
        <v>1508.4770000000001</v>
      </c>
      <c r="W37" s="2">
        <v>1452.8130000000001</v>
      </c>
      <c r="X37" s="2">
        <v>1360.9179999999999</v>
      </c>
      <c r="Y37" s="2">
        <v>1314.09</v>
      </c>
      <c r="Z37" s="2">
        <v>1838.174</v>
      </c>
      <c r="AA37" s="2">
        <v>1762.2940000000001</v>
      </c>
      <c r="AB37" s="2">
        <v>1687.201</v>
      </c>
      <c r="AC37" s="2">
        <v>2102.3110000000001</v>
      </c>
      <c r="AD37" s="2">
        <v>1685.932</v>
      </c>
      <c r="AE37" s="2">
        <v>1592.1510000000001</v>
      </c>
      <c r="AF37" s="2">
        <v>1409.2249999999999</v>
      </c>
      <c r="AG37" s="2">
        <v>1394.2639999999999</v>
      </c>
      <c r="AH37" s="2">
        <v>1315.3689999999999</v>
      </c>
      <c r="AI37" s="2">
        <v>1246.319</v>
      </c>
      <c r="AJ37" s="2">
        <v>1180.365</v>
      </c>
      <c r="AK37" s="2">
        <v>1120.867</v>
      </c>
      <c r="AL37" s="2">
        <v>1066.9829999999999</v>
      </c>
      <c r="AM37" s="2">
        <v>1036.934</v>
      </c>
      <c r="AN37" s="2"/>
    </row>
    <row r="38" spans="9:40" x14ac:dyDescent="0.25">
      <c r="J38" t="s">
        <v>119</v>
      </c>
      <c r="L38" s="2">
        <v>0</v>
      </c>
      <c r="M38" s="2">
        <v>113.52800000000001</v>
      </c>
      <c r="N38" s="2">
        <v>120.634</v>
      </c>
      <c r="O38" s="2">
        <v>215.31299999999999</v>
      </c>
      <c r="P38" s="2">
        <v>220.84399999999999</v>
      </c>
      <c r="Q38" s="2">
        <v>211.42400000000001</v>
      </c>
      <c r="R38" s="2">
        <v>214.959</v>
      </c>
      <c r="S38" s="2">
        <v>213.465</v>
      </c>
      <c r="T38" s="2">
        <v>274.608</v>
      </c>
      <c r="U38" s="2">
        <v>240.607</v>
      </c>
      <c r="V38" s="2">
        <v>219.11099999999999</v>
      </c>
      <c r="W38" s="2">
        <v>207.06100000000001</v>
      </c>
      <c r="X38" s="2">
        <v>190.958</v>
      </c>
      <c r="Y38" s="2">
        <v>184.92599999999999</v>
      </c>
      <c r="Z38" s="2">
        <v>259.26600000000002</v>
      </c>
      <c r="AA38" s="2">
        <v>249.678</v>
      </c>
      <c r="AB38" s="2">
        <v>235.97900000000001</v>
      </c>
      <c r="AC38" s="2">
        <v>312.221</v>
      </c>
      <c r="AD38" s="2">
        <v>230.09800000000001</v>
      </c>
      <c r="AE38" s="2">
        <v>215.679</v>
      </c>
      <c r="AF38" s="2">
        <v>189.04400000000001</v>
      </c>
      <c r="AG38" s="2">
        <v>185.727</v>
      </c>
      <c r="AH38" s="2">
        <v>174.38399999999999</v>
      </c>
      <c r="AI38" s="2">
        <v>164.523</v>
      </c>
      <c r="AJ38" s="2">
        <v>155.01900000000001</v>
      </c>
      <c r="AK38" s="2">
        <v>146.49600000000001</v>
      </c>
      <c r="AL38" s="2">
        <v>139.023</v>
      </c>
      <c r="AM38" s="2">
        <v>136.70099999999999</v>
      </c>
    </row>
    <row r="39" spans="9:40" x14ac:dyDescent="0.25">
      <c r="J39" t="s">
        <v>120</v>
      </c>
      <c r="L39" s="2">
        <v>0</v>
      </c>
      <c r="M39" s="2">
        <v>495.41500000000002</v>
      </c>
      <c r="N39" s="2">
        <v>522.79700000000003</v>
      </c>
      <c r="O39" s="2">
        <v>703.63300000000004</v>
      </c>
      <c r="P39" s="2">
        <v>720.73299999999995</v>
      </c>
      <c r="Q39" s="2">
        <v>713.91200000000003</v>
      </c>
      <c r="R39" s="2">
        <v>718.63199999999995</v>
      </c>
      <c r="S39" s="2">
        <v>707.48</v>
      </c>
      <c r="T39" s="2">
        <v>857.12099999999998</v>
      </c>
      <c r="U39" s="2">
        <v>777.68299999999999</v>
      </c>
      <c r="V39" s="2">
        <v>738.94899999999996</v>
      </c>
      <c r="W39" s="2">
        <v>737.05399999999997</v>
      </c>
      <c r="X39" s="2">
        <v>709.07100000000003</v>
      </c>
      <c r="Y39" s="2">
        <v>685</v>
      </c>
      <c r="Z39" s="2">
        <v>975.255</v>
      </c>
      <c r="AA39" s="2">
        <v>928.99400000000003</v>
      </c>
      <c r="AB39" s="2">
        <v>904.53</v>
      </c>
      <c r="AC39" s="2">
        <v>1045.701</v>
      </c>
      <c r="AD39" s="2">
        <v>933.21699999999998</v>
      </c>
      <c r="AE39" s="2">
        <v>888.90499999999997</v>
      </c>
      <c r="AF39" s="2">
        <v>796.20399999999995</v>
      </c>
      <c r="AG39" s="2">
        <v>794.21100000000001</v>
      </c>
      <c r="AH39" s="2">
        <v>753.21199999999999</v>
      </c>
      <c r="AI39" s="2">
        <v>717.15099999999995</v>
      </c>
      <c r="AJ39" s="2">
        <v>682.95699999999999</v>
      </c>
      <c r="AK39" s="2">
        <v>651.81799999999998</v>
      </c>
      <c r="AL39" s="2">
        <v>622.43899999999996</v>
      </c>
      <c r="AM39" s="2">
        <v>597.66899999999998</v>
      </c>
    </row>
    <row r="40" spans="9:40" x14ac:dyDescent="0.25">
      <c r="J40" t="s">
        <v>121</v>
      </c>
      <c r="L40" s="2">
        <v>0</v>
      </c>
      <c r="M40" s="2">
        <v>189.63399999999999</v>
      </c>
      <c r="N40" s="2">
        <v>184.39099999999999</v>
      </c>
      <c r="O40" s="2">
        <v>428.92</v>
      </c>
      <c r="P40" s="2">
        <v>422.29599999999999</v>
      </c>
      <c r="Q40" s="2">
        <v>373.53899999999999</v>
      </c>
      <c r="R40" s="2">
        <v>378.14</v>
      </c>
      <c r="S40" s="2">
        <v>368.33499999999998</v>
      </c>
      <c r="T40" s="2">
        <v>435.01799999999997</v>
      </c>
      <c r="U40" s="2">
        <v>367.67399999999998</v>
      </c>
      <c r="V40" s="2">
        <v>320.24099999999999</v>
      </c>
      <c r="W40" s="2">
        <v>285.94499999999999</v>
      </c>
      <c r="X40" s="2">
        <v>252.084</v>
      </c>
      <c r="Y40" s="2">
        <v>241.506</v>
      </c>
      <c r="Z40" s="2">
        <v>311.952</v>
      </c>
      <c r="AA40" s="2">
        <v>303.28300000000002</v>
      </c>
      <c r="AB40" s="2">
        <v>279.56400000000002</v>
      </c>
      <c r="AC40" s="2">
        <v>398.86599999999999</v>
      </c>
      <c r="AD40" s="2">
        <v>255.59100000000001</v>
      </c>
      <c r="AE40" s="2">
        <v>236.244</v>
      </c>
      <c r="AF40" s="2">
        <v>202.80199999999999</v>
      </c>
      <c r="AG40" s="2">
        <v>196.114</v>
      </c>
      <c r="AH40" s="2">
        <v>182.20400000000001</v>
      </c>
      <c r="AI40" s="2">
        <v>170.08199999999999</v>
      </c>
      <c r="AJ40" s="2">
        <v>158.47800000000001</v>
      </c>
      <c r="AK40" s="2">
        <v>148.21299999999999</v>
      </c>
      <c r="AL40" s="2">
        <v>139.86199999999999</v>
      </c>
      <c r="AM40" s="2">
        <v>139.87299999999999</v>
      </c>
    </row>
    <row r="41" spans="9:40" x14ac:dyDescent="0.25">
      <c r="J41" t="s">
        <v>122</v>
      </c>
      <c r="L41" s="2">
        <v>0</v>
      </c>
      <c r="M41" s="2">
        <v>113.514</v>
      </c>
      <c r="N41" s="2">
        <v>126.04600000000001</v>
      </c>
      <c r="O41" s="2">
        <v>209.149</v>
      </c>
      <c r="P41" s="2">
        <v>217.08199999999999</v>
      </c>
      <c r="Q41" s="2">
        <v>208.45699999999999</v>
      </c>
      <c r="R41" s="2">
        <v>211.834</v>
      </c>
      <c r="S41" s="2">
        <v>214.60499999999999</v>
      </c>
      <c r="T41" s="2">
        <v>278.738</v>
      </c>
      <c r="U41" s="2">
        <v>248.04499999999999</v>
      </c>
      <c r="V41" s="2">
        <v>230.17599999999999</v>
      </c>
      <c r="W41" s="2">
        <v>222.75299999999999</v>
      </c>
      <c r="X41" s="2">
        <v>208.80600000000001</v>
      </c>
      <c r="Y41" s="2">
        <v>202.65799999999999</v>
      </c>
      <c r="Z41" s="2">
        <v>291.7</v>
      </c>
      <c r="AA41" s="2">
        <v>280.33800000000002</v>
      </c>
      <c r="AB41" s="2">
        <v>267.12700000000001</v>
      </c>
      <c r="AC41" s="2">
        <v>345.52199999999999</v>
      </c>
      <c r="AD41" s="2">
        <v>267.02499999999998</v>
      </c>
      <c r="AE41" s="2">
        <v>251.32300000000001</v>
      </c>
      <c r="AF41" s="2">
        <v>221.17500000000001</v>
      </c>
      <c r="AG41" s="2">
        <v>218.21199999999999</v>
      </c>
      <c r="AH41" s="2">
        <v>205.56899999999999</v>
      </c>
      <c r="AI41" s="2">
        <v>194.56200000000001</v>
      </c>
      <c r="AJ41" s="2">
        <v>183.911</v>
      </c>
      <c r="AK41" s="2">
        <v>174.34</v>
      </c>
      <c r="AL41" s="2">
        <v>165.65899999999999</v>
      </c>
      <c r="AM41" s="2">
        <v>162.69</v>
      </c>
    </row>
    <row r="43" spans="9:40" x14ac:dyDescent="0.25">
      <c r="L43" s="2"/>
    </row>
    <row r="44" spans="9:40" x14ac:dyDescent="0.25">
      <c r="J44" s="1" t="s">
        <v>123</v>
      </c>
      <c r="L44" s="2"/>
    </row>
    <row r="45" spans="9:40" x14ac:dyDescent="0.25">
      <c r="J45" t="s">
        <v>124</v>
      </c>
      <c r="L45" s="2">
        <v>0</v>
      </c>
      <c r="M45" s="2">
        <v>2170.152</v>
      </c>
      <c r="N45" s="2">
        <v>2187.527</v>
      </c>
      <c r="O45" s="2">
        <v>2230.2579999999998</v>
      </c>
      <c r="P45" s="2">
        <v>2242.5369999999998</v>
      </c>
      <c r="Q45" s="2">
        <v>2245.625</v>
      </c>
      <c r="R45" s="2">
        <v>2242.027</v>
      </c>
      <c r="S45" s="2">
        <v>2230.3029999999999</v>
      </c>
      <c r="T45" s="2">
        <v>2319.8589999999999</v>
      </c>
      <c r="U45" s="2">
        <v>2272.393</v>
      </c>
      <c r="V45" s="2">
        <v>2252.4989999999998</v>
      </c>
      <c r="W45" s="2">
        <v>2259.5230000000001</v>
      </c>
      <c r="X45" s="2">
        <v>2245.2420000000002</v>
      </c>
      <c r="Y45" s="2">
        <v>2000.7180000000001</v>
      </c>
      <c r="Z45" s="2">
        <v>2264.3090000000002</v>
      </c>
      <c r="AA45" s="2">
        <v>2220.5369999999998</v>
      </c>
      <c r="AB45" s="2">
        <v>2041.588</v>
      </c>
      <c r="AC45" s="2">
        <v>2173.3330000000001</v>
      </c>
      <c r="AD45" s="2">
        <v>2017.367</v>
      </c>
      <c r="AE45" s="2">
        <v>1983.152</v>
      </c>
      <c r="AF45" s="2">
        <v>1836.934</v>
      </c>
      <c r="AG45" s="2">
        <v>2179.556</v>
      </c>
      <c r="AH45" s="2">
        <v>2012.287</v>
      </c>
      <c r="AI45" s="2">
        <v>2211.337</v>
      </c>
      <c r="AJ45" s="2">
        <v>2090.4009999999998</v>
      </c>
      <c r="AK45" s="2">
        <v>2156.6550000000002</v>
      </c>
      <c r="AL45" s="2">
        <v>2242.511</v>
      </c>
      <c r="AM45" s="2">
        <v>2314.9189999999999</v>
      </c>
    </row>
    <row r="46" spans="9:40" x14ac:dyDescent="0.25">
      <c r="J46" t="s">
        <v>125</v>
      </c>
      <c r="L46" s="2">
        <v>0</v>
      </c>
      <c r="M46" s="2">
        <v>117.774</v>
      </c>
      <c r="N46" s="2">
        <v>119.748</v>
      </c>
      <c r="O46" s="2">
        <v>213.155</v>
      </c>
      <c r="P46" s="2">
        <v>214.57300000000001</v>
      </c>
      <c r="Q46" s="2">
        <v>199.31899999999999</v>
      </c>
      <c r="R46" s="2">
        <v>202.571</v>
      </c>
      <c r="S46" s="2">
        <v>195.149</v>
      </c>
      <c r="T46" s="2">
        <v>222.27799999999999</v>
      </c>
      <c r="U46" s="2">
        <v>198.13300000000001</v>
      </c>
      <c r="V46" s="2">
        <v>184.435</v>
      </c>
      <c r="W46" s="2">
        <v>180.29599999999999</v>
      </c>
      <c r="X46" s="2">
        <v>170.63900000000001</v>
      </c>
      <c r="Y46" s="2">
        <v>159.416</v>
      </c>
      <c r="Z46" s="2">
        <v>204.084</v>
      </c>
      <c r="AA46" s="2">
        <v>198.72399999999999</v>
      </c>
      <c r="AB46" s="2">
        <v>188.05600000000001</v>
      </c>
      <c r="AC46" s="2">
        <v>230.78399999999999</v>
      </c>
      <c r="AD46" s="2">
        <v>182.34399999999999</v>
      </c>
      <c r="AE46" s="2">
        <v>173.625</v>
      </c>
      <c r="AF46" s="2">
        <v>149.30199999999999</v>
      </c>
      <c r="AG46" s="2">
        <v>148.15</v>
      </c>
      <c r="AH46" s="2">
        <v>135.874</v>
      </c>
      <c r="AI46" s="2">
        <v>135.166</v>
      </c>
      <c r="AJ46" s="2">
        <v>124.976</v>
      </c>
      <c r="AK46" s="2">
        <v>121.85599999999999</v>
      </c>
      <c r="AL46" s="2">
        <v>119.62</v>
      </c>
      <c r="AM46" s="2">
        <v>119.69</v>
      </c>
    </row>
    <row r="47" spans="9:40" x14ac:dyDescent="0.25">
      <c r="J47" t="s">
        <v>126</v>
      </c>
      <c r="L47" s="2">
        <v>0</v>
      </c>
      <c r="M47" s="2">
        <v>60.476999999999997</v>
      </c>
      <c r="N47" s="2">
        <v>62.279000000000003</v>
      </c>
      <c r="O47" s="2">
        <v>124.389</v>
      </c>
      <c r="P47" s="2">
        <v>129.48500000000001</v>
      </c>
      <c r="Q47" s="2">
        <v>124.395</v>
      </c>
      <c r="R47" s="2">
        <v>127.244</v>
      </c>
      <c r="S47" s="2">
        <v>125.991</v>
      </c>
      <c r="T47" s="2">
        <v>154.98099999999999</v>
      </c>
      <c r="U47" s="2">
        <v>134.107</v>
      </c>
      <c r="V47" s="2">
        <v>120.473</v>
      </c>
      <c r="W47" s="2">
        <v>112.27500000000001</v>
      </c>
      <c r="X47" s="2">
        <v>102.50700000000001</v>
      </c>
      <c r="Y47" s="2">
        <v>99.198999999999998</v>
      </c>
      <c r="Z47" s="2">
        <v>133.131</v>
      </c>
      <c r="AA47" s="2">
        <v>128.46</v>
      </c>
      <c r="AB47" s="2">
        <v>120.839</v>
      </c>
      <c r="AC47" s="2">
        <v>158.08799999999999</v>
      </c>
      <c r="AD47" s="2">
        <v>116.16</v>
      </c>
      <c r="AE47" s="2">
        <v>108.759</v>
      </c>
      <c r="AF47" s="2">
        <v>94.995000000000005</v>
      </c>
      <c r="AG47" s="2">
        <v>92.759</v>
      </c>
      <c r="AH47" s="2">
        <v>86.638000000000005</v>
      </c>
      <c r="AI47" s="2">
        <v>81.953999999999994</v>
      </c>
      <c r="AJ47" s="2">
        <v>76.84</v>
      </c>
      <c r="AK47" s="2">
        <v>72.707999999999998</v>
      </c>
      <c r="AL47" s="2">
        <v>69.251000000000005</v>
      </c>
      <c r="AM47" s="2">
        <v>69.62</v>
      </c>
    </row>
    <row r="48" spans="9:40" x14ac:dyDescent="0.25">
      <c r="J48" t="s">
        <v>127</v>
      </c>
      <c r="L48" s="2">
        <v>0</v>
      </c>
      <c r="M48" s="2">
        <v>32.676000000000002</v>
      </c>
      <c r="N48" s="2">
        <v>35.097999999999999</v>
      </c>
      <c r="O48" s="2">
        <v>73.183999999999997</v>
      </c>
      <c r="P48" s="2">
        <v>70.043999999999997</v>
      </c>
      <c r="Q48" s="2">
        <v>61.273000000000003</v>
      </c>
      <c r="R48" s="2">
        <v>61.046999999999997</v>
      </c>
      <c r="S48" s="2">
        <v>63.012999999999998</v>
      </c>
      <c r="T48" s="2">
        <v>90.024000000000001</v>
      </c>
      <c r="U48" s="2">
        <v>76.584000000000003</v>
      </c>
      <c r="V48" s="2">
        <v>66.778999999999996</v>
      </c>
      <c r="W48" s="2">
        <v>58.747999999999998</v>
      </c>
      <c r="X48" s="2">
        <v>51.23</v>
      </c>
      <c r="Y48" s="2">
        <v>49.65</v>
      </c>
      <c r="Z48" s="2">
        <v>66.929000000000002</v>
      </c>
      <c r="AA48" s="2">
        <v>64.543000000000006</v>
      </c>
      <c r="AB48" s="2">
        <v>58.042999999999999</v>
      </c>
      <c r="AC48" s="2">
        <v>92.882000000000005</v>
      </c>
      <c r="AD48" s="2">
        <v>51.731000000000002</v>
      </c>
      <c r="AE48" s="2">
        <v>47.311</v>
      </c>
      <c r="AF48" s="2">
        <v>39.970999999999997</v>
      </c>
      <c r="AG48" s="2">
        <v>37.997999999999998</v>
      </c>
      <c r="AH48" s="2">
        <v>34.573999999999998</v>
      </c>
      <c r="AI48" s="2">
        <v>32.607999999999997</v>
      </c>
      <c r="AJ48" s="2">
        <v>29.818000000000001</v>
      </c>
      <c r="AK48" s="2">
        <v>27.896999999999998</v>
      </c>
      <c r="AL48" s="2">
        <v>26.498000000000001</v>
      </c>
      <c r="AM48" s="2">
        <v>26.673999999999999</v>
      </c>
    </row>
    <row r="49" spans="10:39" x14ac:dyDescent="0.25">
      <c r="J49" t="s">
        <v>128</v>
      </c>
      <c r="L49" s="2">
        <v>0</v>
      </c>
      <c r="M49" s="2">
        <v>0.40699999999999997</v>
      </c>
      <c r="N49" s="2">
        <v>0.72</v>
      </c>
      <c r="O49" s="2">
        <v>6.9429999999999996</v>
      </c>
      <c r="P49" s="2">
        <v>7.3959999999999999</v>
      </c>
      <c r="Q49" s="2">
        <v>7.4589999999999996</v>
      </c>
      <c r="R49" s="2">
        <v>7.827</v>
      </c>
      <c r="S49" s="2">
        <v>7.6159999999999997</v>
      </c>
      <c r="T49" s="2">
        <v>7.6070000000000002</v>
      </c>
      <c r="U49" s="2">
        <v>7.399</v>
      </c>
      <c r="V49" s="2">
        <v>7.38</v>
      </c>
      <c r="W49" s="2">
        <v>7.3890000000000002</v>
      </c>
      <c r="X49" s="2">
        <v>7.2939999999999996</v>
      </c>
      <c r="Y49" s="2">
        <v>5.1989999999999998</v>
      </c>
      <c r="Z49" s="2">
        <v>5.0090000000000003</v>
      </c>
      <c r="AA49" s="2">
        <v>5.17</v>
      </c>
      <c r="AB49" s="2">
        <v>4.59</v>
      </c>
      <c r="AC49" s="2">
        <v>6.1680000000000001</v>
      </c>
      <c r="AD49" s="2">
        <v>4.0789999999999997</v>
      </c>
      <c r="AE49" s="2">
        <v>3.9780000000000002</v>
      </c>
      <c r="AF49" s="2">
        <v>3.4159999999999999</v>
      </c>
      <c r="AG49" s="2">
        <v>3.5710000000000002</v>
      </c>
      <c r="AH49" s="2">
        <v>3.2160000000000002</v>
      </c>
      <c r="AI49" s="2">
        <v>3.49</v>
      </c>
      <c r="AJ49" s="2">
        <v>3.1880000000000002</v>
      </c>
      <c r="AK49" s="2">
        <v>3.157</v>
      </c>
      <c r="AL49" s="2">
        <v>3.1429999999999998</v>
      </c>
      <c r="AM49" s="2">
        <v>3.2570000000000001</v>
      </c>
    </row>
    <row r="50" spans="10:39" ht="30" x14ac:dyDescent="0.25">
      <c r="K50" s="18" t="s">
        <v>129</v>
      </c>
      <c r="L50" s="2">
        <v>0</v>
      </c>
      <c r="M50" s="2">
        <v>2381.4859999999999</v>
      </c>
      <c r="N50" s="2">
        <v>2405.3719999999998</v>
      </c>
      <c r="O50" s="2">
        <v>2647.9290000000005</v>
      </c>
      <c r="P50" s="2">
        <v>2664.0349999999999</v>
      </c>
      <c r="Q50" s="2">
        <v>2638.0709999999999</v>
      </c>
      <c r="R50" s="2">
        <v>2640.7160000000003</v>
      </c>
      <c r="S50" s="2">
        <v>2622.0719999999997</v>
      </c>
      <c r="T50" s="2">
        <v>2794.7489999999993</v>
      </c>
      <c r="U50" s="2">
        <v>2688.6159999999995</v>
      </c>
      <c r="V50" s="2">
        <v>2631.5659999999998</v>
      </c>
      <c r="W50" s="2">
        <v>2618.2310000000002</v>
      </c>
      <c r="X50" s="2">
        <v>2576.9120000000003</v>
      </c>
      <c r="Y50" s="2">
        <v>2314.1820000000002</v>
      </c>
      <c r="Z50" s="2">
        <v>2673.462</v>
      </c>
      <c r="AA50" s="2">
        <v>2617.4340000000002</v>
      </c>
      <c r="AB50" s="2">
        <v>2413.116</v>
      </c>
      <c r="AC50" s="2">
        <v>2661.2550000000006</v>
      </c>
      <c r="AD50" s="2">
        <v>2371.681</v>
      </c>
      <c r="AE50" s="2">
        <v>2316.8250000000003</v>
      </c>
      <c r="AF50" s="2">
        <v>2124.6179999999999</v>
      </c>
      <c r="AG50" s="2">
        <v>2462.0340000000001</v>
      </c>
      <c r="AH50" s="2">
        <v>2272.5889999999999</v>
      </c>
      <c r="AI50" s="2">
        <v>2464.5550000000003</v>
      </c>
      <c r="AJ50" s="2">
        <v>2325.2230000000004</v>
      </c>
      <c r="AK50" s="2">
        <v>2382.2730000000006</v>
      </c>
      <c r="AL50" s="2">
        <v>2461.0230000000001</v>
      </c>
      <c r="AM50" s="2">
        <v>2534.16</v>
      </c>
    </row>
    <row r="51" spans="10:39" x14ac:dyDescent="0.25">
      <c r="J51" s="1"/>
      <c r="M51" s="2"/>
      <c r="N51" s="2"/>
      <c r="O51" s="2"/>
      <c r="P51" s="2"/>
      <c r="Q51" s="2"/>
      <c r="R51" s="2"/>
      <c r="S51" s="2"/>
    </row>
    <row r="52" spans="10:39" x14ac:dyDescent="0.25">
      <c r="J52" s="1" t="s">
        <v>130</v>
      </c>
      <c r="K52" t="s">
        <v>131</v>
      </c>
    </row>
    <row r="53" spans="10:39" x14ac:dyDescent="0.25">
      <c r="L53" s="2"/>
    </row>
    <row r="54" spans="10:39" x14ac:dyDescent="0.25">
      <c r="J54" t="s">
        <v>132</v>
      </c>
      <c r="L54" s="2">
        <v>0</v>
      </c>
      <c r="M54" s="2">
        <v>68.069999999999993</v>
      </c>
      <c r="N54" s="2">
        <v>51.283000000000001</v>
      </c>
      <c r="O54" s="2">
        <v>129.36099999999999</v>
      </c>
      <c r="P54" s="2">
        <v>97.164000000000001</v>
      </c>
      <c r="Q54" s="2">
        <v>72.704999999999998</v>
      </c>
      <c r="R54" s="2">
        <v>53.692</v>
      </c>
      <c r="S54" s="2">
        <v>39.497</v>
      </c>
      <c r="T54" s="2">
        <v>246.13499999999999</v>
      </c>
      <c r="U54" s="2">
        <v>189.61799999999999</v>
      </c>
      <c r="V54" s="2">
        <v>145.54300000000001</v>
      </c>
      <c r="W54" s="2">
        <v>111.23099999999999</v>
      </c>
      <c r="X54" s="2">
        <v>84.584999999999994</v>
      </c>
      <c r="Y54" s="2">
        <v>65.194999999999993</v>
      </c>
      <c r="Z54" s="2">
        <v>494.72899999999998</v>
      </c>
      <c r="AA54" s="2">
        <v>432.233</v>
      </c>
      <c r="AB54" s="2">
        <v>378.096</v>
      </c>
      <c r="AC54" s="2">
        <v>329.22300000000001</v>
      </c>
      <c r="AD54" s="2">
        <v>284.28300000000002</v>
      </c>
      <c r="AE54" s="2">
        <v>247.422</v>
      </c>
      <c r="AF54" s="2">
        <v>214.99100000000001</v>
      </c>
      <c r="AG54" s="2">
        <v>194.50800000000001</v>
      </c>
      <c r="AH54" s="2">
        <v>176.35900000000001</v>
      </c>
      <c r="AI54" s="2">
        <v>160.34700000000001</v>
      </c>
      <c r="AJ54" s="2">
        <v>146.04599999999999</v>
      </c>
      <c r="AK54" s="2">
        <v>133.38300000000001</v>
      </c>
      <c r="AL54" s="2">
        <v>121.029</v>
      </c>
      <c r="AM54" s="2">
        <v>109.84</v>
      </c>
    </row>
    <row r="55" spans="10:39" x14ac:dyDescent="0.25">
      <c r="J55" t="s">
        <v>133</v>
      </c>
      <c r="L55" s="2">
        <v>0</v>
      </c>
      <c r="M55" s="2">
        <v>0</v>
      </c>
      <c r="N55" s="2">
        <v>0</v>
      </c>
      <c r="O55" s="2">
        <v>17.899000000000001</v>
      </c>
      <c r="P55" s="2">
        <v>13.1</v>
      </c>
      <c r="Q55" s="2">
        <v>8.9789999999999992</v>
      </c>
      <c r="R55" s="2">
        <v>47.154000000000003</v>
      </c>
      <c r="S55" s="2">
        <v>37.749000000000002</v>
      </c>
      <c r="T55" s="2">
        <v>30.216000000000001</v>
      </c>
      <c r="U55" s="2">
        <v>24.154</v>
      </c>
      <c r="V55" s="2">
        <v>19.253</v>
      </c>
      <c r="W55" s="2">
        <v>15.272</v>
      </c>
      <c r="X55" s="2">
        <v>53.796999999999997</v>
      </c>
      <c r="Y55" s="2">
        <v>46.652999999999999</v>
      </c>
      <c r="Z55" s="2">
        <v>40.023000000000003</v>
      </c>
      <c r="AA55" s="2">
        <v>34.293999999999997</v>
      </c>
      <c r="AB55" s="2">
        <v>199.19200000000001</v>
      </c>
      <c r="AC55" s="2">
        <v>183.83699999999999</v>
      </c>
      <c r="AD55" s="2">
        <v>169.59899999999999</v>
      </c>
      <c r="AE55" s="2">
        <v>156.511</v>
      </c>
      <c r="AF55" s="2">
        <v>148.178</v>
      </c>
      <c r="AG55" s="2">
        <v>140.54900000000001</v>
      </c>
      <c r="AH55" s="2">
        <v>132.82499999999999</v>
      </c>
      <c r="AI55" s="2">
        <v>125.78400000000001</v>
      </c>
      <c r="AJ55" s="2">
        <v>118.99</v>
      </c>
      <c r="AK55" s="2">
        <v>112.75700000000001</v>
      </c>
      <c r="AL55" s="2">
        <v>106.438</v>
      </c>
      <c r="AM55" s="2">
        <v>0</v>
      </c>
    </row>
    <row r="57" spans="10:39" x14ac:dyDescent="0.25">
      <c r="L57" s="2"/>
    </row>
    <row r="63" spans="10:39" x14ac:dyDescent="0.25">
      <c r="J63" s="1"/>
    </row>
    <row r="64" spans="10:39" x14ac:dyDescent="0.25">
      <c r="L64" s="2"/>
    </row>
    <row r="65" spans="10:39" x14ac:dyDescent="0.25">
      <c r="L65" s="2"/>
    </row>
    <row r="66" spans="10:39" x14ac:dyDescent="0.25">
      <c r="L66" s="2"/>
    </row>
    <row r="72" spans="10:39" x14ac:dyDescent="0.25">
      <c r="J72" s="1" t="s">
        <v>134</v>
      </c>
    </row>
    <row r="73" spans="10:39" x14ac:dyDescent="0.25">
      <c r="J73" t="s">
        <v>135</v>
      </c>
      <c r="L73" s="2">
        <v>0</v>
      </c>
      <c r="M73" s="2">
        <v>389.84999999999997</v>
      </c>
      <c r="N73" s="2">
        <v>412.46100000000001</v>
      </c>
      <c r="O73" s="2">
        <v>517.09100000000001</v>
      </c>
      <c r="P73" s="2">
        <v>533.54899999999998</v>
      </c>
      <c r="Q73" s="2">
        <v>516.90599999999995</v>
      </c>
      <c r="R73" s="2">
        <v>524.10899999999992</v>
      </c>
      <c r="S73" s="2">
        <v>518.59800000000007</v>
      </c>
      <c r="T73" s="2">
        <v>547.55000000000007</v>
      </c>
      <c r="U73" s="2">
        <v>546.53000000000009</v>
      </c>
      <c r="V73" s="2">
        <v>563.49299999999994</v>
      </c>
      <c r="W73" s="2">
        <v>582.71500000000003</v>
      </c>
      <c r="X73" s="2">
        <v>599.971</v>
      </c>
      <c r="Y73" s="2">
        <v>513.82600000000002</v>
      </c>
      <c r="Z73" s="2">
        <v>540.86799999999994</v>
      </c>
      <c r="AA73" s="2">
        <v>561.84100000000001</v>
      </c>
      <c r="AB73" s="2">
        <v>536.55399999999997</v>
      </c>
      <c r="AC73" s="2">
        <v>554.25599999999997</v>
      </c>
      <c r="AD73" s="2">
        <v>522.50799999999992</v>
      </c>
      <c r="AE73" s="2">
        <v>521.06700000000001</v>
      </c>
      <c r="AF73" s="2">
        <v>495.28899999999999</v>
      </c>
      <c r="AG73" s="2">
        <v>305.83</v>
      </c>
      <c r="AH73" s="2">
        <v>285.02299999999997</v>
      </c>
      <c r="AI73" s="2">
        <v>287.34499999999997</v>
      </c>
      <c r="AJ73" s="2">
        <v>267.548</v>
      </c>
      <c r="AK73" s="2">
        <v>258.79599999999999</v>
      </c>
      <c r="AL73" s="2">
        <v>250.28900000000002</v>
      </c>
      <c r="AM73" s="2">
        <v>245.96900000000002</v>
      </c>
    </row>
    <row r="74" spans="10:39" x14ac:dyDescent="0.25">
      <c r="J74" t="s">
        <v>136</v>
      </c>
      <c r="K74" t="s">
        <v>137</v>
      </c>
      <c r="L74" s="2">
        <v>0</v>
      </c>
      <c r="M74" s="2">
        <v>315.31</v>
      </c>
      <c r="N74" s="2">
        <v>337.67500000000001</v>
      </c>
      <c r="O74" s="2">
        <v>332.84399999999999</v>
      </c>
      <c r="P74" s="2">
        <v>356.38499999999999</v>
      </c>
      <c r="Q74" s="2">
        <v>354.32299999999998</v>
      </c>
      <c r="R74" s="2">
        <v>353.54199999999997</v>
      </c>
      <c r="S74" s="2">
        <v>357.76</v>
      </c>
      <c r="T74" s="2">
        <v>388.072</v>
      </c>
      <c r="U74" s="2">
        <v>399.16500000000002</v>
      </c>
      <c r="V74" s="2">
        <v>419.387</v>
      </c>
      <c r="W74" s="2">
        <v>436.56</v>
      </c>
      <c r="X74" s="2">
        <v>452.97800000000001</v>
      </c>
      <c r="Y74" s="2">
        <v>381.04399999999998</v>
      </c>
      <c r="Z74" s="2">
        <v>387.76499999999999</v>
      </c>
      <c r="AA74" s="2">
        <v>395.803</v>
      </c>
      <c r="AB74" s="2">
        <v>366.923</v>
      </c>
      <c r="AC74" s="2">
        <v>379.178</v>
      </c>
      <c r="AD74" s="2">
        <v>359.62799999999999</v>
      </c>
      <c r="AE74" s="2">
        <v>361.25700000000001</v>
      </c>
      <c r="AF74" s="2">
        <v>348.22899999999998</v>
      </c>
      <c r="AG74" s="2">
        <v>163.79499999999999</v>
      </c>
      <c r="AH74" s="2">
        <v>152.22499999999999</v>
      </c>
      <c r="AI74" s="2">
        <v>160.76499999999999</v>
      </c>
      <c r="AJ74" s="2">
        <v>148.43299999999999</v>
      </c>
      <c r="AK74" s="2">
        <v>145.57400000000001</v>
      </c>
      <c r="AL74" s="2">
        <v>142.322</v>
      </c>
      <c r="AM74" s="2">
        <v>137.53200000000001</v>
      </c>
    </row>
    <row r="75" spans="10:39" x14ac:dyDescent="0.25">
      <c r="J75" t="s">
        <v>138</v>
      </c>
      <c r="K75" t="s">
        <v>139</v>
      </c>
      <c r="L75" s="2">
        <v>0</v>
      </c>
      <c r="M75" s="2">
        <v>40.546999999999997</v>
      </c>
      <c r="N75" s="2">
        <v>47.515999999999998</v>
      </c>
      <c r="O75" s="2">
        <v>111.712</v>
      </c>
      <c r="P75" s="2">
        <v>121.60599999999999</v>
      </c>
      <c r="Q75" s="2">
        <v>120.255</v>
      </c>
      <c r="R75" s="2">
        <v>138.26499999999999</v>
      </c>
      <c r="S75" s="2">
        <v>136.68600000000001</v>
      </c>
      <c r="T75" s="2">
        <v>132.37799999999999</v>
      </c>
      <c r="U75" s="2">
        <v>125.58199999999999</v>
      </c>
      <c r="V75" s="2">
        <v>126.702</v>
      </c>
      <c r="W75" s="2">
        <v>132.35300000000001</v>
      </c>
      <c r="X75" s="2">
        <v>136.12100000000001</v>
      </c>
      <c r="Y75" s="2">
        <v>124.20099999999999</v>
      </c>
      <c r="Z75" s="2">
        <v>119.652</v>
      </c>
      <c r="AA75" s="2">
        <v>133.774</v>
      </c>
      <c r="AB75" s="2">
        <v>140.233</v>
      </c>
      <c r="AC75" s="2">
        <v>148.46299999999999</v>
      </c>
      <c r="AD75" s="2">
        <v>138.63499999999999</v>
      </c>
      <c r="AE75" s="2">
        <v>137.68799999999999</v>
      </c>
      <c r="AF75" s="2">
        <v>126.857</v>
      </c>
      <c r="AG75" s="2">
        <v>123.523</v>
      </c>
      <c r="AH75" s="2">
        <v>115.833</v>
      </c>
      <c r="AI75" s="2">
        <v>111.00700000000001</v>
      </c>
      <c r="AJ75" s="2">
        <v>104.819</v>
      </c>
      <c r="AK75" s="2">
        <v>100.09</v>
      </c>
      <c r="AL75" s="2">
        <v>95.98</v>
      </c>
      <c r="AM75" s="2">
        <v>96.983000000000004</v>
      </c>
    </row>
    <row r="76" spans="10:39" x14ac:dyDescent="0.25">
      <c r="J76" t="s">
        <v>140</v>
      </c>
      <c r="K76" t="s">
        <v>141</v>
      </c>
      <c r="L76" s="2">
        <v>0</v>
      </c>
      <c r="M76" s="2">
        <v>33.993000000000002</v>
      </c>
      <c r="N76" s="2">
        <v>27.27</v>
      </c>
      <c r="O76" s="2">
        <v>72.534999999999997</v>
      </c>
      <c r="P76" s="2">
        <v>55.558</v>
      </c>
      <c r="Q76" s="2">
        <v>42.328000000000003</v>
      </c>
      <c r="R76" s="2">
        <v>32.302</v>
      </c>
      <c r="S76" s="2">
        <v>24.152000000000001</v>
      </c>
      <c r="T76" s="2">
        <v>27.1</v>
      </c>
      <c r="U76" s="2">
        <v>21.783000000000001</v>
      </c>
      <c r="V76" s="2">
        <v>17.404</v>
      </c>
      <c r="W76" s="2">
        <v>13.802</v>
      </c>
      <c r="X76" s="2">
        <v>10.872</v>
      </c>
      <c r="Y76" s="2">
        <v>8.5809999999999995</v>
      </c>
      <c r="Z76" s="2">
        <v>33.451000000000001</v>
      </c>
      <c r="AA76" s="2">
        <v>32.264000000000003</v>
      </c>
      <c r="AB76" s="2">
        <v>29.398</v>
      </c>
      <c r="AC76" s="2">
        <v>26.614999999999998</v>
      </c>
      <c r="AD76" s="2">
        <v>24.245000000000001</v>
      </c>
      <c r="AE76" s="2">
        <v>22.122</v>
      </c>
      <c r="AF76" s="2">
        <v>20.202999999999999</v>
      </c>
      <c r="AG76" s="2">
        <v>18.512</v>
      </c>
      <c r="AH76" s="2">
        <v>16.965</v>
      </c>
      <c r="AI76" s="2">
        <v>15.573</v>
      </c>
      <c r="AJ76" s="2">
        <v>14.295999999999999</v>
      </c>
      <c r="AK76" s="2">
        <v>13.132</v>
      </c>
      <c r="AL76" s="2">
        <v>11.987</v>
      </c>
      <c r="AM76" s="2">
        <v>11.454000000000001</v>
      </c>
    </row>
    <row r="78" spans="10:39" x14ac:dyDescent="0.25"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98AB9-8436-48D6-A4B0-AFC5B1247F8B}">
  <dimension ref="J1:AO84"/>
  <sheetViews>
    <sheetView topLeftCell="F1" zoomScale="85" zoomScaleNormal="85" workbookViewId="0">
      <pane ySplit="1" topLeftCell="A37" activePane="bottomLeft" state="frozen"/>
      <selection activeCell="F1" sqref="F1"/>
      <selection pane="bottomLeft" activeCell="M45" sqref="M45"/>
    </sheetView>
  </sheetViews>
  <sheetFormatPr baseColWidth="10" defaultRowHeight="15" x14ac:dyDescent="0.25"/>
  <cols>
    <col min="10" max="10" width="49.28515625" customWidth="1"/>
    <col min="11" max="11" width="31.7109375" customWidth="1"/>
    <col min="18" max="18" width="15.140625" bestFit="1" customWidth="1"/>
  </cols>
  <sheetData>
    <row r="1" spans="10:39" x14ac:dyDescent="0.25"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2" spans="10:39" x14ac:dyDescent="0.25">
      <c r="J2" t="s">
        <v>142</v>
      </c>
      <c r="L2" s="2">
        <f>VLOOKUP($J2,[1]output!$A$9:$AI$2200,L$1-$L$1+2)</f>
        <v>0</v>
      </c>
      <c r="M2" s="2">
        <f>VLOOKUP($J2,[1]output!$A$9:$AI$2200,M$1-$L$1+2)</f>
        <v>15.007</v>
      </c>
      <c r="N2" s="2">
        <f>VLOOKUP($J2,[1]output!$A$9:$AI$2200,N$1-$L$1+2)</f>
        <v>15.67</v>
      </c>
      <c r="O2" s="2">
        <f>VLOOKUP($J2,[1]output!$A$9:$AI$2200,O$1-$L$1+2)</f>
        <v>14.648</v>
      </c>
      <c r="P2" s="2">
        <f>VLOOKUP($J2,[1]output!$A$9:$AI$2200,P$1-$L$1+2)</f>
        <v>15.055</v>
      </c>
      <c r="Q2" s="2">
        <f>VLOOKUP($J2,[1]output!$A$9:$AI$2200,Q$1-$L$1+2)</f>
        <v>14.004</v>
      </c>
      <c r="R2" s="2">
        <f>VLOOKUP($J2,[1]output!$A$9:$AI$2200,R$1-$L$1+2)</f>
        <v>12.863</v>
      </c>
      <c r="S2" s="2">
        <f>VLOOKUP($J2,[1]output!$A$9:$AI$2200,S$1-$L$1+2)</f>
        <v>11.811999999999999</v>
      </c>
      <c r="T2" s="2">
        <f>VLOOKUP($J2,[1]output!$A$9:$AI$2200,T$1-$L$1+2)</f>
        <v>13.180999999999999</v>
      </c>
      <c r="U2" s="2">
        <f>VLOOKUP($J2,[1]output!$A$9:$AI$2200,U$1-$L$1+2)</f>
        <v>12.071</v>
      </c>
      <c r="V2" s="2">
        <f>VLOOKUP($J2,[1]output!$A$9:$AI$2200,V$1-$L$1+2)</f>
        <v>12.36</v>
      </c>
      <c r="W2" s="2">
        <f>VLOOKUP($J2,[1]output!$A$9:$AI$2200,W$1-$L$1+2)</f>
        <v>12.727</v>
      </c>
      <c r="X2" s="2">
        <f>VLOOKUP($J2,[1]output!$A$9:$AI$2200,X$1-$L$1+2)</f>
        <v>13.041</v>
      </c>
      <c r="Y2" s="2">
        <f>VLOOKUP($J2,[1]output!$A$9:$AI$2200,Y$1-$L$1+2)</f>
        <v>11.244999999999999</v>
      </c>
      <c r="Z2" s="2">
        <f>VLOOKUP($J2,[1]output!$A$9:$AI$2200,Z$1-$L$1+2)</f>
        <v>11.798</v>
      </c>
      <c r="AA2" s="2">
        <f>VLOOKUP($J2,[1]output!$A$9:$AI$2200,AA$1-$L$1+2)</f>
        <v>12.055</v>
      </c>
      <c r="AB2" s="2">
        <f>VLOOKUP($J2,[1]output!$A$9:$AI$2200,AB$1-$L$1+2)</f>
        <v>10.981</v>
      </c>
      <c r="AC2" s="2">
        <f>VLOOKUP($J2,[1]output!$A$9:$AI$2200,AC$1-$L$1+2)</f>
        <v>11.715</v>
      </c>
      <c r="AD2" s="2">
        <f>VLOOKUP($J2,[1]output!$A$9:$AI$2200,AD$1-$L$1+2)</f>
        <v>10.462999999999999</v>
      </c>
      <c r="AE2" s="2">
        <f>VLOOKUP($J2,[1]output!$A$9:$AI$2200,AE$1-$L$1+2)</f>
        <v>10.444000000000001</v>
      </c>
      <c r="AF2" s="2">
        <f>VLOOKUP($J2,[1]output!$A$9:$AI$2200,AF$1-$L$1+2)</f>
        <v>9.7789999999999999</v>
      </c>
      <c r="AG2" s="2">
        <f>VLOOKUP($J2,[1]output!$A$9:$AI$2200,AG$1-$L$1+2)</f>
        <v>12.957000000000001</v>
      </c>
      <c r="AH2" s="2">
        <f>VLOOKUP($J2,[1]output!$A$9:$AI$2200,AH$1-$L$1+2)</f>
        <v>12.654</v>
      </c>
      <c r="AI2" s="2">
        <f>VLOOKUP($J2,[1]output!$A$9:$AI$2200,AI$1-$L$1+2)</f>
        <v>13.349</v>
      </c>
      <c r="AJ2" s="2">
        <f>VLOOKUP($J2,[1]output!$A$9:$AI$2200,AJ$1-$L$1+2)</f>
        <v>13.093</v>
      </c>
      <c r="AK2" s="2">
        <f>VLOOKUP($J2,[1]output!$A$9:$AI$2200,AK$1-$L$1+2)</f>
        <v>12.852</v>
      </c>
      <c r="AL2" s="2">
        <f>VLOOKUP($J2,[1]output!$A$9:$AI$2200,AL$1-$L$1+2)</f>
        <v>12.622999999999999</v>
      </c>
      <c r="AM2" s="2">
        <f>VLOOKUP($J2,[1]output!$A$9:$AI$2200,AM$1-$L$1+2)</f>
        <v>12.367000000000001</v>
      </c>
    </row>
    <row r="3" spans="10:39" x14ac:dyDescent="0.25">
      <c r="J3" t="s">
        <v>143</v>
      </c>
      <c r="L3" s="2">
        <f>VLOOKUP($J3,[1]output!$A$9:$AI$2200,L$1-$L$1+3)</f>
        <v>7.3760000000000003</v>
      </c>
      <c r="M3" s="2">
        <f>VLOOKUP($J3,[1]output!$A$9:$AI$2200,M$1-$L$1+3)</f>
        <v>7.2080000000000002</v>
      </c>
      <c r="N3" s="2">
        <f>VLOOKUP($J3,[1]output!$A$9:$AI$2200,N$1-$L$1+3)</f>
        <v>14.22</v>
      </c>
      <c r="O3" s="2">
        <f>VLOOKUP($J3,[1]output!$A$9:$AI$2200,O$1-$L$1+3)</f>
        <v>14.29</v>
      </c>
      <c r="P3" s="2">
        <f>VLOOKUP($J3,[1]output!$A$9:$AI$2200,P$1-$L$1+3)</f>
        <v>12.945</v>
      </c>
      <c r="Q3" s="2">
        <f>VLOOKUP($J3,[1]output!$A$9:$AI$2200,Q$1-$L$1+3)</f>
        <v>13.21</v>
      </c>
      <c r="R3" s="2">
        <f>VLOOKUP($J3,[1]output!$A$9:$AI$2200,R$1-$L$1+3)</f>
        <v>13.105</v>
      </c>
      <c r="S3" s="2">
        <f>VLOOKUP($J3,[1]output!$A$9:$AI$2200,S$1-$L$1+3)</f>
        <v>13.597</v>
      </c>
      <c r="T3" s="2">
        <f>VLOOKUP($J3,[1]output!$A$9:$AI$2200,T$1-$L$1+3)</f>
        <v>11.82</v>
      </c>
      <c r="U3" s="2">
        <f>VLOOKUP($J3,[1]output!$A$9:$AI$2200,U$1-$L$1+3)</f>
        <v>10.599</v>
      </c>
      <c r="V3" s="2">
        <f>VLOOKUP($J3,[1]output!$A$9:$AI$2200,V$1-$L$1+3)</f>
        <v>9.7840000000000007</v>
      </c>
      <c r="W3" s="2">
        <f>VLOOKUP($J3,[1]output!$A$9:$AI$2200,W$1-$L$1+3)</f>
        <v>8.9039999999999999</v>
      </c>
      <c r="X3" s="2">
        <f>VLOOKUP($J3,[1]output!$A$9:$AI$2200,X$1-$L$1+3)</f>
        <v>8.5459999999999994</v>
      </c>
      <c r="Y3" s="2">
        <f>VLOOKUP($J3,[1]output!$A$9:$AI$2200,Y$1-$L$1+3)</f>
        <v>10.522</v>
      </c>
      <c r="Z3" s="2">
        <f>VLOOKUP($J3,[1]output!$A$9:$AI$2200,Z$1-$L$1+3)</f>
        <v>10.205</v>
      </c>
      <c r="AA3" s="2">
        <f>VLOOKUP($J3,[1]output!$A$9:$AI$2200,AA$1-$L$1+3)</f>
        <v>9.5419999999999998</v>
      </c>
      <c r="AB3" s="2">
        <f>VLOOKUP($J3,[1]output!$A$9:$AI$2200,AB$1-$L$1+3)</f>
        <v>13.291</v>
      </c>
      <c r="AC3" s="2">
        <f>VLOOKUP($J3,[1]output!$A$9:$AI$2200,AC$1-$L$1+3)</f>
        <v>10.032</v>
      </c>
      <c r="AD3" s="2">
        <f>VLOOKUP($J3,[1]output!$A$9:$AI$2200,AD$1-$L$1+3)</f>
        <v>9.3919999999999995</v>
      </c>
      <c r="AE3" s="2">
        <f>VLOOKUP($J3,[1]output!$A$9:$AI$2200,AE$1-$L$1+3)</f>
        <v>8.298</v>
      </c>
      <c r="AF3" s="2">
        <f>VLOOKUP($J3,[1]output!$A$9:$AI$2200,AF$1-$L$1+3)</f>
        <v>8.0389999999999997</v>
      </c>
      <c r="AG3" s="2">
        <f>VLOOKUP($J3,[1]output!$A$9:$AI$2200,AG$1-$L$1+3)</f>
        <v>7.6</v>
      </c>
      <c r="AH3" s="2">
        <f>VLOOKUP($J3,[1]output!$A$9:$AI$2200,AH$1-$L$1+3)</f>
        <v>7.218</v>
      </c>
      <c r="AI3" s="2">
        <f>VLOOKUP($J3,[1]output!$A$9:$AI$2200,AI$1-$L$1+3)</f>
        <v>6.8419999999999996</v>
      </c>
      <c r="AJ3" s="2">
        <f>VLOOKUP($J3,[1]output!$A$9:$AI$2200,AJ$1-$L$1+3)</f>
        <v>6.5069999999999997</v>
      </c>
      <c r="AK3" s="2">
        <f>VLOOKUP($J3,[1]output!$A$9:$AI$2200,AK$1-$L$1+3)</f>
        <v>6.2050000000000001</v>
      </c>
      <c r="AL3" s="2">
        <f>VLOOKUP($J3,[1]output!$A$9:$AI$2200,AL$1-$L$1+3)</f>
        <v>6.1429999999999998</v>
      </c>
      <c r="AM3" s="2">
        <f>VLOOKUP($J3,[1]output!$A$9:$AI$2200,AM$1-$L$1+3)</f>
        <v>0</v>
      </c>
    </row>
    <row r="5" spans="10:39" x14ac:dyDescent="0.25">
      <c r="J5" t="s">
        <v>144</v>
      </c>
      <c r="K5" t="s">
        <v>145</v>
      </c>
      <c r="L5" s="2">
        <f>VLOOKUP($J5,[1]output!$A$9:$AI$2200,L$1-$L$1+2)</f>
        <v>0</v>
      </c>
      <c r="M5" s="2">
        <f>VLOOKUP($J5,[1]output!$A$9:$AI$2200,M$1-$L$1+2)</f>
        <v>22.382999999999999</v>
      </c>
      <c r="N5" s="2">
        <f>VLOOKUP($J5,[1]output!$A$9:$AI$2200,N$1-$L$1+2)</f>
        <v>22.878</v>
      </c>
      <c r="O5" s="2">
        <f>VLOOKUP($J5,[1]output!$A$9:$AI$2200,O$1-$L$1+2)</f>
        <v>28.867999999999999</v>
      </c>
      <c r="P5" s="2">
        <f>VLOOKUP($J5,[1]output!$A$9:$AI$2200,P$1-$L$1+2)</f>
        <v>29.344999999999999</v>
      </c>
      <c r="Q5" s="2">
        <f>VLOOKUP($J5,[1]output!$A$9:$AI$2200,Q$1-$L$1+2)</f>
        <v>26.95</v>
      </c>
      <c r="R5" s="2">
        <f>VLOOKUP($J5,[1]output!$A$9:$AI$2200,R$1-$L$1+2)</f>
        <v>26.073</v>
      </c>
      <c r="S5" s="2">
        <f>VLOOKUP($J5,[1]output!$A$9:$AI$2200,S$1-$L$1+2)</f>
        <v>24.917999999999999</v>
      </c>
      <c r="T5" s="2">
        <f>VLOOKUP($J5,[1]output!$A$9:$AI$2200,T$1-$L$1+2)</f>
        <v>26.777999999999999</v>
      </c>
      <c r="U5" s="2">
        <f>VLOOKUP($J5,[1]output!$A$9:$AI$2200,U$1-$L$1+2)</f>
        <v>23.891999999999999</v>
      </c>
      <c r="V5" s="2">
        <f>VLOOKUP($J5,[1]output!$A$9:$AI$2200,V$1-$L$1+2)</f>
        <v>22.959</v>
      </c>
      <c r="W5" s="2">
        <f>VLOOKUP($J5,[1]output!$A$9:$AI$2200,W$1-$L$1+2)</f>
        <v>22.510999999999999</v>
      </c>
      <c r="X5" s="2">
        <f>VLOOKUP($J5,[1]output!$A$9:$AI$2200,X$1-$L$1+2)</f>
        <v>21.945</v>
      </c>
      <c r="Y5" s="2">
        <f>VLOOKUP($J5,[1]output!$A$9:$AI$2200,Y$1-$L$1+2)</f>
        <v>19.791</v>
      </c>
      <c r="Z5" s="2">
        <f>VLOOKUP($J5,[1]output!$A$9:$AI$2200,Z$1-$L$1+2)</f>
        <v>22.32</v>
      </c>
      <c r="AA5" s="2">
        <f>VLOOKUP($J5,[1]output!$A$9:$AI$2200,AA$1-$L$1+2)</f>
        <v>22.26</v>
      </c>
      <c r="AB5" s="2">
        <f>VLOOKUP($J5,[1]output!$A$9:$AI$2200,AB$1-$L$1+2)</f>
        <v>20.523</v>
      </c>
      <c r="AC5" s="2">
        <f>VLOOKUP($J5,[1]output!$A$9:$AI$2200,AC$1-$L$1+2)</f>
        <v>25.006</v>
      </c>
      <c r="AD5" s="2">
        <f>VLOOKUP($J5,[1]output!$A$9:$AI$2200,AD$1-$L$1+2)</f>
        <v>20.495000000000001</v>
      </c>
      <c r="AE5" s="2">
        <f>VLOOKUP($J5,[1]output!$A$9:$AI$2200,AE$1-$L$1+2)</f>
        <v>19.835999999999999</v>
      </c>
      <c r="AF5" s="2">
        <f>VLOOKUP($J5,[1]output!$A$9:$AI$2200,AF$1-$L$1+2)</f>
        <v>18.077000000000002</v>
      </c>
      <c r="AG5" s="2">
        <f>VLOOKUP($J5,[1]output!$A$9:$AI$2200,AG$1-$L$1+2)</f>
        <v>20.995999999999999</v>
      </c>
      <c r="AH5" s="2">
        <f>VLOOKUP($J5,[1]output!$A$9:$AI$2200,AH$1-$L$1+2)</f>
        <v>20.253</v>
      </c>
      <c r="AI5" s="2">
        <f>VLOOKUP($J5,[1]output!$A$9:$AI$2200,AI$1-$L$1+2)</f>
        <v>20.567</v>
      </c>
      <c r="AJ5" s="2">
        <f>VLOOKUP($J5,[1]output!$A$9:$AI$2200,AJ$1-$L$1+2)</f>
        <v>19.934999999999999</v>
      </c>
      <c r="AK5" s="2">
        <f>VLOOKUP($J5,[1]output!$A$9:$AI$2200,AK$1-$L$1+2)</f>
        <v>19.359000000000002</v>
      </c>
      <c r="AL5" s="2">
        <f>VLOOKUP($J5,[1]output!$A$9:$AI$2200,AL$1-$L$1+2)</f>
        <v>18.827999999999999</v>
      </c>
      <c r="AM5" s="2">
        <f>VLOOKUP($J5,[1]output!$A$9:$AI$2200,AM$1-$L$1+2)</f>
        <v>18.510000000000002</v>
      </c>
    </row>
    <row r="6" spans="10:39" x14ac:dyDescent="0.25">
      <c r="J6" t="s">
        <v>146</v>
      </c>
      <c r="L6" s="2">
        <f>VLOOKUP($J6,[1]output!$A$9:$AI$2200,L$1-$L$1+2)</f>
        <v>0</v>
      </c>
      <c r="M6" s="2">
        <f>VLOOKUP($J6,[1]output!$A$9:$AI$2200,M$1-$L$1+2)</f>
        <v>5.1879999999999997</v>
      </c>
      <c r="N6" s="2">
        <f>VLOOKUP($J6,[1]output!$A$9:$AI$2200,N$1-$L$1+2)</f>
        <v>5.3280000000000003</v>
      </c>
      <c r="O6" s="2">
        <f>VLOOKUP($J6,[1]output!$A$9:$AI$2200,O$1-$L$1+2)</f>
        <v>4.7050000000000001</v>
      </c>
      <c r="P6" s="2">
        <f>VLOOKUP($J6,[1]output!$A$9:$AI$2200,P$1-$L$1+2)</f>
        <v>4.7649999999999997</v>
      </c>
      <c r="Q6" s="2">
        <f>VLOOKUP($J6,[1]output!$A$9:$AI$2200,Q$1-$L$1+2)</f>
        <v>4.3150000000000004</v>
      </c>
      <c r="R6" s="2">
        <f>VLOOKUP($J6,[1]output!$A$9:$AI$2200,R$1-$L$1+2)</f>
        <v>3.9369999999999998</v>
      </c>
      <c r="S6" s="2">
        <f>VLOOKUP($J6,[1]output!$A$9:$AI$2200,S$1-$L$1+2)</f>
        <v>3.577</v>
      </c>
      <c r="T6" s="2">
        <f>VLOOKUP($J6,[1]output!$A$9:$AI$2200,T$1-$L$1+2)</f>
        <v>4.0229999999999997</v>
      </c>
      <c r="U6" s="2">
        <f>VLOOKUP($J6,[1]output!$A$9:$AI$2200,U$1-$L$1+2)</f>
        <v>3.5830000000000002</v>
      </c>
      <c r="V6" s="2">
        <f>VLOOKUP($J6,[1]output!$A$9:$AI$2200,V$1-$L$1+2)</f>
        <v>3.6280000000000001</v>
      </c>
      <c r="W6" s="2">
        <f>VLOOKUP($J6,[1]output!$A$9:$AI$2200,W$1-$L$1+2)</f>
        <v>3.7090000000000001</v>
      </c>
      <c r="X6" s="2">
        <f>VLOOKUP($J6,[1]output!$A$9:$AI$2200,X$1-$L$1+2)</f>
        <v>3.7730000000000001</v>
      </c>
      <c r="Y6" s="2">
        <f>VLOOKUP($J6,[1]output!$A$9:$AI$2200,Y$1-$L$1+2)</f>
        <v>3.3109999999999999</v>
      </c>
      <c r="Z6" s="2">
        <f>VLOOKUP($J6,[1]output!$A$9:$AI$2200,Z$1-$L$1+2)</f>
        <v>3.5169999999999999</v>
      </c>
      <c r="AA6" s="2">
        <f>VLOOKUP($J6,[1]output!$A$9:$AI$2200,AA$1-$L$1+2)</f>
        <v>3.61</v>
      </c>
      <c r="AB6" s="2">
        <f>VLOOKUP($J6,[1]output!$A$9:$AI$2200,AB$1-$L$1+2)</f>
        <v>3.254</v>
      </c>
      <c r="AC6" s="2">
        <f>VLOOKUP($J6,[1]output!$A$9:$AI$2200,AC$1-$L$1+2)</f>
        <v>3.7349999999999999</v>
      </c>
      <c r="AD6" s="2">
        <f>VLOOKUP($J6,[1]output!$A$9:$AI$2200,AD$1-$L$1+2)</f>
        <v>3.137</v>
      </c>
      <c r="AE6" s="2">
        <f>VLOOKUP($J6,[1]output!$A$9:$AI$2200,AE$1-$L$1+2)</f>
        <v>3.1240000000000001</v>
      </c>
      <c r="AF6" s="2">
        <f>VLOOKUP($J6,[1]output!$A$9:$AI$2200,AF$1-$L$1+2)</f>
        <v>2.8929999999999998</v>
      </c>
      <c r="AG6" s="2">
        <f>VLOOKUP($J6,[1]output!$A$9:$AI$2200,AG$1-$L$1+2)</f>
        <v>3.5510000000000002</v>
      </c>
      <c r="AH6" s="2">
        <f>VLOOKUP($J6,[1]output!$A$9:$AI$2200,AH$1-$L$1+2)</f>
        <v>3.4009999999999998</v>
      </c>
      <c r="AI6" s="2">
        <f>VLOOKUP($J6,[1]output!$A$9:$AI$2200,AI$1-$L$1+2)</f>
        <v>3.6419999999999999</v>
      </c>
      <c r="AJ6" s="2">
        <f>VLOOKUP($J6,[1]output!$A$9:$AI$2200,AJ$1-$L$1+2)</f>
        <v>3.5019999999999998</v>
      </c>
      <c r="AK6" s="2">
        <f>VLOOKUP($J6,[1]output!$A$9:$AI$2200,AK$1-$L$1+2)</f>
        <v>3.4740000000000002</v>
      </c>
      <c r="AL6" s="2">
        <f>VLOOKUP($J6,[1]output!$A$9:$AI$2200,AL$1-$L$1+2)</f>
        <v>3.456</v>
      </c>
      <c r="AM6" s="2">
        <f>VLOOKUP($J6,[1]output!$A$9:$AI$2200,AM$1-$L$1+2)</f>
        <v>3.4390000000000001</v>
      </c>
    </row>
    <row r="7" spans="10:39" x14ac:dyDescent="0.25">
      <c r="J7" t="s">
        <v>147</v>
      </c>
      <c r="L7" s="2">
        <f>VLOOKUP($J7,[1]output!$A$9:$AI$2200,L$1-$L$1+2)</f>
        <v>0</v>
      </c>
      <c r="M7" s="2">
        <f>VLOOKUP($J7,[1]output!$A$9:$AI$2200,M$1-$L$1+2)</f>
        <v>5.71</v>
      </c>
      <c r="N7" s="2">
        <f>VLOOKUP($J7,[1]output!$A$9:$AI$2200,N$1-$L$1+2)</f>
        <v>5.6219999999999999</v>
      </c>
      <c r="O7" s="2">
        <f>VLOOKUP($J7,[1]output!$A$9:$AI$2200,O$1-$L$1+2)</f>
        <v>8.0530000000000008</v>
      </c>
      <c r="P7" s="2">
        <f>VLOOKUP($J7,[1]output!$A$9:$AI$2200,P$1-$L$1+2)</f>
        <v>7.9329999999999998</v>
      </c>
      <c r="Q7" s="2">
        <f>VLOOKUP($J7,[1]output!$A$9:$AI$2200,Q$1-$L$1+2)</f>
        <v>7.2140000000000004</v>
      </c>
      <c r="R7" s="2">
        <f>VLOOKUP($J7,[1]output!$A$9:$AI$2200,R$1-$L$1+2)</f>
        <v>7.2190000000000003</v>
      </c>
      <c r="S7" s="2">
        <f>VLOOKUP($J7,[1]output!$A$9:$AI$2200,S$1-$L$1+2)</f>
        <v>7.0129999999999999</v>
      </c>
      <c r="T7" s="2">
        <f>VLOOKUP($J7,[1]output!$A$9:$AI$2200,T$1-$L$1+2)</f>
        <v>7.74</v>
      </c>
      <c r="U7" s="2">
        <f>VLOOKUP($J7,[1]output!$A$9:$AI$2200,U$1-$L$1+2)</f>
        <v>6.8719999999999999</v>
      </c>
      <c r="V7" s="2">
        <f>VLOOKUP($J7,[1]output!$A$9:$AI$2200,V$1-$L$1+2)</f>
        <v>6.375</v>
      </c>
      <c r="W7" s="2">
        <f>VLOOKUP($J7,[1]output!$A$9:$AI$2200,W$1-$L$1+2)</f>
        <v>6.1269999999999998</v>
      </c>
      <c r="X7" s="2">
        <f>VLOOKUP($J7,[1]output!$A$9:$AI$2200,X$1-$L$1+2)</f>
        <v>5.7489999999999997</v>
      </c>
      <c r="Y7" s="2">
        <f>VLOOKUP($J7,[1]output!$A$9:$AI$2200,Y$1-$L$1+2)</f>
        <v>5.532</v>
      </c>
      <c r="Z7" s="2">
        <f>VLOOKUP($J7,[1]output!$A$9:$AI$2200,Z$1-$L$1+2)</f>
        <v>7.11</v>
      </c>
      <c r="AA7" s="2">
        <f>VLOOKUP($J7,[1]output!$A$9:$AI$2200,AA$1-$L$1+2)</f>
        <v>6.923</v>
      </c>
      <c r="AB7" s="2">
        <f>VLOOKUP($J7,[1]output!$A$9:$AI$2200,AB$1-$L$1+2)</f>
        <v>6.5650000000000004</v>
      </c>
      <c r="AC7" s="2">
        <f>VLOOKUP($J7,[1]output!$A$9:$AI$2200,AC$1-$L$1+2)</f>
        <v>8.8680000000000003</v>
      </c>
      <c r="AD7" s="2">
        <f>VLOOKUP($J7,[1]output!$A$9:$AI$2200,AD$1-$L$1+2)</f>
        <v>6.9249999999999998</v>
      </c>
      <c r="AE7" s="2">
        <f>VLOOKUP($J7,[1]output!$A$9:$AI$2200,AE$1-$L$1+2)</f>
        <v>6.5519999999999996</v>
      </c>
      <c r="AF7" s="2">
        <f>VLOOKUP($J7,[1]output!$A$9:$AI$2200,AF$1-$L$1+2)</f>
        <v>5.81</v>
      </c>
      <c r="AG7" s="2">
        <f>VLOOKUP($J7,[1]output!$A$9:$AI$2200,AG$1-$L$1+2)</f>
        <v>5.78</v>
      </c>
      <c r="AH7" s="2">
        <f>VLOOKUP($J7,[1]output!$A$9:$AI$2200,AH$1-$L$1+2)</f>
        <v>5.492</v>
      </c>
      <c r="AI7" s="2">
        <f>VLOOKUP($J7,[1]output!$A$9:$AI$2200,AI$1-$L$1+2)</f>
        <v>5.2789999999999999</v>
      </c>
      <c r="AJ7" s="2">
        <f>VLOOKUP($J7,[1]output!$A$9:$AI$2200,AJ$1-$L$1+2)</f>
        <v>5.0279999999999996</v>
      </c>
      <c r="AK7" s="2">
        <f>VLOOKUP($J7,[1]output!$A$9:$AI$2200,AK$1-$L$1+2)</f>
        <v>4.8120000000000003</v>
      </c>
      <c r="AL7" s="2">
        <f>VLOOKUP($J7,[1]output!$A$9:$AI$2200,AL$1-$L$1+2)</f>
        <v>4.6079999999999997</v>
      </c>
      <c r="AM7" s="2">
        <f>VLOOKUP($J7,[1]output!$A$9:$AI$2200,AM$1-$L$1+2)</f>
        <v>4.5289999999999999</v>
      </c>
    </row>
    <row r="8" spans="10:39" x14ac:dyDescent="0.25">
      <c r="J8" t="s">
        <v>148</v>
      </c>
      <c r="K8" t="s">
        <v>148</v>
      </c>
      <c r="L8" s="2">
        <f>SUM(L45:L48)</f>
        <v>0</v>
      </c>
      <c r="M8" s="2">
        <f>SUM(M45:M48)</f>
        <v>4.9489999999999998</v>
      </c>
      <c r="N8" s="2">
        <f>SUM(N45:N48)</f>
        <v>5.0950000000000006</v>
      </c>
      <c r="O8" s="2">
        <f t="shared" ref="O8:AM8" si="0">SUM(O45:O50)</f>
        <v>16.978250000000003</v>
      </c>
      <c r="P8" s="2">
        <f t="shared" si="0"/>
        <v>17.589750000000002</v>
      </c>
      <c r="Q8" s="2">
        <f t="shared" si="0"/>
        <v>16.391749999999998</v>
      </c>
      <c r="R8" s="2">
        <f t="shared" si="0"/>
        <v>16.539249999999999</v>
      </c>
      <c r="S8" s="2">
        <f t="shared" si="0"/>
        <v>16.7249062591629</v>
      </c>
      <c r="T8" s="2">
        <f t="shared" si="0"/>
        <v>16.738833489755386</v>
      </c>
      <c r="U8" s="2">
        <f t="shared" si="0"/>
        <v>14.952780507987171</v>
      </c>
      <c r="V8" s="2">
        <f t="shared" si="0"/>
        <v>13.804009732898344</v>
      </c>
      <c r="W8" s="2">
        <f t="shared" si="0"/>
        <v>12.942900037804508</v>
      </c>
      <c r="X8" s="2">
        <f t="shared" si="0"/>
        <v>12.194249270372305</v>
      </c>
      <c r="Y8" s="2">
        <f t="shared" si="0"/>
        <v>10.804118107956223</v>
      </c>
      <c r="Z8" s="2">
        <f t="shared" si="0"/>
        <v>11.699528042357624</v>
      </c>
      <c r="AA8" s="2">
        <f t="shared" si="0"/>
        <v>11.486157447132445</v>
      </c>
      <c r="AB8" s="2">
        <f t="shared" si="0"/>
        <v>10.555210804896374</v>
      </c>
      <c r="AC8" s="2">
        <f t="shared" si="0"/>
        <v>12.884353584261369</v>
      </c>
      <c r="AD8" s="2">
        <f t="shared" si="0"/>
        <v>10.452482987224663</v>
      </c>
      <c r="AE8" s="2">
        <f t="shared" si="0"/>
        <v>9.9301320859057984</v>
      </c>
      <c r="AF8" s="2">
        <f t="shared" si="0"/>
        <v>9.1049271430345833</v>
      </c>
      <c r="AG8" s="2">
        <f t="shared" si="0"/>
        <v>10.834555219356028</v>
      </c>
      <c r="AH8" s="2">
        <f t="shared" si="0"/>
        <v>10.596429998331232</v>
      </c>
      <c r="AI8" s="2">
        <f t="shared" si="0"/>
        <v>10.419199902405477</v>
      </c>
      <c r="AJ8" s="2">
        <f t="shared" si="0"/>
        <v>10.273605813046393</v>
      </c>
      <c r="AK8" s="2">
        <f t="shared" si="0"/>
        <v>9.7961786941164402</v>
      </c>
      <c r="AL8" s="2">
        <f t="shared" si="0"/>
        <v>9.346797830442938</v>
      </c>
      <c r="AM8" s="2">
        <f t="shared" si="0"/>
        <v>9.0811960469606117</v>
      </c>
    </row>
    <row r="9" spans="10:39" x14ac:dyDescent="0.25">
      <c r="K9" t="s">
        <v>149</v>
      </c>
      <c r="O9" s="2">
        <f>O8/O5</f>
        <v>0.58813391991132058</v>
      </c>
      <c r="P9" s="2">
        <f t="shared" ref="P9:AM9" si="1">P8/P5</f>
        <v>0.59941216561594834</v>
      </c>
      <c r="Q9" s="2">
        <f t="shared" si="1"/>
        <v>0.60822820037105751</v>
      </c>
      <c r="R9" s="2">
        <f t="shared" si="1"/>
        <v>0.63434395735051585</v>
      </c>
      <c r="S9" s="2">
        <f t="shared" si="1"/>
        <v>0.6711977790819047</v>
      </c>
      <c r="T9" s="2">
        <f t="shared" si="1"/>
        <v>0.62509647806988522</v>
      </c>
      <c r="U9" s="2">
        <f t="shared" si="1"/>
        <v>0.62584884095040894</v>
      </c>
      <c r="V9" s="2">
        <f t="shared" si="1"/>
        <v>0.6012461227796656</v>
      </c>
      <c r="W9" s="2">
        <f t="shared" si="1"/>
        <v>0.57495891065721239</v>
      </c>
      <c r="X9" s="2">
        <f t="shared" si="1"/>
        <v>0.55567324084631142</v>
      </c>
      <c r="Y9" s="2">
        <f t="shared" si="1"/>
        <v>0.54591067191936848</v>
      </c>
      <c r="Z9" s="2">
        <f t="shared" si="1"/>
        <v>0.52417240333143478</v>
      </c>
      <c r="AA9" s="2">
        <f t="shared" si="1"/>
        <v>0.51599988531592289</v>
      </c>
      <c r="AB9" s="2">
        <f t="shared" si="1"/>
        <v>0.51431129975619427</v>
      </c>
      <c r="AC9" s="2">
        <f t="shared" si="1"/>
        <v>0.51525048325447365</v>
      </c>
      <c r="AD9" s="2">
        <f t="shared" si="1"/>
        <v>0.51000160952547757</v>
      </c>
      <c r="AE9" s="2">
        <f t="shared" si="1"/>
        <v>0.50061161957581157</v>
      </c>
      <c r="AF9" s="2">
        <f t="shared" si="1"/>
        <v>0.50367467738200933</v>
      </c>
      <c r="AG9" s="2">
        <f t="shared" si="1"/>
        <v>0.51602949225357353</v>
      </c>
      <c r="AH9" s="2">
        <f t="shared" si="1"/>
        <v>0.52320298219183481</v>
      </c>
      <c r="AI9" s="2">
        <f t="shared" si="1"/>
        <v>0.50659794342419784</v>
      </c>
      <c r="AJ9" s="2">
        <f t="shared" si="1"/>
        <v>0.51535519503618732</v>
      </c>
      <c r="AK9" s="2">
        <f t="shared" si="1"/>
        <v>0.50602710336879175</v>
      </c>
      <c r="AL9" s="2">
        <f t="shared" si="1"/>
        <v>0.49643073244332581</v>
      </c>
      <c r="AM9" s="2">
        <f t="shared" si="1"/>
        <v>0.49061026725881202</v>
      </c>
    </row>
    <row r="10" spans="10:39" x14ac:dyDescent="0.25">
      <c r="K10" t="s">
        <v>150</v>
      </c>
      <c r="O10" s="2">
        <f>1-O9</f>
        <v>0.41186608008867942</v>
      </c>
      <c r="P10" s="2">
        <f t="shared" ref="P10:AM10" si="2">1-P9</f>
        <v>0.40058783438405166</v>
      </c>
      <c r="Q10" s="2">
        <f t="shared" si="2"/>
        <v>0.39177179962894249</v>
      </c>
      <c r="R10" s="2">
        <f t="shared" si="2"/>
        <v>0.36565604264948415</v>
      </c>
      <c r="S10" s="2">
        <f t="shared" si="2"/>
        <v>0.3288022209180953</v>
      </c>
      <c r="T10" s="2">
        <f t="shared" si="2"/>
        <v>0.37490352193011478</v>
      </c>
      <c r="U10" s="2">
        <f t="shared" si="2"/>
        <v>0.37415115904959106</v>
      </c>
      <c r="V10" s="2">
        <f t="shared" si="2"/>
        <v>0.3987538772203344</v>
      </c>
      <c r="W10" s="2">
        <f t="shared" si="2"/>
        <v>0.42504108934278761</v>
      </c>
      <c r="X10" s="2">
        <f t="shared" si="2"/>
        <v>0.44432675915368858</v>
      </c>
      <c r="Y10" s="2">
        <f t="shared" si="2"/>
        <v>0.45408932808063152</v>
      </c>
      <c r="Z10" s="2">
        <f t="shared" si="2"/>
        <v>0.47582759666856522</v>
      </c>
      <c r="AA10" s="2">
        <f t="shared" si="2"/>
        <v>0.48400011468407711</v>
      </c>
      <c r="AB10" s="2">
        <f t="shared" si="2"/>
        <v>0.48568870024380573</v>
      </c>
      <c r="AC10" s="2">
        <f t="shared" si="2"/>
        <v>0.48474951674552635</v>
      </c>
      <c r="AD10" s="2">
        <f t="shared" si="2"/>
        <v>0.48999839047452243</v>
      </c>
      <c r="AE10" s="2">
        <f t="shared" si="2"/>
        <v>0.49938838042418843</v>
      </c>
      <c r="AF10" s="2">
        <f t="shared" si="2"/>
        <v>0.49632532261799067</v>
      </c>
      <c r="AG10" s="2">
        <f t="shared" si="2"/>
        <v>0.48397050774642647</v>
      </c>
      <c r="AH10" s="2">
        <f t="shared" si="2"/>
        <v>0.47679701780816519</v>
      </c>
      <c r="AI10" s="2">
        <f t="shared" si="2"/>
        <v>0.49340205657580216</v>
      </c>
      <c r="AJ10" s="2">
        <f t="shared" si="2"/>
        <v>0.48464480496381268</v>
      </c>
      <c r="AK10" s="2">
        <f t="shared" si="2"/>
        <v>0.49397289663120825</v>
      </c>
      <c r="AL10" s="2">
        <f t="shared" si="2"/>
        <v>0.50356926755667419</v>
      </c>
      <c r="AM10" s="2">
        <f t="shared" si="2"/>
        <v>0.50938973274118804</v>
      </c>
    </row>
    <row r="12" spans="10:39" x14ac:dyDescent="0.25">
      <c r="J12" t="s">
        <v>151</v>
      </c>
      <c r="K12" t="s">
        <v>145</v>
      </c>
      <c r="L12" s="2"/>
      <c r="M12" s="2"/>
      <c r="N12" s="2"/>
      <c r="O12" s="2">
        <v>15</v>
      </c>
      <c r="P12" s="2">
        <v>17</v>
      </c>
      <c r="Q12" s="2">
        <v>19</v>
      </c>
      <c r="R12" s="2">
        <f>R5</f>
        <v>26.073</v>
      </c>
      <c r="S12" s="2">
        <f t="shared" ref="S12:AM12" si="3">S5</f>
        <v>24.917999999999999</v>
      </c>
      <c r="T12" s="2">
        <f t="shared" si="3"/>
        <v>26.777999999999999</v>
      </c>
      <c r="U12" s="2">
        <f t="shared" si="3"/>
        <v>23.891999999999999</v>
      </c>
      <c r="V12" s="2">
        <f t="shared" si="3"/>
        <v>22.959</v>
      </c>
      <c r="W12" s="2">
        <f t="shared" si="3"/>
        <v>22.510999999999999</v>
      </c>
      <c r="X12" s="2">
        <f t="shared" si="3"/>
        <v>21.945</v>
      </c>
      <c r="Y12" s="2">
        <f t="shared" si="3"/>
        <v>19.791</v>
      </c>
      <c r="Z12" s="2">
        <f t="shared" si="3"/>
        <v>22.32</v>
      </c>
      <c r="AA12" s="2">
        <f t="shared" si="3"/>
        <v>22.26</v>
      </c>
      <c r="AB12" s="2">
        <f t="shared" si="3"/>
        <v>20.523</v>
      </c>
      <c r="AC12" s="2">
        <f t="shared" si="3"/>
        <v>25.006</v>
      </c>
      <c r="AD12" s="2">
        <f t="shared" si="3"/>
        <v>20.495000000000001</v>
      </c>
      <c r="AE12" s="2">
        <f t="shared" si="3"/>
        <v>19.835999999999999</v>
      </c>
      <c r="AF12" s="2">
        <f t="shared" si="3"/>
        <v>18.077000000000002</v>
      </c>
      <c r="AG12" s="2">
        <f t="shared" si="3"/>
        <v>20.995999999999999</v>
      </c>
      <c r="AH12" s="2">
        <f t="shared" si="3"/>
        <v>20.253</v>
      </c>
      <c r="AI12" s="2">
        <f t="shared" si="3"/>
        <v>20.567</v>
      </c>
      <c r="AJ12" s="2">
        <f t="shared" si="3"/>
        <v>19.934999999999999</v>
      </c>
      <c r="AK12" s="2">
        <f t="shared" si="3"/>
        <v>19.359000000000002</v>
      </c>
      <c r="AL12" s="2">
        <f t="shared" si="3"/>
        <v>18.827999999999999</v>
      </c>
      <c r="AM12" s="2">
        <f t="shared" si="3"/>
        <v>18.510000000000002</v>
      </c>
    </row>
    <row r="13" spans="10:39" x14ac:dyDescent="0.25">
      <c r="K13" t="s">
        <v>148</v>
      </c>
      <c r="L13" s="2"/>
      <c r="M13" s="2"/>
      <c r="N13" s="2"/>
      <c r="O13" s="2">
        <v>4.8</v>
      </c>
      <c r="P13" s="2">
        <v>5.5</v>
      </c>
      <c r="Q13" s="2">
        <v>6</v>
      </c>
      <c r="R13" s="2">
        <f>R8</f>
        <v>16.539249999999999</v>
      </c>
      <c r="S13" s="2">
        <f t="shared" ref="S13:AM13" si="4">S8</f>
        <v>16.7249062591629</v>
      </c>
      <c r="T13" s="2">
        <f t="shared" si="4"/>
        <v>16.738833489755386</v>
      </c>
      <c r="U13" s="2">
        <f t="shared" si="4"/>
        <v>14.952780507987171</v>
      </c>
      <c r="V13" s="2">
        <f t="shared" si="4"/>
        <v>13.804009732898344</v>
      </c>
      <c r="W13" s="2">
        <f t="shared" si="4"/>
        <v>12.942900037804508</v>
      </c>
      <c r="X13" s="2">
        <f t="shared" si="4"/>
        <v>12.194249270372305</v>
      </c>
      <c r="Y13" s="2">
        <f t="shared" si="4"/>
        <v>10.804118107956223</v>
      </c>
      <c r="Z13" s="2">
        <f t="shared" si="4"/>
        <v>11.699528042357624</v>
      </c>
      <c r="AA13" s="2">
        <f t="shared" si="4"/>
        <v>11.486157447132445</v>
      </c>
      <c r="AB13" s="2">
        <f t="shared" si="4"/>
        <v>10.555210804896374</v>
      </c>
      <c r="AC13" s="2">
        <f t="shared" si="4"/>
        <v>12.884353584261369</v>
      </c>
      <c r="AD13" s="2">
        <f t="shared" si="4"/>
        <v>10.452482987224663</v>
      </c>
      <c r="AE13" s="2">
        <f t="shared" si="4"/>
        <v>9.9301320859057984</v>
      </c>
      <c r="AF13" s="2">
        <f t="shared" si="4"/>
        <v>9.1049271430345833</v>
      </c>
      <c r="AG13" s="2">
        <f t="shared" si="4"/>
        <v>10.834555219356028</v>
      </c>
      <c r="AH13" s="2">
        <f t="shared" si="4"/>
        <v>10.596429998331232</v>
      </c>
      <c r="AI13" s="2">
        <f t="shared" si="4"/>
        <v>10.419199902405477</v>
      </c>
      <c r="AJ13" s="2">
        <f t="shared" si="4"/>
        <v>10.273605813046393</v>
      </c>
      <c r="AK13" s="2">
        <f t="shared" si="4"/>
        <v>9.7961786941164402</v>
      </c>
      <c r="AL13" s="2">
        <f t="shared" si="4"/>
        <v>9.346797830442938</v>
      </c>
      <c r="AM13" s="2">
        <f t="shared" si="4"/>
        <v>9.0811960469606117</v>
      </c>
    </row>
    <row r="14" spans="10:39" x14ac:dyDescent="0.25">
      <c r="R14" s="9">
        <f>R13/R12</f>
        <v>0.63434395735051585</v>
      </c>
      <c r="S14" s="9">
        <f t="shared" ref="S14:AM14" si="5">S13/S12</f>
        <v>0.6711977790819047</v>
      </c>
      <c r="T14" s="9">
        <f t="shared" si="5"/>
        <v>0.62509647806988522</v>
      </c>
      <c r="U14" s="9">
        <f t="shared" si="5"/>
        <v>0.62584884095040894</v>
      </c>
      <c r="V14" s="9">
        <f t="shared" si="5"/>
        <v>0.6012461227796656</v>
      </c>
      <c r="W14" s="9">
        <f t="shared" si="5"/>
        <v>0.57495891065721239</v>
      </c>
      <c r="X14" s="9">
        <f t="shared" si="5"/>
        <v>0.55567324084631142</v>
      </c>
      <c r="Y14" s="9">
        <f t="shared" si="5"/>
        <v>0.54591067191936848</v>
      </c>
      <c r="Z14" s="9">
        <f t="shared" si="5"/>
        <v>0.52417240333143478</v>
      </c>
      <c r="AA14" s="9">
        <f t="shared" si="5"/>
        <v>0.51599988531592289</v>
      </c>
      <c r="AB14" s="9">
        <f t="shared" si="5"/>
        <v>0.51431129975619427</v>
      </c>
      <c r="AC14" s="9">
        <f t="shared" si="5"/>
        <v>0.51525048325447365</v>
      </c>
      <c r="AD14" s="9">
        <f t="shared" si="5"/>
        <v>0.51000160952547757</v>
      </c>
      <c r="AE14" s="9">
        <f t="shared" si="5"/>
        <v>0.50061161957581157</v>
      </c>
      <c r="AF14" s="9">
        <f t="shared" si="5"/>
        <v>0.50367467738200933</v>
      </c>
      <c r="AG14" s="9">
        <f t="shared" si="5"/>
        <v>0.51602949225357353</v>
      </c>
      <c r="AH14" s="9">
        <f t="shared" si="5"/>
        <v>0.52320298219183481</v>
      </c>
      <c r="AI14" s="9">
        <f t="shared" si="5"/>
        <v>0.50659794342419784</v>
      </c>
      <c r="AJ14" s="9">
        <f t="shared" si="5"/>
        <v>0.51535519503618732</v>
      </c>
      <c r="AK14" s="9">
        <f t="shared" si="5"/>
        <v>0.50602710336879175</v>
      </c>
      <c r="AL14" s="9">
        <f t="shared" si="5"/>
        <v>0.49643073244332581</v>
      </c>
      <c r="AM14" s="9">
        <f t="shared" si="5"/>
        <v>0.49061026725881202</v>
      </c>
    </row>
    <row r="21" spans="10:39" x14ac:dyDescent="0.25">
      <c r="J21" s="1" t="s">
        <v>152</v>
      </c>
    </row>
    <row r="23" spans="10:39" x14ac:dyDescent="0.25">
      <c r="J23" s="27" t="s">
        <v>153</v>
      </c>
      <c r="K23" s="27"/>
      <c r="L23" s="28">
        <f>VLOOKUP($J23,[1]output!$A$9:$AI$2200,L$1-$L$1+2)</f>
        <v>0</v>
      </c>
      <c r="M23" s="28">
        <f>VLOOKUP($J23,[1]output!$A$9:$AI$2200,M$1-$L$1+2)</f>
        <v>3.097</v>
      </c>
      <c r="N23" s="28">
        <f>VLOOKUP($J23,[1]output!$A$9:$AI$2200,N$1-$L$1+2)</f>
        <v>3.1669999999999998</v>
      </c>
      <c r="O23" s="28">
        <f>VLOOKUP($J23,[1]output!$A$9:$AI$2200,O$1-$L$1+2)</f>
        <v>3.0920000000000001</v>
      </c>
      <c r="P23" s="28">
        <f>VLOOKUP($J23,[1]output!$A$9:$AI$2200,P$1-$L$1+2)</f>
        <v>3.214</v>
      </c>
      <c r="Q23" s="28">
        <f>VLOOKUP($J23,[1]output!$A$9:$AI$2200,Q$1-$L$1+2)</f>
        <v>3.1230000000000002</v>
      </c>
      <c r="R23" s="28">
        <f>VLOOKUP($J23,[1]output!$A$9:$AI$2200,R$1-$L$1+2)</f>
        <v>3.028</v>
      </c>
      <c r="S23" s="28">
        <f>VLOOKUP($J23,[1]output!$A$9:$AI$2200,S$1-$L$1+2)</f>
        <v>2.919</v>
      </c>
      <c r="T23" s="28">
        <f>VLOOKUP($J23,[1]output!$A$9:$AI$2200,T$1-$L$1+2)</f>
        <v>3.2719999999999998</v>
      </c>
      <c r="U23" s="28">
        <f>VLOOKUP($J23,[1]output!$A$9:$AI$2200,U$1-$L$1+2)</f>
        <v>3.1</v>
      </c>
      <c r="V23" s="28">
        <f>VLOOKUP($J23,[1]output!$A$9:$AI$2200,V$1-$L$1+2)</f>
        <v>3.1080000000000001</v>
      </c>
      <c r="W23" s="28">
        <f>VLOOKUP($J23,[1]output!$A$9:$AI$2200,W$1-$L$1+2)</f>
        <v>3.1619999999999999</v>
      </c>
      <c r="X23" s="28">
        <f>VLOOKUP($J23,[1]output!$A$9:$AI$2200,X$1-$L$1+2)</f>
        <v>3.1829999999999998</v>
      </c>
      <c r="Y23" s="28">
        <f>VLOOKUP($J23,[1]output!$A$9:$AI$2200,Y$1-$L$1+2)</f>
        <v>2.8380000000000001</v>
      </c>
      <c r="Z23" s="28">
        <f>VLOOKUP($J23,[1]output!$A$9:$AI$2200,Z$1-$L$1+2)</f>
        <v>3.2250000000000001</v>
      </c>
      <c r="AA23" s="28">
        <f>VLOOKUP($J23,[1]output!$A$9:$AI$2200,AA$1-$L$1+2)</f>
        <v>3.198</v>
      </c>
      <c r="AB23" s="28">
        <f>VLOOKUP($J23,[1]output!$A$9:$AI$2200,AB$1-$L$1+2)</f>
        <v>3.0379999999999998</v>
      </c>
      <c r="AC23" s="28">
        <f>VLOOKUP($J23,[1]output!$A$9:$AI$2200,AC$1-$L$1+2)</f>
        <v>3.536</v>
      </c>
      <c r="AD23" s="28">
        <f>VLOOKUP($J23,[1]output!$A$9:$AI$2200,AD$1-$L$1+2)</f>
        <v>3.0979999999999999</v>
      </c>
      <c r="AE23" s="28">
        <f>VLOOKUP($J23,[1]output!$A$9:$AI$2200,AE$1-$L$1+2)</f>
        <v>3.0129999999999999</v>
      </c>
      <c r="AF23" s="28">
        <f>VLOOKUP($J23,[1]output!$A$9:$AI$2200,AF$1-$L$1+2)</f>
        <v>2.7989999999999999</v>
      </c>
      <c r="AG23" s="28">
        <f>VLOOKUP($J23,[1]output!$A$9:$AI$2200,AG$1-$L$1+2)</f>
        <v>3.63</v>
      </c>
      <c r="AH23" s="28">
        <f>VLOOKUP($J23,[1]output!$A$9:$AI$2200,AH$1-$L$1+2)</f>
        <v>3.633</v>
      </c>
      <c r="AI23" s="28">
        <f>VLOOKUP($J23,[1]output!$A$9:$AI$2200,AI$1-$L$1+2)</f>
        <v>3.5920000000000001</v>
      </c>
      <c r="AJ23" s="28">
        <f>VLOOKUP($J23,[1]output!$A$9:$AI$2200,AJ$1-$L$1+2)</f>
        <v>3.6080000000000001</v>
      </c>
      <c r="AK23" s="28">
        <f>VLOOKUP($J23,[1]output!$A$9:$AI$2200,AK$1-$L$1+2)</f>
        <v>3.4430000000000001</v>
      </c>
      <c r="AL23" s="28">
        <f>VLOOKUP($J23,[1]output!$A$9:$AI$2200,AL$1-$L$1+2)</f>
        <v>3.266</v>
      </c>
      <c r="AM23" s="28">
        <f>VLOOKUP($J23,[1]output!$A$9:$AI$2200,AM$1-$L$1+2)</f>
        <v>3.105</v>
      </c>
    </row>
    <row r="24" spans="10:39" x14ac:dyDescent="0.25">
      <c r="J24" s="29" t="s">
        <v>154</v>
      </c>
      <c r="L24" s="2">
        <f>VLOOKUP($J24,[1]output!$A$9:$AI$2200,L$1-$L$1+2)</f>
        <v>0</v>
      </c>
      <c r="M24" s="2">
        <f>VLOOKUP($J24,[1]output!$A$9:$AI$2200,M$1-$L$1+2)</f>
        <v>1.607</v>
      </c>
      <c r="N24" s="2">
        <f>VLOOKUP($J24,[1]output!$A$9:$AI$2200,N$1-$L$1+2)</f>
        <v>1.589</v>
      </c>
      <c r="O24" s="2">
        <f>VLOOKUP($J24,[1]output!$A$9:$AI$2200,O$1-$L$1+2)</f>
        <v>0</v>
      </c>
      <c r="P24" s="2">
        <f>VLOOKUP($J24,[1]output!$A$9:$AI$2200,P$1-$L$1+2)</f>
        <v>0</v>
      </c>
      <c r="Q24" s="2">
        <f>VLOOKUP($J24,[1]output!$A$9:$AI$2200,Q$1-$L$1+2)</f>
        <v>0</v>
      </c>
      <c r="R24" s="2">
        <f>VLOOKUP($J24,[1]output!$A$9:$AI$2200,R$1-$L$1+2)</f>
        <v>0</v>
      </c>
      <c r="S24" s="2">
        <f>VLOOKUP($J24,[1]output!$A$9:$AI$2200,S$1-$L$1+2)</f>
        <v>0</v>
      </c>
      <c r="T24" s="2">
        <f>VLOOKUP($J24,[1]output!$A$9:$AI$2200,T$1-$L$1+2)</f>
        <v>0</v>
      </c>
      <c r="U24" s="2">
        <f>VLOOKUP($J24,[1]output!$A$9:$AI$2200,U$1-$L$1+2)</f>
        <v>0</v>
      </c>
      <c r="V24" s="2">
        <f>VLOOKUP($J24,[1]output!$A$9:$AI$2200,V$1-$L$1+2)</f>
        <v>0</v>
      </c>
      <c r="W24" s="2">
        <f>VLOOKUP($J24,[1]output!$A$9:$AI$2200,W$1-$L$1+2)</f>
        <v>0</v>
      </c>
      <c r="X24" s="2">
        <f>VLOOKUP($J24,[1]output!$A$9:$AI$2200,X$1-$L$1+2)</f>
        <v>0</v>
      </c>
      <c r="Y24" s="2">
        <f>VLOOKUP($J24,[1]output!$A$9:$AI$2200,Y$1-$L$1+2)</f>
        <v>0</v>
      </c>
      <c r="Z24" s="2">
        <f>VLOOKUP($J24,[1]output!$A$9:$AI$2200,Z$1-$L$1+2)</f>
        <v>0</v>
      </c>
      <c r="AA24" s="2">
        <f>VLOOKUP($J24,[1]output!$A$9:$AI$2200,AA$1-$L$1+2)</f>
        <v>0</v>
      </c>
      <c r="AB24" s="2">
        <f>VLOOKUP($J24,[1]output!$A$9:$AI$2200,AB$1-$L$1+2)</f>
        <v>0</v>
      </c>
      <c r="AC24" s="2">
        <f>VLOOKUP($J24,[1]output!$A$9:$AI$2200,AC$1-$L$1+2)</f>
        <v>0</v>
      </c>
      <c r="AD24" s="2">
        <f>VLOOKUP($J24,[1]output!$A$9:$AI$2200,AD$1-$L$1+2)</f>
        <v>0</v>
      </c>
      <c r="AE24" s="2">
        <f>VLOOKUP($J24,[1]output!$A$9:$AI$2200,AE$1-$L$1+2)</f>
        <v>0</v>
      </c>
      <c r="AF24" s="2">
        <f>VLOOKUP($J24,[1]output!$A$9:$AI$2200,AF$1-$L$1+2)</f>
        <v>0</v>
      </c>
      <c r="AG24" s="2">
        <f>VLOOKUP($J24,[1]output!$A$9:$AI$2200,AG$1-$L$1+2)</f>
        <v>0</v>
      </c>
      <c r="AH24" s="2">
        <f>VLOOKUP($J24,[1]output!$A$9:$AI$2200,AH$1-$L$1+2)</f>
        <v>0</v>
      </c>
      <c r="AI24" s="2">
        <f>VLOOKUP($J24,[1]output!$A$9:$AI$2200,AI$1-$L$1+2)</f>
        <v>0</v>
      </c>
      <c r="AJ24" s="2">
        <f>VLOOKUP($J24,[1]output!$A$9:$AI$2200,AJ$1-$L$1+2)</f>
        <v>0</v>
      </c>
      <c r="AK24" s="2">
        <f>VLOOKUP($J24,[1]output!$A$9:$AI$2200,AK$1-$L$1+2)</f>
        <v>0</v>
      </c>
      <c r="AL24" s="2">
        <f>VLOOKUP($J24,[1]output!$A$9:$AI$2200,AL$1-$L$1+2)</f>
        <v>0</v>
      </c>
      <c r="AM24" s="2">
        <f>VLOOKUP($J24,[1]output!$A$9:$AI$2200,AM$1-$L$1+2)</f>
        <v>0</v>
      </c>
    </row>
    <row r="25" spans="10:39" x14ac:dyDescent="0.25">
      <c r="J25" s="29" t="s">
        <v>155</v>
      </c>
      <c r="K25" s="29"/>
      <c r="L25" s="30">
        <f>VLOOKUP($J25,[1]output!$A$9:$AI$2200,L$1-$L$1+2)</f>
        <v>0</v>
      </c>
      <c r="M25" s="30">
        <f>VLOOKUP($J25,[1]output!$A$9:$AI$2200,M$1-$L$1+2)</f>
        <v>0</v>
      </c>
      <c r="N25" s="30">
        <f>VLOOKUP($J25,[1]output!$A$9:$AI$2200,N$1-$L$1+2)</f>
        <v>0</v>
      </c>
      <c r="O25" s="30">
        <f>VLOOKUP($J25,[1]output!$A$9:$AI$2200,O$1-$L$1+2)</f>
        <v>1.6339999999999999</v>
      </c>
      <c r="P25" s="30">
        <f>VLOOKUP($J25,[1]output!$A$9:$AI$2200,P$1-$L$1+2)</f>
        <v>1.6890000000000001</v>
      </c>
      <c r="Q25" s="30">
        <f>VLOOKUP($J25,[1]output!$A$9:$AI$2200,Q$1-$L$1+2)</f>
        <v>1.6639999999999999</v>
      </c>
      <c r="R25" s="30">
        <f>VLOOKUP($J25,[1]output!$A$9:$AI$2200,R$1-$L$1+2)</f>
        <v>1.649</v>
      </c>
      <c r="S25" s="30">
        <f>VLOOKUP($J25,[1]output!$A$9:$AI$2200,S$1-$L$1+2)</f>
        <v>1.6240000000000001</v>
      </c>
      <c r="T25" s="30">
        <f>VLOOKUP($J25,[1]output!$A$9:$AI$2200,T$1-$L$1+2)</f>
        <v>1.665</v>
      </c>
      <c r="U25" s="30">
        <f>VLOOKUP($J25,[1]output!$A$9:$AI$2200,U$1-$L$1+2)</f>
        <v>1.643</v>
      </c>
      <c r="V25" s="30">
        <f>VLOOKUP($J25,[1]output!$A$9:$AI$2200,V$1-$L$1+2)</f>
        <v>1.66</v>
      </c>
      <c r="W25" s="30">
        <f>VLOOKUP($J25,[1]output!$A$9:$AI$2200,W$1-$L$1+2)</f>
        <v>1.679</v>
      </c>
      <c r="X25" s="30">
        <f>VLOOKUP($J25,[1]output!$A$9:$AI$2200,X$1-$L$1+2)</f>
        <v>1.698</v>
      </c>
      <c r="Y25" s="30">
        <f>VLOOKUP($J25,[1]output!$A$9:$AI$2200,Y$1-$L$1+2)</f>
        <v>1.359</v>
      </c>
      <c r="Z25" s="30">
        <f>VLOOKUP($J25,[1]output!$A$9:$AI$2200,Z$1-$L$1+2)</f>
        <v>1.371</v>
      </c>
      <c r="AA25" s="30">
        <f>VLOOKUP($J25,[1]output!$A$9:$AI$2200,AA$1-$L$1+2)</f>
        <v>1.373</v>
      </c>
      <c r="AB25" s="30">
        <f>VLOOKUP($J25,[1]output!$A$9:$AI$2200,AB$1-$L$1+2)</f>
        <v>1.2729999999999999</v>
      </c>
      <c r="AC25" s="30">
        <f>VLOOKUP($J25,[1]output!$A$9:$AI$2200,AC$1-$L$1+2)</f>
        <v>1.306</v>
      </c>
      <c r="AD25" s="30">
        <f>VLOOKUP($J25,[1]output!$A$9:$AI$2200,AD$1-$L$1+2)</f>
        <v>1.2030000000000001</v>
      </c>
      <c r="AE25" s="30">
        <f>VLOOKUP($J25,[1]output!$A$9:$AI$2200,AE$1-$L$1+2)</f>
        <v>1.1870000000000001</v>
      </c>
      <c r="AF25" s="30">
        <f>VLOOKUP($J25,[1]output!$A$9:$AI$2200,AF$1-$L$1+2)</f>
        <v>1.1279999999999999</v>
      </c>
      <c r="AG25" s="30">
        <f>VLOOKUP($J25,[1]output!$A$9:$AI$2200,AG$1-$L$1+2)</f>
        <v>1.714</v>
      </c>
      <c r="AH25" s="30">
        <f>VLOOKUP($J25,[1]output!$A$9:$AI$2200,AH$1-$L$1+2)</f>
        <v>1.722</v>
      </c>
      <c r="AI25" s="30">
        <f>VLOOKUP($J25,[1]output!$A$9:$AI$2200,AI$1-$L$1+2)</f>
        <v>1.7709999999999999</v>
      </c>
      <c r="AJ25" s="30">
        <f>VLOOKUP($J25,[1]output!$A$9:$AI$2200,AJ$1-$L$1+2)</f>
        <v>1.796</v>
      </c>
      <c r="AK25" s="30">
        <f>VLOOKUP($J25,[1]output!$A$9:$AI$2200,AK$1-$L$1+2)</f>
        <v>1.7330000000000001</v>
      </c>
      <c r="AL25" s="30">
        <f>VLOOKUP($J25,[1]output!$A$9:$AI$2200,AL$1-$L$1+2)</f>
        <v>1.667</v>
      </c>
      <c r="AM25" s="30">
        <f>VLOOKUP($J25,[1]output!$A$9:$AI$2200,AM$1-$L$1+2)</f>
        <v>1.6040000000000001</v>
      </c>
    </row>
    <row r="26" spans="10:39" x14ac:dyDescent="0.25">
      <c r="J26" s="31" t="s">
        <v>156</v>
      </c>
      <c r="L26" s="32">
        <f>VLOOKUP($J26,[1]output!$A$9:$AI$2200,L$1-$L$1+2)</f>
        <v>0</v>
      </c>
      <c r="M26" s="32">
        <f>VLOOKUP($J26,[1]output!$A$9:$AI$2200,M$1-$L$1+2)</f>
        <v>0.23799999999999999</v>
      </c>
      <c r="N26" s="32">
        <f>VLOOKUP($J26,[1]output!$A$9:$AI$2200,N$1-$L$1+2)</f>
        <v>0</v>
      </c>
      <c r="O26" s="32">
        <f>VLOOKUP($J26,[1]output!$A$9:$AI$2200,O$1-$L$1+2)</f>
        <v>0</v>
      </c>
      <c r="P26" s="32">
        <f>VLOOKUP($J26,[1]output!$A$9:$AI$2200,P$1-$L$1+2)</f>
        <v>0</v>
      </c>
      <c r="Q26" s="32">
        <f>VLOOKUP($J26,[1]output!$A$9:$AI$2200,Q$1-$L$1+2)</f>
        <v>0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0:39" x14ac:dyDescent="0.25">
      <c r="J27" s="31" t="s">
        <v>157</v>
      </c>
      <c r="L27" s="2">
        <f>VLOOKUP($J27,[1]output!$A$9:$AI$2200,L$1-$L$1+2)</f>
        <v>0</v>
      </c>
      <c r="M27" s="2">
        <f>VLOOKUP($J27,[1]output!$A$9:$AI$2200,M$1-$L$1+2)</f>
        <v>0</v>
      </c>
      <c r="N27" s="2">
        <f>VLOOKUP($J27,[1]output!$A$9:$AI$2200,N$1-$L$1+2)</f>
        <v>0</v>
      </c>
      <c r="O27" s="2">
        <f>VLOOKUP($J27,[1]output!$A$9:$AI$2200,O$1-$L$1+2)</f>
        <v>0</v>
      </c>
      <c r="P27" s="2">
        <f>VLOOKUP($J27,[1]output!$A$9:$AI$2200,P$1-$L$1+2)</f>
        <v>0</v>
      </c>
      <c r="Q27" s="2">
        <f>VLOOKUP($J27,[1]output!$A$9:$AI$2200,Q$1-$L$1+2)</f>
        <v>0</v>
      </c>
      <c r="R27" s="2">
        <f>VLOOKUP($J27,[1]output!$A$9:$AI$2200,R$1-$L$1+2)</f>
        <v>0</v>
      </c>
      <c r="S27" s="2">
        <f>VLOOKUP($J27,[1]output!$A$9:$AI$2200,S$1-$L$1+2)</f>
        <v>0</v>
      </c>
      <c r="T27" s="2">
        <f>VLOOKUP($J27,[1]output!$A$9:$AI$2200,T$1-$L$1+2)</f>
        <v>0</v>
      </c>
      <c r="U27" s="2">
        <f>VLOOKUP($J27,[1]output!$A$9:$AI$2200,U$1-$L$1+2)</f>
        <v>0</v>
      </c>
      <c r="V27" s="2">
        <f>VLOOKUP($J27,[1]output!$A$9:$AI$2200,V$1-$L$1+2)</f>
        <v>0</v>
      </c>
      <c r="W27" s="2">
        <f>VLOOKUP($J27,[1]output!$A$9:$AI$2200,W$1-$L$1+2)</f>
        <v>0</v>
      </c>
      <c r="X27" s="2">
        <f>VLOOKUP($J27,[1]output!$A$9:$AI$2200,X$1-$L$1+2)</f>
        <v>0</v>
      </c>
      <c r="Y27" s="2">
        <f>VLOOKUP($J27,[1]output!$A$9:$AI$2200,Y$1-$L$1+2)</f>
        <v>0</v>
      </c>
      <c r="Z27" s="2">
        <f>VLOOKUP($J27,[1]output!$A$9:$AI$2200,Z$1-$L$1+2)</f>
        <v>0</v>
      </c>
      <c r="AA27" s="2">
        <f>VLOOKUP($J27,[1]output!$A$9:$AI$2200,AA$1-$L$1+2)</f>
        <v>0</v>
      </c>
      <c r="AB27" s="2">
        <f>VLOOKUP($J27,[1]output!$A$9:$AI$2200,AB$1-$L$1+2)</f>
        <v>0</v>
      </c>
      <c r="AC27" s="2">
        <f>VLOOKUP($J27,[1]output!$A$9:$AI$2200,AC$1-$L$1+2)</f>
        <v>0</v>
      </c>
      <c r="AD27" s="2">
        <f>VLOOKUP($J27,[1]output!$A$9:$AI$2200,AD$1-$L$1+2)</f>
        <v>0</v>
      </c>
      <c r="AE27" s="2">
        <f>VLOOKUP($J27,[1]output!$A$9:$AI$2200,AE$1-$L$1+2)</f>
        <v>0</v>
      </c>
      <c r="AF27" s="2">
        <f>VLOOKUP($J27,[1]output!$A$9:$AI$2200,AF$1-$L$1+2)</f>
        <v>0</v>
      </c>
      <c r="AG27" s="2">
        <f>VLOOKUP($J27,[1]output!$A$9:$AI$2200,AG$1-$L$1+2)</f>
        <v>0</v>
      </c>
      <c r="AH27" s="2">
        <f>VLOOKUP($J27,[1]output!$A$9:$AI$2200,AH$1-$L$1+2)</f>
        <v>0</v>
      </c>
      <c r="AI27" s="2">
        <f>VLOOKUP($J27,[1]output!$A$9:$AI$2200,AI$1-$L$1+2)</f>
        <v>0</v>
      </c>
      <c r="AJ27" s="2">
        <f>VLOOKUP($J27,[1]output!$A$9:$AI$2200,AJ$1-$L$1+2)</f>
        <v>0</v>
      </c>
      <c r="AK27" s="2">
        <f>VLOOKUP($J27,[1]output!$A$9:$AI$2200,AK$1-$L$1+2)</f>
        <v>0</v>
      </c>
      <c r="AL27" s="2">
        <f>VLOOKUP($J27,[1]output!$A$9:$AI$2200,AL$1-$L$1+2)</f>
        <v>0</v>
      </c>
      <c r="AM27" s="2">
        <f>VLOOKUP($J27,[1]output!$A$9:$AI$2200,AM$1-$L$1+2)</f>
        <v>0</v>
      </c>
    </row>
    <row r="28" spans="10:39" x14ac:dyDescent="0.25">
      <c r="J28" s="31" t="s">
        <v>158</v>
      </c>
      <c r="L28" s="2">
        <f>VLOOKUP($J28,[1]output!$A$9:$AI$2200,L$1-$L$1+2)</f>
        <v>0</v>
      </c>
      <c r="M28" s="2">
        <f>VLOOKUP($J28,[1]output!$A$9:$AI$2200,M$1-$L$1+2)</f>
        <v>0</v>
      </c>
      <c r="N28" s="2">
        <f>VLOOKUP($J28,[1]output!$A$9:$AI$2200,N$1-$L$1+2)</f>
        <v>0.33300000000000002</v>
      </c>
      <c r="O28" s="2">
        <f>VLOOKUP($J28,[1]output!$A$9:$AI$2200,O$1-$L$1+2)</f>
        <v>0.439</v>
      </c>
      <c r="P28" s="2">
        <f>VLOOKUP($J28,[1]output!$A$9:$AI$2200,P$1-$L$1+2)</f>
        <v>0.42099999999999999</v>
      </c>
      <c r="Q28" s="2">
        <f>VLOOKUP($J28,[1]output!$A$9:$AI$2200,Q$1-$L$1+2)</f>
        <v>0.375</v>
      </c>
      <c r="R28" s="2">
        <f>VLOOKUP($J28,[1]output!$A$9:$AI$2200,R$1-$L$1+2)</f>
        <v>0.37</v>
      </c>
      <c r="S28" s="2">
        <f>VLOOKUP($J28,[1]output!$A$9:$AI$2200,S$1-$L$1+2)</f>
        <v>0.35799999999999998</v>
      </c>
      <c r="T28" s="2">
        <f>VLOOKUP($J28,[1]output!$A$9:$AI$2200,T$1-$L$1+2)</f>
        <v>0.63800000000000001</v>
      </c>
      <c r="U28" s="2">
        <f>VLOOKUP($J28,[1]output!$A$9:$AI$2200,U$1-$L$1+2)</f>
        <v>0.54800000000000004</v>
      </c>
      <c r="V28" s="2">
        <f>VLOOKUP($J28,[1]output!$A$9:$AI$2200,V$1-$L$1+2)</f>
        <v>0.47299999999999998</v>
      </c>
      <c r="W28" s="2">
        <f>VLOOKUP($J28,[1]output!$A$9:$AI$2200,W$1-$L$1+2)</f>
        <v>0.40100000000000002</v>
      </c>
      <c r="X28" s="2">
        <f>VLOOKUP($J28,[1]output!$A$9:$AI$2200,X$1-$L$1+2)</f>
        <v>0.34499999999999997</v>
      </c>
      <c r="Y28" s="2">
        <f>VLOOKUP($J28,[1]output!$A$9:$AI$2200,Y$1-$L$1+2)</f>
        <v>0.38700000000000001</v>
      </c>
      <c r="Z28" s="2">
        <f>VLOOKUP($J28,[1]output!$A$9:$AI$2200,Z$1-$L$1+2)</f>
        <v>0.48499999999999999</v>
      </c>
      <c r="AA28" s="2">
        <f>VLOOKUP($J28,[1]output!$A$9:$AI$2200,AA$1-$L$1+2)</f>
        <v>0.45800000000000002</v>
      </c>
      <c r="AB28" s="2">
        <f>VLOOKUP($J28,[1]output!$A$9:$AI$2200,AB$1-$L$1+2)</f>
        <v>0.4</v>
      </c>
      <c r="AC28" s="2">
        <f>VLOOKUP($J28,[1]output!$A$9:$AI$2200,AC$1-$L$1+2)</f>
        <v>0.68899999999999995</v>
      </c>
      <c r="AD28" s="2">
        <f>VLOOKUP($J28,[1]output!$A$9:$AI$2200,AD$1-$L$1+2)</f>
        <v>0.32100000000000001</v>
      </c>
      <c r="AE28" s="2">
        <f>VLOOKUP($J28,[1]output!$A$9:$AI$2200,AE$1-$L$1+2)</f>
        <v>0.28399999999999997</v>
      </c>
      <c r="AF28" s="2">
        <f>VLOOKUP($J28,[1]output!$A$9:$AI$2200,AF$1-$L$1+2)</f>
        <v>0.223</v>
      </c>
      <c r="AG28" s="2">
        <f>VLOOKUP($J28,[1]output!$A$9:$AI$2200,AG$1-$L$1+2)</f>
        <v>0.19900000000000001</v>
      </c>
      <c r="AH28" s="2">
        <f>VLOOKUP($J28,[1]output!$A$9:$AI$2200,AH$1-$L$1+2)</f>
        <v>0.17799999999999999</v>
      </c>
      <c r="AI28" s="2">
        <f>VLOOKUP($J28,[1]output!$A$9:$AI$2200,AI$1-$L$1+2)</f>
        <v>0.159</v>
      </c>
      <c r="AJ28" s="2">
        <f>VLOOKUP($J28,[1]output!$A$9:$AI$2200,AJ$1-$L$1+2)</f>
        <v>0.14099999999999999</v>
      </c>
      <c r="AK28" s="2">
        <f>VLOOKUP($J28,[1]output!$A$9:$AI$2200,AK$1-$L$1+2)</f>
        <v>0.126</v>
      </c>
      <c r="AL28" s="2">
        <f>VLOOKUP($J28,[1]output!$A$9:$AI$2200,AL$1-$L$1+2)</f>
        <v>0.11600000000000001</v>
      </c>
      <c r="AM28" s="2">
        <f>VLOOKUP($J28,[1]output!$A$9:$AI$2200,AM$1-$L$1+2)</f>
        <v>0.115</v>
      </c>
    </row>
    <row r="29" spans="10:39" x14ac:dyDescent="0.25">
      <c r="J29" s="33" t="s">
        <v>159</v>
      </c>
      <c r="K29" s="33"/>
      <c r="L29" s="34">
        <f>SUM(L26:L28)</f>
        <v>0</v>
      </c>
      <c r="M29" s="34">
        <f t="shared" ref="M29:AM29" si="6">SUM(M26:M28)</f>
        <v>0.23799999999999999</v>
      </c>
      <c r="N29" s="34">
        <f t="shared" si="6"/>
        <v>0.33300000000000002</v>
      </c>
      <c r="O29" s="34">
        <f t="shared" si="6"/>
        <v>0.439</v>
      </c>
      <c r="P29" s="34">
        <f t="shared" si="6"/>
        <v>0.42099999999999999</v>
      </c>
      <c r="Q29" s="34">
        <f t="shared" si="6"/>
        <v>0.375</v>
      </c>
      <c r="R29" s="34">
        <f t="shared" si="6"/>
        <v>0.37</v>
      </c>
      <c r="S29" s="34">
        <f t="shared" si="6"/>
        <v>0.35799999999999998</v>
      </c>
      <c r="T29" s="34">
        <f t="shared" si="6"/>
        <v>0.63800000000000001</v>
      </c>
      <c r="U29" s="34">
        <f t="shared" si="6"/>
        <v>0.54800000000000004</v>
      </c>
      <c r="V29" s="34">
        <f t="shared" si="6"/>
        <v>0.47299999999999998</v>
      </c>
      <c r="W29" s="34">
        <f t="shared" si="6"/>
        <v>0.40100000000000002</v>
      </c>
      <c r="X29" s="34">
        <f t="shared" si="6"/>
        <v>0.34499999999999997</v>
      </c>
      <c r="Y29" s="34">
        <f t="shared" si="6"/>
        <v>0.38700000000000001</v>
      </c>
      <c r="Z29" s="34">
        <f t="shared" si="6"/>
        <v>0.48499999999999999</v>
      </c>
      <c r="AA29" s="34">
        <f t="shared" si="6"/>
        <v>0.45800000000000002</v>
      </c>
      <c r="AB29" s="34">
        <f t="shared" si="6"/>
        <v>0.4</v>
      </c>
      <c r="AC29" s="34">
        <f t="shared" si="6"/>
        <v>0.68899999999999995</v>
      </c>
      <c r="AD29" s="34">
        <f t="shared" si="6"/>
        <v>0.32100000000000001</v>
      </c>
      <c r="AE29" s="34">
        <f t="shared" si="6"/>
        <v>0.28399999999999997</v>
      </c>
      <c r="AF29" s="34">
        <f t="shared" si="6"/>
        <v>0.223</v>
      </c>
      <c r="AG29" s="34">
        <f t="shared" si="6"/>
        <v>0.19900000000000001</v>
      </c>
      <c r="AH29" s="34">
        <f t="shared" si="6"/>
        <v>0.17799999999999999</v>
      </c>
      <c r="AI29" s="34">
        <f t="shared" si="6"/>
        <v>0.159</v>
      </c>
      <c r="AJ29" s="34">
        <f t="shared" si="6"/>
        <v>0.14099999999999999</v>
      </c>
      <c r="AK29" s="34">
        <f t="shared" si="6"/>
        <v>0.126</v>
      </c>
      <c r="AL29" s="34">
        <f t="shared" si="6"/>
        <v>0.11600000000000001</v>
      </c>
      <c r="AM29" s="34">
        <f t="shared" si="6"/>
        <v>0.115</v>
      </c>
    </row>
    <row r="30" spans="10:39" x14ac:dyDescent="0.25">
      <c r="J30" s="35" t="s">
        <v>160</v>
      </c>
      <c r="K30" s="35"/>
      <c r="L30" s="36">
        <f>VLOOKUP($J30,[1]output!$A$9:$AI$2200,L$1-$L$1+2)</f>
        <v>0</v>
      </c>
      <c r="M30" s="36">
        <f>VLOOKUP($J30,[1]output!$A$9:$AI$2200,M$1-$L$1+2)</f>
        <v>0</v>
      </c>
      <c r="N30" s="36">
        <f>VLOOKUP($J30,[1]output!$A$9:$AI$2200,N$1-$L$1+2)</f>
        <v>0</v>
      </c>
      <c r="O30" s="36">
        <f>VLOOKUP($J30,[1]output!$A$9:$AI$2200,O$1-$L$1+2)</f>
        <v>4.6589999999999998</v>
      </c>
      <c r="P30" s="36">
        <f>VLOOKUP($J30,[1]output!$A$9:$AI$2200,P$1-$L$1+2)</f>
        <v>4.9089999999999998</v>
      </c>
      <c r="Q30" s="36">
        <f>VLOOKUP($J30,[1]output!$A$9:$AI$2200,Q$1-$L$1+2)</f>
        <v>4.4370000000000003</v>
      </c>
      <c r="R30" s="36">
        <f>VLOOKUP($J30,[1]output!$A$9:$AI$2200,R$1-$L$1+2)</f>
        <v>4.5910000000000002</v>
      </c>
      <c r="S30" s="36">
        <f>VLOOKUP($J30,[1]output!$A$9:$AI$2200,S$1-$L$1+2)</f>
        <v>4.6740000000000004</v>
      </c>
      <c r="T30" s="36">
        <f>VLOOKUP($J30,[1]output!$A$9:$AI$2200,T$1-$L$1+2)</f>
        <v>4.0369999999999999</v>
      </c>
      <c r="U30" s="36">
        <f>VLOOKUP($J30,[1]output!$A$9:$AI$2200,U$1-$L$1+2)</f>
        <v>3.3490000000000002</v>
      </c>
      <c r="V30" s="36">
        <f>VLOOKUP($J30,[1]output!$A$9:$AI$2200,V$1-$L$1+2)</f>
        <v>2.83</v>
      </c>
      <c r="W30" s="36">
        <f>VLOOKUP($J30,[1]output!$A$9:$AI$2200,W$1-$L$1+2)</f>
        <v>2.4119999999999999</v>
      </c>
      <c r="X30" s="36">
        <f>VLOOKUP($J30,[1]output!$A$9:$AI$2200,X$1-$L$1+2)</f>
        <v>2.0680000000000001</v>
      </c>
      <c r="Y30" s="36">
        <f>VLOOKUP($J30,[1]output!$A$9:$AI$2200,Y$1-$L$1+2)</f>
        <v>1.83</v>
      </c>
      <c r="Z30" s="36">
        <f>VLOOKUP($J30,[1]output!$A$9:$AI$2200,Z$1-$L$1+2)</f>
        <v>1.786</v>
      </c>
      <c r="AA30" s="36">
        <f>VLOOKUP($J30,[1]output!$A$9:$AI$2200,AA$1-$L$1+2)</f>
        <v>1.7370000000000001</v>
      </c>
      <c r="AB30" s="36">
        <f>VLOOKUP($J30,[1]output!$A$9:$AI$2200,AB$1-$L$1+2)</f>
        <v>1.5229999999999999</v>
      </c>
      <c r="AC30" s="36">
        <f>VLOOKUP($J30,[1]output!$A$9:$AI$2200,AC$1-$L$1+2)</f>
        <v>1.901</v>
      </c>
      <c r="AD30" s="36">
        <f>VLOOKUP($J30,[1]output!$A$9:$AI$2200,AD$1-$L$1+2)</f>
        <v>1.534</v>
      </c>
      <c r="AE30" s="36">
        <f>VLOOKUP($J30,[1]output!$A$9:$AI$2200,AE$1-$L$1+2)</f>
        <v>1.4039999999999999</v>
      </c>
      <c r="AF30" s="36">
        <f>VLOOKUP($J30,[1]output!$A$9:$AI$2200,AF$1-$L$1+2)</f>
        <v>1.272</v>
      </c>
      <c r="AG30" s="36">
        <f>VLOOKUP($J30,[1]output!$A$9:$AI$2200,AG$1-$L$1+2)</f>
        <v>1.1499999999999999</v>
      </c>
      <c r="AH30" s="36">
        <f>VLOOKUP($J30,[1]output!$A$9:$AI$2200,AH$1-$L$1+2)</f>
        <v>1.0660000000000001</v>
      </c>
      <c r="AI30" s="36">
        <f>VLOOKUP($J30,[1]output!$A$9:$AI$2200,AI$1-$L$1+2)</f>
        <v>1.004</v>
      </c>
      <c r="AJ30" s="36">
        <f>VLOOKUP($J30,[1]output!$A$9:$AI$2200,AJ$1-$L$1+2)</f>
        <v>0.93400000000000005</v>
      </c>
      <c r="AK30" s="36">
        <f>VLOOKUP($J30,[1]output!$A$9:$AI$2200,AK$1-$L$1+2)</f>
        <v>0.874</v>
      </c>
      <c r="AL30" s="36">
        <f>VLOOKUP($J30,[1]output!$A$9:$AI$2200,AL$1-$L$1+2)</f>
        <v>0.83099999999999996</v>
      </c>
      <c r="AM30" s="36">
        <f>VLOOKUP($J30,[1]output!$A$9:$AI$2200,AM$1-$L$1+2)</f>
        <v>0.85399999999999998</v>
      </c>
    </row>
    <row r="31" spans="10:39" x14ac:dyDescent="0.25">
      <c r="J31" s="35" t="s">
        <v>161</v>
      </c>
      <c r="L31" s="4">
        <f>VLOOKUP($J31,[1]output!$A$9:$AI$2200,L$1-$L$1+2)</f>
        <v>0</v>
      </c>
      <c r="M31" s="4">
        <f>VLOOKUP($J31,[1]output!$A$9:$AI$2200,M$1-$L$1+2)</f>
        <v>7.0000000000000001E-3</v>
      </c>
      <c r="N31" s="4">
        <f>VLOOKUP($J31,[1]output!$A$9:$AI$2200,N$1-$L$1+2)</f>
        <v>6.0000000000000001E-3</v>
      </c>
      <c r="O31" s="4">
        <f>VLOOKUP($J31,[1]output!$A$9:$AI$2200,O$1-$L$1+2)</f>
        <v>0</v>
      </c>
      <c r="P31" s="4">
        <f>VLOOKUP($J31,[1]output!$A$9:$AI$2200,P$1-$L$1+2)</f>
        <v>0</v>
      </c>
      <c r="Q31" s="4">
        <f>VLOOKUP($J31,[1]output!$A$9:$AI$2200,Q$1-$L$1+2)</f>
        <v>0</v>
      </c>
      <c r="R31" s="4">
        <f>VLOOKUP($J31,[1]output!$A$9:$AI$2200,R$1-$L$1+2)</f>
        <v>0</v>
      </c>
      <c r="S31" s="4">
        <f>VLOOKUP($J31,[1]output!$A$9:$AI$2200,S$1-$L$1+2)</f>
        <v>0</v>
      </c>
      <c r="T31" s="2">
        <f>VLOOKUP($J31,[1]output!$A$9:$AI$2200,T$1-$L$1+2)</f>
        <v>0</v>
      </c>
      <c r="U31" s="2">
        <f>VLOOKUP($J31,[1]output!$A$9:$AI$2200,U$1-$L$1+2)</f>
        <v>0</v>
      </c>
      <c r="V31" s="2">
        <f>VLOOKUP($J31,[1]output!$A$9:$AI$2200,V$1-$L$1+2)</f>
        <v>0</v>
      </c>
      <c r="W31" s="2">
        <f>VLOOKUP($J31,[1]output!$A$9:$AI$2200,W$1-$L$1+2)</f>
        <v>0</v>
      </c>
      <c r="X31" s="2">
        <f>VLOOKUP($J31,[1]output!$A$9:$AI$2200,X$1-$L$1+2)</f>
        <v>0</v>
      </c>
      <c r="Y31" s="2">
        <f>VLOOKUP($J31,[1]output!$A$9:$AI$2200,Y$1-$L$1+2)</f>
        <v>0</v>
      </c>
      <c r="Z31" s="2">
        <f>VLOOKUP($J31,[1]output!$A$9:$AI$2200,Z$1-$L$1+2)</f>
        <v>0</v>
      </c>
      <c r="AA31" s="2">
        <f>VLOOKUP($J31,[1]output!$A$9:$AI$2200,AA$1-$L$1+2)</f>
        <v>0</v>
      </c>
      <c r="AB31" s="2">
        <f>VLOOKUP($J31,[1]output!$A$9:$AI$2200,AB$1-$L$1+2)</f>
        <v>0</v>
      </c>
      <c r="AC31" s="2">
        <f>VLOOKUP($J31,[1]output!$A$9:$AI$2200,AC$1-$L$1+2)</f>
        <v>0</v>
      </c>
      <c r="AD31" s="2">
        <f>VLOOKUP($J31,[1]output!$A$9:$AI$2200,AD$1-$L$1+2)</f>
        <v>0</v>
      </c>
      <c r="AE31" s="2">
        <f>VLOOKUP($J31,[1]output!$A$9:$AI$2200,AE$1-$L$1+2)</f>
        <v>0</v>
      </c>
      <c r="AF31" s="2">
        <f>VLOOKUP($J31,[1]output!$A$9:$AI$2200,AF$1-$L$1+2)</f>
        <v>0</v>
      </c>
      <c r="AG31" s="2">
        <f>VLOOKUP($J31,[1]output!$A$9:$AI$2200,AG$1-$L$1+2)</f>
        <v>0</v>
      </c>
      <c r="AH31" s="2">
        <f>VLOOKUP($J31,[1]output!$A$9:$AI$2200,AH$1-$L$1+2)</f>
        <v>0</v>
      </c>
      <c r="AI31" s="2">
        <f>VLOOKUP($J31,[1]output!$A$9:$AI$2200,AI$1-$L$1+2)</f>
        <v>0</v>
      </c>
      <c r="AJ31" s="2">
        <f>VLOOKUP($J31,[1]output!$A$9:$AI$2200,AJ$1-$L$1+2)</f>
        <v>0</v>
      </c>
      <c r="AK31" s="2">
        <f>VLOOKUP($J31,[1]output!$A$9:$AI$2200,AK$1-$L$1+2)</f>
        <v>0</v>
      </c>
      <c r="AL31" s="2">
        <f>VLOOKUP($J31,[1]output!$A$9:$AI$2200,AL$1-$L$1+2)</f>
        <v>0</v>
      </c>
      <c r="AM31" s="2">
        <f>VLOOKUP($J31,[1]output!$A$9:$AI$2200,AM$1-$L$1+2)</f>
        <v>0</v>
      </c>
    </row>
    <row r="32" spans="10:39" x14ac:dyDescent="0.25">
      <c r="J32" t="s">
        <v>162</v>
      </c>
      <c r="L32" s="2">
        <f>VLOOKUP($J32,[1]output!$A$9:$AI$2200,L$1-$L$1+2)</f>
        <v>0</v>
      </c>
      <c r="M32" s="2">
        <f>VLOOKUP($J32,[1]output!$A$9:$AI$2200,M$1-$L$1+2)</f>
        <v>0</v>
      </c>
      <c r="N32" s="2">
        <f>VLOOKUP($J32,[1]output!$A$9:$AI$2200,N$1-$L$1+2)</f>
        <v>9.0999999999999998E-2</v>
      </c>
      <c r="O32" s="2">
        <f>VLOOKUP($J32,[1]output!$A$9:$AI$2200,O$1-$L$1+2)</f>
        <v>0.19900000000000001</v>
      </c>
      <c r="P32" s="2">
        <f>VLOOKUP($J32,[1]output!$A$9:$AI$2200,P$1-$L$1+2)</f>
        <v>0.20599999999999999</v>
      </c>
      <c r="Q32" s="2">
        <f>VLOOKUP($J32,[1]output!$A$9:$AI$2200,Q$1-$L$1+2)</f>
        <v>0.20699999999999999</v>
      </c>
      <c r="R32" s="2">
        <f>VLOOKUP($J32,[1]output!$A$9:$AI$2200,R$1-$L$1+2)</f>
        <v>0.22600000000000001</v>
      </c>
      <c r="S32" s="2">
        <f>VLOOKUP($J32,[1]output!$A$9:$AI$2200,S$1-$L$1+2)</f>
        <v>0.22900000000000001</v>
      </c>
      <c r="T32" s="2">
        <f>VLOOKUP($J32,[1]output!$A$9:$AI$2200,T$1-$L$1+2)</f>
        <v>0.316</v>
      </c>
      <c r="U32" s="2">
        <f>VLOOKUP($J32,[1]output!$A$9:$AI$2200,U$1-$L$1+2)</f>
        <v>0.28999999999999998</v>
      </c>
      <c r="V32" s="2">
        <f>VLOOKUP($J32,[1]output!$A$9:$AI$2200,V$1-$L$1+2)</f>
        <v>0.27200000000000002</v>
      </c>
      <c r="W32" s="2">
        <f>VLOOKUP($J32,[1]output!$A$9:$AI$2200,W$1-$L$1+2)</f>
        <v>0.253</v>
      </c>
      <c r="X32" s="2">
        <f>VLOOKUP($J32,[1]output!$A$9:$AI$2200,X$1-$L$1+2)</f>
        <v>0.24</v>
      </c>
      <c r="Y32" s="2">
        <f>VLOOKUP($J32,[1]output!$A$9:$AI$2200,Y$1-$L$1+2)</f>
        <v>0.20200000000000001</v>
      </c>
      <c r="Z32" s="2">
        <f>VLOOKUP($J32,[1]output!$A$9:$AI$2200,Z$1-$L$1+2)</f>
        <v>0.22600000000000001</v>
      </c>
      <c r="AA32" s="2">
        <f>VLOOKUP($J32,[1]output!$A$9:$AI$2200,AA$1-$L$1+2)</f>
        <v>0.218</v>
      </c>
      <c r="AB32" s="2">
        <f>VLOOKUP($J32,[1]output!$A$9:$AI$2200,AB$1-$L$1+2)</f>
        <v>0.19</v>
      </c>
      <c r="AC32" s="2">
        <f>VLOOKUP($J32,[1]output!$A$9:$AI$2200,AC$1-$L$1+2)</f>
        <v>0.27100000000000002</v>
      </c>
      <c r="AD32" s="2">
        <f>VLOOKUP($J32,[1]output!$A$9:$AI$2200,AD$1-$L$1+2)</f>
        <v>0.153</v>
      </c>
      <c r="AE32" s="2">
        <f>VLOOKUP($J32,[1]output!$A$9:$AI$2200,AE$1-$L$1+2)</f>
        <v>0.14000000000000001</v>
      </c>
      <c r="AF32" s="2">
        <f>VLOOKUP($J32,[1]output!$A$9:$AI$2200,AF$1-$L$1+2)</f>
        <v>0.112</v>
      </c>
      <c r="AG32" s="2">
        <f>VLOOKUP($J32,[1]output!$A$9:$AI$2200,AG$1-$L$1+2)</f>
        <v>0.111</v>
      </c>
      <c r="AH32" s="2">
        <f>VLOOKUP($J32,[1]output!$A$9:$AI$2200,AH$1-$L$1+2)</f>
        <v>0.104</v>
      </c>
      <c r="AI32" s="2">
        <f>VLOOKUP($J32,[1]output!$A$9:$AI$2200,AI$1-$L$1+2)</f>
        <v>0.1</v>
      </c>
      <c r="AJ32" s="2">
        <f>VLOOKUP($J32,[1]output!$A$9:$AI$2200,AJ$1-$L$1+2)</f>
        <v>9.4E-2</v>
      </c>
      <c r="AK32" s="2">
        <f>VLOOKUP($J32,[1]output!$A$9:$AI$2200,AK$1-$L$1+2)</f>
        <v>8.6999999999999994E-2</v>
      </c>
      <c r="AL32" s="2">
        <f>VLOOKUP($J32,[1]output!$A$9:$AI$2200,AL$1-$L$1+2)</f>
        <v>8.1000000000000003E-2</v>
      </c>
      <c r="AM32" s="2">
        <f>VLOOKUP($J32,[1]output!$A$9:$AI$2200,AM$1-$L$1+2)</f>
        <v>7.8E-2</v>
      </c>
    </row>
    <row r="33" spans="10:41" x14ac:dyDescent="0.25">
      <c r="J33" t="s">
        <v>163</v>
      </c>
      <c r="L33" s="4">
        <f t="shared" ref="L33:AM33" si="7">L30/4</f>
        <v>0</v>
      </c>
      <c r="M33" s="4">
        <f t="shared" si="7"/>
        <v>0</v>
      </c>
      <c r="N33" s="4">
        <f t="shared" si="7"/>
        <v>0</v>
      </c>
      <c r="O33" s="4">
        <f t="shared" si="7"/>
        <v>1.16475</v>
      </c>
      <c r="P33" s="4">
        <f t="shared" si="7"/>
        <v>1.22725</v>
      </c>
      <c r="Q33" s="4">
        <f t="shared" si="7"/>
        <v>1.1092500000000001</v>
      </c>
      <c r="R33" s="4">
        <f t="shared" si="7"/>
        <v>1.14775</v>
      </c>
      <c r="S33" s="2">
        <f t="shared" si="7"/>
        <v>1.1685000000000001</v>
      </c>
      <c r="T33" s="2">
        <f t="shared" si="7"/>
        <v>1.00925</v>
      </c>
      <c r="U33" s="2">
        <f t="shared" si="7"/>
        <v>0.83725000000000005</v>
      </c>
      <c r="V33" s="2">
        <f t="shared" si="7"/>
        <v>0.70750000000000002</v>
      </c>
      <c r="W33" s="2">
        <f t="shared" si="7"/>
        <v>0.60299999999999998</v>
      </c>
      <c r="X33" s="2">
        <f t="shared" si="7"/>
        <v>0.51700000000000002</v>
      </c>
      <c r="Y33" s="2">
        <f t="shared" si="7"/>
        <v>0.45750000000000002</v>
      </c>
      <c r="Z33" s="2">
        <f t="shared" si="7"/>
        <v>0.44650000000000001</v>
      </c>
      <c r="AA33" s="2">
        <f t="shared" si="7"/>
        <v>0.43425000000000002</v>
      </c>
      <c r="AB33" s="2">
        <f t="shared" si="7"/>
        <v>0.38074999999999998</v>
      </c>
      <c r="AC33" s="2">
        <f t="shared" si="7"/>
        <v>0.47525000000000001</v>
      </c>
      <c r="AD33" s="2">
        <f t="shared" si="7"/>
        <v>0.38350000000000001</v>
      </c>
      <c r="AE33" s="2">
        <f t="shared" si="7"/>
        <v>0.35099999999999998</v>
      </c>
      <c r="AF33" s="2">
        <f t="shared" si="7"/>
        <v>0.318</v>
      </c>
      <c r="AG33" s="2">
        <f t="shared" si="7"/>
        <v>0.28749999999999998</v>
      </c>
      <c r="AH33" s="2">
        <f t="shared" si="7"/>
        <v>0.26650000000000001</v>
      </c>
      <c r="AI33" s="2">
        <f t="shared" si="7"/>
        <v>0.251</v>
      </c>
      <c r="AJ33" s="2">
        <f t="shared" si="7"/>
        <v>0.23350000000000001</v>
      </c>
      <c r="AK33" s="2">
        <f t="shared" si="7"/>
        <v>0.2185</v>
      </c>
      <c r="AL33" s="2">
        <f t="shared" si="7"/>
        <v>0.20774999999999999</v>
      </c>
      <c r="AM33" s="2">
        <f t="shared" si="7"/>
        <v>0.2135</v>
      </c>
    </row>
    <row r="34" spans="10:41" x14ac:dyDescent="0.25">
      <c r="J34" t="s">
        <v>164</v>
      </c>
      <c r="K34" t="s">
        <v>165</v>
      </c>
      <c r="S34" s="2">
        <f t="shared" ref="S34:AM34" si="8">S62*S70*0.6/1000</f>
        <v>0.12920312958144817</v>
      </c>
      <c r="T34" s="2">
        <f t="shared" si="8"/>
        <v>0.12104174487769363</v>
      </c>
      <c r="U34" s="2">
        <f t="shared" si="8"/>
        <v>0.11651525399358548</v>
      </c>
      <c r="V34" s="2">
        <f t="shared" si="8"/>
        <v>0.10525486644917176</v>
      </c>
      <c r="W34" s="2">
        <f t="shared" si="8"/>
        <v>9.4450018902253921E-2</v>
      </c>
      <c r="X34" s="2">
        <f t="shared" si="8"/>
        <v>8.9624635186152074E-2</v>
      </c>
      <c r="Y34" s="2">
        <f t="shared" si="8"/>
        <v>8.4309053978110698E-2</v>
      </c>
      <c r="Z34" s="2">
        <f t="shared" si="8"/>
        <v>9.3514021178812232E-2</v>
      </c>
      <c r="AA34" s="2">
        <f t="shared" si="8"/>
        <v>9.020372356622193E-2</v>
      </c>
      <c r="AB34" s="2">
        <f t="shared" si="8"/>
        <v>8.298040244818701E-2</v>
      </c>
      <c r="AC34" s="2">
        <f t="shared" si="8"/>
        <v>0.10880179213068422</v>
      </c>
      <c r="AD34" s="2">
        <f t="shared" si="8"/>
        <v>0.10049149361233162</v>
      </c>
      <c r="AE34" s="2">
        <f t="shared" si="8"/>
        <v>8.9566042952899549E-2</v>
      </c>
      <c r="AF34" s="2">
        <f t="shared" si="8"/>
        <v>9.7963571517291556E-2</v>
      </c>
      <c r="AG34" s="2">
        <f t="shared" si="8"/>
        <v>0.10102760967801444</v>
      </c>
      <c r="AH34" s="2">
        <f t="shared" si="8"/>
        <v>9.6464999165615142E-2</v>
      </c>
      <c r="AI34" s="2">
        <f t="shared" si="8"/>
        <v>7.9599951202738536E-2</v>
      </c>
      <c r="AJ34" s="2">
        <f t="shared" si="8"/>
        <v>7.8552906523195784E-2</v>
      </c>
      <c r="AK34" s="2">
        <f t="shared" si="8"/>
        <v>7.5839347058219264E-2</v>
      </c>
      <c r="AL34" s="2">
        <f t="shared" si="8"/>
        <v>7.5273915221469367E-2</v>
      </c>
      <c r="AM34" s="2">
        <f t="shared" si="8"/>
        <v>7.4848023480306392E-2</v>
      </c>
      <c r="AN34" s="4"/>
      <c r="AO34" s="4"/>
    </row>
    <row r="35" spans="10:41" x14ac:dyDescent="0.25">
      <c r="J35" t="s">
        <v>166</v>
      </c>
      <c r="K35" t="s">
        <v>165</v>
      </c>
      <c r="S35" s="2">
        <f t="shared" ref="S35:AM35" si="9">S66*S70*0.6/1000</f>
        <v>6.4962160717665862E-2</v>
      </c>
      <c r="T35" s="2">
        <f t="shared" si="9"/>
        <v>0.13481973121821</v>
      </c>
      <c r="U35" s="2">
        <f t="shared" si="9"/>
        <v>0.12970264730946221</v>
      </c>
      <c r="V35" s="2">
        <f t="shared" si="9"/>
        <v>0.11516817721368133</v>
      </c>
      <c r="W35" s="2">
        <f t="shared" si="9"/>
        <v>0.10120301951867225</v>
      </c>
      <c r="X35" s="2">
        <f t="shared" si="9"/>
        <v>9.740593995479134E-2</v>
      </c>
      <c r="Y35" s="2">
        <f t="shared" si="9"/>
        <v>0.1020009322052317</v>
      </c>
      <c r="Z35" s="2">
        <f t="shared" si="9"/>
        <v>0.16039230115510628</v>
      </c>
      <c r="AA35" s="2">
        <f t="shared" si="9"/>
        <v>0.14125316024633205</v>
      </c>
      <c r="AB35" s="2">
        <f t="shared" si="9"/>
        <v>0.12521230164453925</v>
      </c>
      <c r="AC35" s="2">
        <f t="shared" si="9"/>
        <v>0.14144865460688677</v>
      </c>
      <c r="AD35" s="2">
        <f t="shared" si="9"/>
        <v>0.10531391819113901</v>
      </c>
      <c r="AE35" s="2">
        <f t="shared" si="9"/>
        <v>8.8336921226398621E-2</v>
      </c>
      <c r="AF35" s="2">
        <f t="shared" si="9"/>
        <v>8.3541015313093311E-2</v>
      </c>
      <c r="AG35" s="2">
        <f t="shared" si="9"/>
        <v>8.281784451090643E-2</v>
      </c>
      <c r="AH35" s="2">
        <f t="shared" si="9"/>
        <v>7.4365993547423792E-2</v>
      </c>
      <c r="AI35" s="2">
        <f t="shared" si="9"/>
        <v>5.7497662490523752E-2</v>
      </c>
      <c r="AJ35" s="2">
        <f t="shared" si="9"/>
        <v>5.3216481596833995E-2</v>
      </c>
      <c r="AK35" s="2">
        <f t="shared" si="9"/>
        <v>4.8165977437172561E-2</v>
      </c>
      <c r="AL35" s="2">
        <f t="shared" si="9"/>
        <v>4.5793012959160516E-2</v>
      </c>
      <c r="AM35" s="2">
        <f t="shared" si="9"/>
        <v>4.2976238145381616E-2</v>
      </c>
      <c r="AN35" s="4"/>
      <c r="AO35" s="4"/>
    </row>
    <row r="37" spans="10:41" x14ac:dyDescent="0.25">
      <c r="J37" t="s">
        <v>167</v>
      </c>
      <c r="L37" s="2">
        <f>VLOOKUP($J37,[1]output!$A$9:$AI$2200,L$1-$L$1+2)</f>
        <v>0</v>
      </c>
      <c r="M37" s="2">
        <f>VLOOKUP($J37,[1]output!$A$9:$AI$2200,M$1-$L$1+2)</f>
        <v>0.91200000000000003</v>
      </c>
      <c r="N37" s="2">
        <f>VLOOKUP($J37,[1]output!$A$9:$AI$2200,N$1-$L$1+2)</f>
        <v>0.95</v>
      </c>
      <c r="O37" s="2">
        <f>VLOOKUP($J37,[1]output!$A$9:$AI$2200,O$1-$L$1+2)</f>
        <v>0</v>
      </c>
      <c r="P37" s="2">
        <f>VLOOKUP($J37,[1]output!$A$9:$AI$2200,P$1-$L$1+2)</f>
        <v>0</v>
      </c>
      <c r="Q37" s="2">
        <f>VLOOKUP($J37,[1]output!$A$9:$AI$2200,Q$1-$L$1+2)</f>
        <v>0</v>
      </c>
      <c r="R37" s="2">
        <f>VLOOKUP($J37,[1]output!$A$9:$AI$2200,R$1-$L$1+2)</f>
        <v>0</v>
      </c>
      <c r="S37" s="2">
        <f>VLOOKUP($J37,[1]output!$A$9:$AI$2200,S$1-$L$1+2)</f>
        <v>0</v>
      </c>
      <c r="T37" s="2">
        <f>VLOOKUP($J37,[1]output!$A$9:$AI$2200,T$1-$L$1+2)</f>
        <v>0</v>
      </c>
      <c r="U37" s="2">
        <f>VLOOKUP($J37,[1]output!$A$9:$AI$2200,U$1-$L$1+2)</f>
        <v>0</v>
      </c>
      <c r="V37" s="2">
        <f>VLOOKUP($J37,[1]output!$A$9:$AI$2200,V$1-$L$1+2)</f>
        <v>0</v>
      </c>
      <c r="W37" s="2">
        <f>VLOOKUP($J37,[1]output!$A$9:$AI$2200,W$1-$L$1+2)</f>
        <v>0</v>
      </c>
      <c r="X37" s="2">
        <f>VLOOKUP($J37,[1]output!$A$9:$AI$2200,X$1-$L$1+2)</f>
        <v>0</v>
      </c>
      <c r="Y37" s="2">
        <f>VLOOKUP($J37,[1]output!$A$9:$AI$2200,Y$1-$L$1+2)</f>
        <v>0</v>
      </c>
      <c r="Z37" s="2">
        <f>VLOOKUP($J37,[1]output!$A$9:$AI$2200,Z$1-$L$1+2)</f>
        <v>0</v>
      </c>
      <c r="AA37" s="2">
        <f>VLOOKUP($J37,[1]output!$A$9:$AI$2200,AA$1-$L$1+2)</f>
        <v>0</v>
      </c>
      <c r="AB37" s="2">
        <f>VLOOKUP($J37,[1]output!$A$9:$AI$2200,AB$1-$L$1+2)</f>
        <v>0</v>
      </c>
      <c r="AC37" s="2">
        <f>VLOOKUP($J37,[1]output!$A$9:$AI$2200,AC$1-$L$1+2)</f>
        <v>0</v>
      </c>
      <c r="AD37" s="2">
        <f>VLOOKUP($J37,[1]output!$A$9:$AI$2200,AD$1-$L$1+2)</f>
        <v>0</v>
      </c>
      <c r="AE37" s="2">
        <f>VLOOKUP($J37,[1]output!$A$9:$AI$2200,AE$1-$L$1+2)</f>
        <v>0</v>
      </c>
      <c r="AF37" s="2">
        <f>VLOOKUP($J37,[1]output!$A$9:$AI$2200,AF$1-$L$1+2)</f>
        <v>0</v>
      </c>
      <c r="AG37" s="2">
        <f>VLOOKUP($J37,[1]output!$A$9:$AI$2200,AG$1-$L$1+2)</f>
        <v>0</v>
      </c>
      <c r="AH37" s="2">
        <f>VLOOKUP($J37,[1]output!$A$9:$AI$2200,AH$1-$L$1+2)</f>
        <v>0</v>
      </c>
      <c r="AI37" s="2">
        <f>VLOOKUP($J37,[1]output!$A$9:$AI$2200,AI$1-$L$1+2)</f>
        <v>0</v>
      </c>
      <c r="AJ37" s="2">
        <f>VLOOKUP($J37,[1]output!$A$9:$AI$2200,AJ$1-$L$1+2)</f>
        <v>0</v>
      </c>
      <c r="AK37" s="2">
        <f>VLOOKUP($J37,[1]output!$A$9:$AI$2200,AK$1-$L$1+2)</f>
        <v>0</v>
      </c>
      <c r="AL37" s="2">
        <f>VLOOKUP($J37,[1]output!$A$9:$AI$2200,AL$1-$L$1+2)</f>
        <v>0</v>
      </c>
      <c r="AM37" s="2">
        <f>VLOOKUP($J37,[1]output!$A$9:$AI$2200,AM$1-$L$1+2)</f>
        <v>0</v>
      </c>
    </row>
    <row r="38" spans="10:41" x14ac:dyDescent="0.25">
      <c r="J38" t="s">
        <v>168</v>
      </c>
      <c r="L38" s="2">
        <f>VLOOKUP($J38,[1]output!$A$9:$AI$2200,L$1-$L$1+2)</f>
        <v>0</v>
      </c>
      <c r="M38" s="2">
        <f>VLOOKUP($J38,[1]output!$A$9:$AI$2200,M$1-$L$1+2)</f>
        <v>0</v>
      </c>
      <c r="N38" s="2">
        <f>VLOOKUP($J38,[1]output!$A$9:$AI$2200,N$1-$L$1+2)</f>
        <v>0</v>
      </c>
      <c r="O38" s="2">
        <f>VLOOKUP($J38,[1]output!$A$9:$AI$2200,O$1-$L$1+2)</f>
        <v>1.425</v>
      </c>
      <c r="P38" s="2">
        <f>VLOOKUP($J38,[1]output!$A$9:$AI$2200,P$1-$L$1+2)</f>
        <v>1.4750000000000001</v>
      </c>
      <c r="Q38" s="2">
        <f>VLOOKUP($J38,[1]output!$A$9:$AI$2200,Q$1-$L$1+2)</f>
        <v>1.4530000000000001</v>
      </c>
      <c r="R38" s="2">
        <f>VLOOKUP($J38,[1]output!$A$9:$AI$2200,R$1-$L$1+2)</f>
        <v>1.4319999999999999</v>
      </c>
      <c r="S38" s="2">
        <f>VLOOKUP($J38,[1]output!$A$9:$AI$2200,S$1-$L$1+2)</f>
        <v>1.4119999999999999</v>
      </c>
      <c r="T38" s="2">
        <f>VLOOKUP($J38,[1]output!$A$9:$AI$2200,T$1-$L$1+2)</f>
        <v>1.4570000000000001</v>
      </c>
      <c r="U38" s="2">
        <f>VLOOKUP($J38,[1]output!$A$9:$AI$2200,U$1-$L$1+2)</f>
        <v>1.4390000000000001</v>
      </c>
      <c r="V38" s="2">
        <f>VLOOKUP($J38,[1]output!$A$9:$AI$2200,V$1-$L$1+2)</f>
        <v>1.458</v>
      </c>
      <c r="W38" s="2">
        <f>VLOOKUP($J38,[1]output!$A$9:$AI$2200,W$1-$L$1+2)</f>
        <v>1.4790000000000001</v>
      </c>
      <c r="X38" s="2">
        <f>VLOOKUP($J38,[1]output!$A$9:$AI$2200,X$1-$L$1+2)</f>
        <v>1.5</v>
      </c>
      <c r="Y38" s="2">
        <f>VLOOKUP($J38,[1]output!$A$9:$AI$2200,Y$1-$L$1+2)</f>
        <v>1.23</v>
      </c>
      <c r="Z38" s="2">
        <f>VLOOKUP($J38,[1]output!$A$9:$AI$2200,Z$1-$L$1+2)</f>
        <v>1.2430000000000001</v>
      </c>
      <c r="AA38" s="2">
        <f>VLOOKUP($J38,[1]output!$A$9:$AI$2200,AA$1-$L$1+2)</f>
        <v>1.244</v>
      </c>
      <c r="AB38" s="2">
        <f>VLOOKUP($J38,[1]output!$A$9:$AI$2200,AB$1-$L$1+2)</f>
        <v>1.1579999999999999</v>
      </c>
      <c r="AC38" s="2">
        <f>VLOOKUP($J38,[1]output!$A$9:$AI$2200,AC$1-$L$1+2)</f>
        <v>1.1870000000000001</v>
      </c>
      <c r="AD38" s="2">
        <f>VLOOKUP($J38,[1]output!$A$9:$AI$2200,AD$1-$L$1+2)</f>
        <v>1.101</v>
      </c>
      <c r="AE38" s="2">
        <f>VLOOKUP($J38,[1]output!$A$9:$AI$2200,AE$1-$L$1+2)</f>
        <v>1.0880000000000001</v>
      </c>
      <c r="AF38" s="2">
        <f>VLOOKUP($J38,[1]output!$A$9:$AI$2200,AF$1-$L$1+2)</f>
        <v>1.0369999999999999</v>
      </c>
      <c r="AG38" s="2">
        <f>VLOOKUP($J38,[1]output!$A$9:$AI$2200,AG$1-$L$1+2)</f>
        <v>1.6279999999999999</v>
      </c>
      <c r="AH38" s="2">
        <f>VLOOKUP($J38,[1]output!$A$9:$AI$2200,AH$1-$L$1+2)</f>
        <v>1.641</v>
      </c>
      <c r="AI38" s="2">
        <f>VLOOKUP($J38,[1]output!$A$9:$AI$2200,AI$1-$L$1+2)</f>
        <v>1.6890000000000001</v>
      </c>
      <c r="AJ38" s="2">
        <f>VLOOKUP($J38,[1]output!$A$9:$AI$2200,AJ$1-$L$1+2)</f>
        <v>1.7190000000000001</v>
      </c>
      <c r="AK38" s="2">
        <f>VLOOKUP($J38,[1]output!$A$9:$AI$2200,AK$1-$L$1+2)</f>
        <v>1.659</v>
      </c>
      <c r="AL38" s="2">
        <f>VLOOKUP($J38,[1]output!$A$9:$AI$2200,AL$1-$L$1+2)</f>
        <v>1.597</v>
      </c>
      <c r="AM38" s="2">
        <f>VLOOKUP($J38,[1]output!$A$9:$AI$2200,AM$1-$L$1+2)</f>
        <v>1.534</v>
      </c>
    </row>
    <row r="39" spans="10:41" x14ac:dyDescent="0.25">
      <c r="J39" t="s">
        <v>169</v>
      </c>
      <c r="L39" s="2">
        <f t="shared" ref="L39:AM39" si="10">L37+L38</f>
        <v>0</v>
      </c>
      <c r="M39" s="2">
        <f t="shared" si="10"/>
        <v>0.91200000000000003</v>
      </c>
      <c r="N39" s="2">
        <f t="shared" si="10"/>
        <v>0.95</v>
      </c>
      <c r="O39" s="2">
        <f t="shared" si="10"/>
        <v>1.425</v>
      </c>
      <c r="P39" s="2">
        <f t="shared" si="10"/>
        <v>1.4750000000000001</v>
      </c>
      <c r="Q39" s="2">
        <f t="shared" si="10"/>
        <v>1.4530000000000001</v>
      </c>
      <c r="R39" s="2">
        <f t="shared" si="10"/>
        <v>1.4319999999999999</v>
      </c>
      <c r="S39" s="2">
        <f t="shared" si="10"/>
        <v>1.4119999999999999</v>
      </c>
      <c r="T39" s="2">
        <f t="shared" si="10"/>
        <v>1.4570000000000001</v>
      </c>
      <c r="U39" s="2">
        <f t="shared" si="10"/>
        <v>1.4390000000000001</v>
      </c>
      <c r="V39" s="2">
        <f t="shared" si="10"/>
        <v>1.458</v>
      </c>
      <c r="W39" s="2">
        <f t="shared" si="10"/>
        <v>1.4790000000000001</v>
      </c>
      <c r="X39" s="2">
        <f t="shared" si="10"/>
        <v>1.5</v>
      </c>
      <c r="Y39" s="2">
        <f t="shared" si="10"/>
        <v>1.23</v>
      </c>
      <c r="Z39" s="2">
        <f t="shared" si="10"/>
        <v>1.2430000000000001</v>
      </c>
      <c r="AA39" s="2">
        <f t="shared" si="10"/>
        <v>1.244</v>
      </c>
      <c r="AB39" s="2">
        <f t="shared" si="10"/>
        <v>1.1579999999999999</v>
      </c>
      <c r="AC39" s="2">
        <f t="shared" si="10"/>
        <v>1.1870000000000001</v>
      </c>
      <c r="AD39" s="2">
        <f t="shared" si="10"/>
        <v>1.101</v>
      </c>
      <c r="AE39" s="2">
        <f t="shared" si="10"/>
        <v>1.0880000000000001</v>
      </c>
      <c r="AF39" s="2">
        <f t="shared" si="10"/>
        <v>1.0369999999999999</v>
      </c>
      <c r="AG39" s="2">
        <f t="shared" si="10"/>
        <v>1.6279999999999999</v>
      </c>
      <c r="AH39" s="2">
        <f t="shared" si="10"/>
        <v>1.641</v>
      </c>
      <c r="AI39" s="2">
        <f t="shared" si="10"/>
        <v>1.6890000000000001</v>
      </c>
      <c r="AJ39" s="2">
        <f t="shared" si="10"/>
        <v>1.7190000000000001</v>
      </c>
      <c r="AK39" s="2">
        <f t="shared" si="10"/>
        <v>1.659</v>
      </c>
      <c r="AL39" s="2">
        <f t="shared" si="10"/>
        <v>1.597</v>
      </c>
      <c r="AM39" s="2">
        <f t="shared" si="10"/>
        <v>1.534</v>
      </c>
    </row>
    <row r="41" spans="10:41" x14ac:dyDescent="0.25"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3" spans="10:41" ht="15.75" thickBot="1" x14ac:dyDescent="0.3"/>
    <row r="44" spans="10:41" x14ac:dyDescent="0.25">
      <c r="J44" s="37" t="s">
        <v>170</v>
      </c>
      <c r="K44" s="38" t="s">
        <v>171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</row>
    <row r="45" spans="10:41" x14ac:dyDescent="0.25">
      <c r="J45" s="39" t="s">
        <v>172</v>
      </c>
      <c r="K45" s="1"/>
      <c r="L45" s="40">
        <f>L23+L33</f>
        <v>0</v>
      </c>
      <c r="M45" s="40">
        <f t="shared" ref="M45:AM45" si="11">M23+M33</f>
        <v>3.097</v>
      </c>
      <c r="N45" s="40">
        <f t="shared" si="11"/>
        <v>3.1669999999999998</v>
      </c>
      <c r="O45" s="40">
        <f t="shared" si="11"/>
        <v>4.2567500000000003</v>
      </c>
      <c r="P45" s="40">
        <f t="shared" si="11"/>
        <v>4.4412500000000001</v>
      </c>
      <c r="Q45" s="40">
        <f t="shared" si="11"/>
        <v>4.2322500000000005</v>
      </c>
      <c r="R45" s="40">
        <f t="shared" si="11"/>
        <v>4.1757499999999999</v>
      </c>
      <c r="S45" s="40">
        <f t="shared" si="11"/>
        <v>4.0875000000000004</v>
      </c>
      <c r="T45" s="40">
        <f t="shared" si="11"/>
        <v>4.28125</v>
      </c>
      <c r="U45" s="40">
        <f t="shared" si="11"/>
        <v>3.9372500000000001</v>
      </c>
      <c r="V45" s="40">
        <f t="shared" si="11"/>
        <v>3.8155000000000001</v>
      </c>
      <c r="W45" s="40">
        <f t="shared" si="11"/>
        <v>3.7649999999999997</v>
      </c>
      <c r="X45" s="40">
        <f t="shared" si="11"/>
        <v>3.6999999999999997</v>
      </c>
      <c r="Y45" s="40">
        <f t="shared" si="11"/>
        <v>3.2955000000000001</v>
      </c>
      <c r="Z45" s="40">
        <f t="shared" si="11"/>
        <v>3.6715</v>
      </c>
      <c r="AA45" s="40">
        <f t="shared" si="11"/>
        <v>3.63225</v>
      </c>
      <c r="AB45" s="40">
        <f t="shared" si="11"/>
        <v>3.4187499999999997</v>
      </c>
      <c r="AC45" s="40">
        <f t="shared" si="11"/>
        <v>4.0112500000000004</v>
      </c>
      <c r="AD45" s="40">
        <f t="shared" si="11"/>
        <v>3.4815</v>
      </c>
      <c r="AE45" s="40">
        <f t="shared" si="11"/>
        <v>3.3639999999999999</v>
      </c>
      <c r="AF45" s="40">
        <f t="shared" si="11"/>
        <v>3.117</v>
      </c>
      <c r="AG45" s="40">
        <f t="shared" si="11"/>
        <v>3.9175</v>
      </c>
      <c r="AH45" s="40">
        <f t="shared" si="11"/>
        <v>3.8995000000000002</v>
      </c>
      <c r="AI45" s="40">
        <f t="shared" si="11"/>
        <v>3.843</v>
      </c>
      <c r="AJ45" s="40">
        <f t="shared" si="11"/>
        <v>3.8414999999999999</v>
      </c>
      <c r="AK45" s="40">
        <f t="shared" si="11"/>
        <v>3.6615000000000002</v>
      </c>
      <c r="AL45" s="40">
        <f t="shared" si="11"/>
        <v>3.4737499999999999</v>
      </c>
      <c r="AM45" s="40">
        <f t="shared" si="11"/>
        <v>3.3184999999999998</v>
      </c>
    </row>
    <row r="46" spans="10:41" x14ac:dyDescent="0.25">
      <c r="J46" s="41" t="s">
        <v>173</v>
      </c>
      <c r="K46" s="3"/>
      <c r="L46" s="24">
        <f>L24+L25</f>
        <v>0</v>
      </c>
      <c r="M46" s="24">
        <f t="shared" ref="M46:AM46" si="12">M24+M25</f>
        <v>1.607</v>
      </c>
      <c r="N46" s="24">
        <f t="shared" si="12"/>
        <v>1.589</v>
      </c>
      <c r="O46" s="24">
        <f t="shared" si="12"/>
        <v>1.6339999999999999</v>
      </c>
      <c r="P46" s="24">
        <f t="shared" si="12"/>
        <v>1.6890000000000001</v>
      </c>
      <c r="Q46" s="24">
        <f t="shared" si="12"/>
        <v>1.6639999999999999</v>
      </c>
      <c r="R46" s="24">
        <f t="shared" si="12"/>
        <v>1.649</v>
      </c>
      <c r="S46" s="24">
        <f t="shared" si="12"/>
        <v>1.6240000000000001</v>
      </c>
      <c r="T46" s="24">
        <f t="shared" si="12"/>
        <v>1.665</v>
      </c>
      <c r="U46" s="24">
        <f t="shared" si="12"/>
        <v>1.643</v>
      </c>
      <c r="V46" s="24">
        <f t="shared" si="12"/>
        <v>1.66</v>
      </c>
      <c r="W46" s="24">
        <f t="shared" si="12"/>
        <v>1.679</v>
      </c>
      <c r="X46" s="24">
        <f t="shared" si="12"/>
        <v>1.698</v>
      </c>
      <c r="Y46" s="24">
        <f t="shared" si="12"/>
        <v>1.359</v>
      </c>
      <c r="Z46" s="24">
        <f t="shared" si="12"/>
        <v>1.371</v>
      </c>
      <c r="AA46" s="24">
        <f t="shared" si="12"/>
        <v>1.373</v>
      </c>
      <c r="AB46" s="24">
        <f t="shared" si="12"/>
        <v>1.2729999999999999</v>
      </c>
      <c r="AC46" s="24">
        <f t="shared" si="12"/>
        <v>1.306</v>
      </c>
      <c r="AD46" s="24">
        <f t="shared" si="12"/>
        <v>1.2030000000000001</v>
      </c>
      <c r="AE46" s="24">
        <f t="shared" si="12"/>
        <v>1.1870000000000001</v>
      </c>
      <c r="AF46" s="24">
        <f t="shared" si="12"/>
        <v>1.1279999999999999</v>
      </c>
      <c r="AG46" s="24">
        <f t="shared" si="12"/>
        <v>1.714</v>
      </c>
      <c r="AH46" s="24">
        <f t="shared" si="12"/>
        <v>1.722</v>
      </c>
      <c r="AI46" s="24">
        <f t="shared" si="12"/>
        <v>1.7709999999999999</v>
      </c>
      <c r="AJ46" s="24">
        <f t="shared" si="12"/>
        <v>1.796</v>
      </c>
      <c r="AK46" s="24">
        <f t="shared" si="12"/>
        <v>1.7330000000000001</v>
      </c>
      <c r="AL46" s="24">
        <f t="shared" si="12"/>
        <v>1.667</v>
      </c>
      <c r="AM46" s="24">
        <f t="shared" si="12"/>
        <v>1.6040000000000001</v>
      </c>
    </row>
    <row r="47" spans="10:41" x14ac:dyDescent="0.25">
      <c r="J47" s="41" t="s">
        <v>174</v>
      </c>
      <c r="K47" s="3"/>
      <c r="L47" s="24">
        <f>L29</f>
        <v>0</v>
      </c>
      <c r="M47" s="24">
        <f t="shared" ref="M47:AM47" si="13">M29</f>
        <v>0.23799999999999999</v>
      </c>
      <c r="N47" s="24">
        <f t="shared" si="13"/>
        <v>0.33300000000000002</v>
      </c>
      <c r="O47" s="24">
        <f t="shared" si="13"/>
        <v>0.439</v>
      </c>
      <c r="P47" s="24">
        <f t="shared" si="13"/>
        <v>0.42099999999999999</v>
      </c>
      <c r="Q47" s="24">
        <f t="shared" si="13"/>
        <v>0.375</v>
      </c>
      <c r="R47" s="24">
        <f t="shared" si="13"/>
        <v>0.37</v>
      </c>
      <c r="S47" s="24">
        <f t="shared" si="13"/>
        <v>0.35799999999999998</v>
      </c>
      <c r="T47" s="24">
        <f t="shared" si="13"/>
        <v>0.63800000000000001</v>
      </c>
      <c r="U47" s="24">
        <f t="shared" si="13"/>
        <v>0.54800000000000004</v>
      </c>
      <c r="V47" s="24">
        <f t="shared" si="13"/>
        <v>0.47299999999999998</v>
      </c>
      <c r="W47" s="24">
        <f t="shared" si="13"/>
        <v>0.40100000000000002</v>
      </c>
      <c r="X47" s="24">
        <f t="shared" si="13"/>
        <v>0.34499999999999997</v>
      </c>
      <c r="Y47" s="24">
        <f t="shared" si="13"/>
        <v>0.38700000000000001</v>
      </c>
      <c r="Z47" s="24">
        <f t="shared" si="13"/>
        <v>0.48499999999999999</v>
      </c>
      <c r="AA47" s="24">
        <f t="shared" si="13"/>
        <v>0.45800000000000002</v>
      </c>
      <c r="AB47" s="24">
        <f t="shared" si="13"/>
        <v>0.4</v>
      </c>
      <c r="AC47" s="24">
        <f t="shared" si="13"/>
        <v>0.68899999999999995</v>
      </c>
      <c r="AD47" s="24">
        <f t="shared" si="13"/>
        <v>0.32100000000000001</v>
      </c>
      <c r="AE47" s="24">
        <f t="shared" si="13"/>
        <v>0.28399999999999997</v>
      </c>
      <c r="AF47" s="24">
        <f t="shared" si="13"/>
        <v>0.223</v>
      </c>
      <c r="AG47" s="24">
        <f t="shared" si="13"/>
        <v>0.19900000000000001</v>
      </c>
      <c r="AH47" s="24">
        <f t="shared" si="13"/>
        <v>0.17799999999999999</v>
      </c>
      <c r="AI47" s="24">
        <f t="shared" si="13"/>
        <v>0.159</v>
      </c>
      <c r="AJ47" s="24">
        <f t="shared" si="13"/>
        <v>0.14099999999999999</v>
      </c>
      <c r="AK47" s="24">
        <f t="shared" si="13"/>
        <v>0.126</v>
      </c>
      <c r="AL47" s="24">
        <f t="shared" si="13"/>
        <v>0.11600000000000001</v>
      </c>
      <c r="AM47" s="24">
        <f t="shared" si="13"/>
        <v>0.115</v>
      </c>
    </row>
    <row r="48" spans="10:41" x14ac:dyDescent="0.25">
      <c r="J48" s="41" t="s">
        <v>175</v>
      </c>
      <c r="K48" s="3" t="s">
        <v>176</v>
      </c>
      <c r="L48" s="24">
        <f>L30+L31-L33+L34</f>
        <v>0</v>
      </c>
      <c r="M48" s="24">
        <f t="shared" ref="M48:AM48" si="14">M30+M31-M33+M34</f>
        <v>7.0000000000000001E-3</v>
      </c>
      <c r="N48" s="24">
        <f t="shared" si="14"/>
        <v>6.0000000000000001E-3</v>
      </c>
      <c r="O48" s="24">
        <f t="shared" si="14"/>
        <v>3.4942500000000001</v>
      </c>
      <c r="P48" s="24">
        <f t="shared" si="14"/>
        <v>3.6817500000000001</v>
      </c>
      <c r="Q48" s="24">
        <f t="shared" si="14"/>
        <v>3.32775</v>
      </c>
      <c r="R48" s="24">
        <f t="shared" si="14"/>
        <v>3.4432499999999999</v>
      </c>
      <c r="S48" s="24">
        <f t="shared" si="14"/>
        <v>3.6347031295814487</v>
      </c>
      <c r="T48" s="24">
        <f t="shared" si="14"/>
        <v>3.1487917448776939</v>
      </c>
      <c r="U48" s="24">
        <f t="shared" si="14"/>
        <v>2.6282652539935856</v>
      </c>
      <c r="V48" s="24">
        <f t="shared" si="14"/>
        <v>2.227754866449172</v>
      </c>
      <c r="W48" s="24">
        <f t="shared" si="14"/>
        <v>1.9034500189022538</v>
      </c>
      <c r="X48" s="24">
        <f t="shared" si="14"/>
        <v>1.6406246351861522</v>
      </c>
      <c r="Y48" s="24">
        <f t="shared" si="14"/>
        <v>1.4568090539781107</v>
      </c>
      <c r="Z48" s="24">
        <f t="shared" si="14"/>
        <v>1.4330140211788123</v>
      </c>
      <c r="AA48" s="24">
        <f t="shared" si="14"/>
        <v>1.3929537235662219</v>
      </c>
      <c r="AB48" s="24">
        <f t="shared" si="14"/>
        <v>1.225230402448187</v>
      </c>
      <c r="AC48" s="24">
        <f t="shared" si="14"/>
        <v>1.5345517921306844</v>
      </c>
      <c r="AD48" s="24">
        <f t="shared" si="14"/>
        <v>1.2509914936123316</v>
      </c>
      <c r="AE48" s="24">
        <f t="shared" si="14"/>
        <v>1.1425660429528994</v>
      </c>
      <c r="AF48" s="24">
        <f t="shared" si="14"/>
        <v>1.0519635715172915</v>
      </c>
      <c r="AG48" s="24">
        <f t="shared" si="14"/>
        <v>0.96352760967801432</v>
      </c>
      <c r="AH48" s="24">
        <f t="shared" si="14"/>
        <v>0.89596499916561523</v>
      </c>
      <c r="AI48" s="24">
        <f t="shared" si="14"/>
        <v>0.83259995120273855</v>
      </c>
      <c r="AJ48" s="24">
        <f t="shared" si="14"/>
        <v>0.77905290652319581</v>
      </c>
      <c r="AK48" s="24">
        <f t="shared" si="14"/>
        <v>0.73133934705821924</v>
      </c>
      <c r="AL48" s="24">
        <f t="shared" si="14"/>
        <v>0.69852391522146928</v>
      </c>
      <c r="AM48" s="24">
        <f t="shared" si="14"/>
        <v>0.71534802348030635</v>
      </c>
    </row>
    <row r="49" spans="10:39" x14ac:dyDescent="0.25">
      <c r="J49" s="39" t="s">
        <v>177</v>
      </c>
      <c r="L49" s="40">
        <f t="shared" ref="L49:AM49" si="15">SUM(L46:L48)</f>
        <v>0</v>
      </c>
      <c r="M49" s="40">
        <f t="shared" si="15"/>
        <v>1.8519999999999999</v>
      </c>
      <c r="N49" s="40">
        <f t="shared" si="15"/>
        <v>1.9279999999999999</v>
      </c>
      <c r="O49" s="40">
        <f t="shared" si="15"/>
        <v>5.5672499999999996</v>
      </c>
      <c r="P49" s="40">
        <f t="shared" si="15"/>
        <v>5.7917500000000004</v>
      </c>
      <c r="Q49" s="40">
        <f t="shared" si="15"/>
        <v>5.3667499999999997</v>
      </c>
      <c r="R49" s="40">
        <f t="shared" si="15"/>
        <v>5.46225</v>
      </c>
      <c r="S49" s="40">
        <f t="shared" si="15"/>
        <v>5.6167031295814489</v>
      </c>
      <c r="T49" s="40">
        <f t="shared" si="15"/>
        <v>5.4517917448776938</v>
      </c>
      <c r="U49" s="40">
        <f t="shared" si="15"/>
        <v>4.819265253993585</v>
      </c>
      <c r="V49" s="40">
        <f t="shared" si="15"/>
        <v>4.360754866449172</v>
      </c>
      <c r="W49" s="40">
        <f t="shared" si="15"/>
        <v>3.9834500189022539</v>
      </c>
      <c r="X49" s="40">
        <f t="shared" si="15"/>
        <v>3.6836246351861526</v>
      </c>
      <c r="Y49" s="40">
        <f t="shared" si="15"/>
        <v>3.2028090539781107</v>
      </c>
      <c r="Z49" s="40">
        <f t="shared" si="15"/>
        <v>3.2890140211788124</v>
      </c>
      <c r="AA49" s="40">
        <f t="shared" si="15"/>
        <v>3.2239537235662219</v>
      </c>
      <c r="AB49" s="40">
        <f t="shared" si="15"/>
        <v>2.8982304024481871</v>
      </c>
      <c r="AC49" s="40">
        <f t="shared" si="15"/>
        <v>3.5295517921306843</v>
      </c>
      <c r="AD49" s="40">
        <f t="shared" si="15"/>
        <v>2.7749914936123314</v>
      </c>
      <c r="AE49" s="40">
        <f t="shared" si="15"/>
        <v>2.6135660429528995</v>
      </c>
      <c r="AF49" s="40">
        <f t="shared" si="15"/>
        <v>2.4029635715172915</v>
      </c>
      <c r="AG49" s="40">
        <f t="shared" si="15"/>
        <v>2.8765276096780141</v>
      </c>
      <c r="AH49" s="40">
        <f t="shared" si="15"/>
        <v>2.7959649991656153</v>
      </c>
      <c r="AI49" s="40">
        <f t="shared" si="15"/>
        <v>2.7625999512027386</v>
      </c>
      <c r="AJ49" s="40">
        <f t="shared" si="15"/>
        <v>2.716052906523196</v>
      </c>
      <c r="AK49" s="40">
        <f t="shared" si="15"/>
        <v>2.5903393470582192</v>
      </c>
      <c r="AL49" s="40">
        <f t="shared" si="15"/>
        <v>2.4815239152214694</v>
      </c>
      <c r="AM49" s="40">
        <f t="shared" si="15"/>
        <v>2.4343480234803065</v>
      </c>
    </row>
    <row r="50" spans="10:39" x14ac:dyDescent="0.25">
      <c r="J50" s="39" t="s">
        <v>178</v>
      </c>
      <c r="K50" s="1"/>
      <c r="L50" s="40">
        <f>VLOOKUP($J50,[1]output!$A$9:$AI$2200,L$1-$L$1+2)</f>
        <v>0</v>
      </c>
      <c r="M50" s="40">
        <f>VLOOKUP($J50,[1]output!$A$9:$AI$2200,M$1-$L$1+2)</f>
        <v>0.98</v>
      </c>
      <c r="N50" s="40">
        <f>VLOOKUP($J50,[1]output!$A$9:$AI$2200,N$1-$L$1+2)</f>
        <v>0.97</v>
      </c>
      <c r="O50" s="40">
        <f>VLOOKUP($J50,[1]output!$A$9:$AI$2200,O$1-$L$1+2)</f>
        <v>1.587</v>
      </c>
      <c r="P50" s="40">
        <f>VLOOKUP($J50,[1]output!$A$9:$AI$2200,P$1-$L$1+2)</f>
        <v>1.5649999999999999</v>
      </c>
      <c r="Q50" s="40">
        <f>VLOOKUP($J50,[1]output!$A$9:$AI$2200,Q$1-$L$1+2)</f>
        <v>1.4259999999999999</v>
      </c>
      <c r="R50" s="40">
        <f>VLOOKUP($J50,[1]output!$A$9:$AI$2200,R$1-$L$1+2)</f>
        <v>1.4390000000000001</v>
      </c>
      <c r="S50" s="40">
        <f>VLOOKUP($J50,[1]output!$A$9:$AI$2200,S$1-$L$1+2)</f>
        <v>1.4039999999999999</v>
      </c>
      <c r="T50" s="40">
        <f>VLOOKUP($J50,[1]output!$A$9:$AI$2200,T$1-$L$1+2)</f>
        <v>1.554</v>
      </c>
      <c r="U50" s="40">
        <f>VLOOKUP($J50,[1]output!$A$9:$AI$2200,U$1-$L$1+2)</f>
        <v>1.377</v>
      </c>
      <c r="V50" s="40">
        <f>VLOOKUP($J50,[1]output!$A$9:$AI$2200,V$1-$L$1+2)</f>
        <v>1.2669999999999999</v>
      </c>
      <c r="W50" s="40">
        <f>VLOOKUP($J50,[1]output!$A$9:$AI$2200,W$1-$L$1+2)</f>
        <v>1.2110000000000001</v>
      </c>
      <c r="X50" s="40">
        <f>VLOOKUP($J50,[1]output!$A$9:$AI$2200,X$1-$L$1+2)</f>
        <v>1.127</v>
      </c>
      <c r="Y50" s="40">
        <f>VLOOKUP($J50,[1]output!$A$9:$AI$2200,Y$1-$L$1+2)</f>
        <v>1.103</v>
      </c>
      <c r="Z50" s="40">
        <f>VLOOKUP($J50,[1]output!$A$9:$AI$2200,Z$1-$L$1+2)</f>
        <v>1.45</v>
      </c>
      <c r="AA50" s="40">
        <f>VLOOKUP($J50,[1]output!$A$9:$AI$2200,AA$1-$L$1+2)</f>
        <v>1.4059999999999999</v>
      </c>
      <c r="AB50" s="40">
        <f>VLOOKUP($J50,[1]output!$A$9:$AI$2200,AB$1-$L$1+2)</f>
        <v>1.34</v>
      </c>
      <c r="AC50" s="40">
        <f>VLOOKUP($J50,[1]output!$A$9:$AI$2200,AC$1-$L$1+2)</f>
        <v>1.8140000000000001</v>
      </c>
      <c r="AD50" s="40">
        <f>VLOOKUP($J50,[1]output!$A$9:$AI$2200,AD$1-$L$1+2)</f>
        <v>1.421</v>
      </c>
      <c r="AE50" s="40">
        <f>VLOOKUP($J50,[1]output!$A$9:$AI$2200,AE$1-$L$1+2)</f>
        <v>1.339</v>
      </c>
      <c r="AF50" s="40">
        <f>VLOOKUP($J50,[1]output!$A$9:$AI$2200,AF$1-$L$1+2)</f>
        <v>1.1819999999999999</v>
      </c>
      <c r="AG50" s="40">
        <f>VLOOKUP($J50,[1]output!$A$9:$AI$2200,AG$1-$L$1+2)</f>
        <v>1.1639999999999999</v>
      </c>
      <c r="AH50" s="40">
        <f>VLOOKUP($J50,[1]output!$A$9:$AI$2200,AH$1-$L$1+2)</f>
        <v>1.105</v>
      </c>
      <c r="AI50" s="40">
        <f>VLOOKUP($J50,[1]output!$A$9:$AI$2200,AI$1-$L$1+2)</f>
        <v>1.0509999999999999</v>
      </c>
      <c r="AJ50" s="40">
        <f>VLOOKUP($J50,[1]output!$A$9:$AI$2200,AJ$1-$L$1+2)</f>
        <v>1</v>
      </c>
      <c r="AK50" s="40">
        <f>VLOOKUP($J50,[1]output!$A$9:$AI$2200,AK$1-$L$1+2)</f>
        <v>0.95399999999999996</v>
      </c>
      <c r="AL50" s="40">
        <f>VLOOKUP($J50,[1]output!$A$9:$AI$2200,AL$1-$L$1+2)</f>
        <v>0.91</v>
      </c>
      <c r="AM50" s="40">
        <f>VLOOKUP($J50,[1]output!$A$9:$AI$2200,AM$1-$L$1+2)</f>
        <v>0.89400000000000002</v>
      </c>
    </row>
    <row r="51" spans="10:39" ht="15.75" thickBot="1" x14ac:dyDescent="0.3">
      <c r="J51" s="42" t="s">
        <v>179</v>
      </c>
      <c r="K51" s="43"/>
      <c r="L51" s="44">
        <f t="shared" ref="L51:AM51" si="16">L32</f>
        <v>0</v>
      </c>
      <c r="M51" s="44">
        <f t="shared" si="16"/>
        <v>0</v>
      </c>
      <c r="N51" s="44">
        <f t="shared" si="16"/>
        <v>9.0999999999999998E-2</v>
      </c>
      <c r="O51" s="44">
        <f t="shared" si="16"/>
        <v>0.19900000000000001</v>
      </c>
      <c r="P51" s="44">
        <f t="shared" si="16"/>
        <v>0.20599999999999999</v>
      </c>
      <c r="Q51" s="44">
        <f t="shared" si="16"/>
        <v>0.20699999999999999</v>
      </c>
      <c r="R51" s="44">
        <f t="shared" si="16"/>
        <v>0.22600000000000001</v>
      </c>
      <c r="S51" s="44">
        <f t="shared" si="16"/>
        <v>0.22900000000000001</v>
      </c>
      <c r="T51" s="44">
        <f t="shared" si="16"/>
        <v>0.316</v>
      </c>
      <c r="U51" s="44">
        <f t="shared" si="16"/>
        <v>0.28999999999999998</v>
      </c>
      <c r="V51" s="44">
        <f t="shared" si="16"/>
        <v>0.27200000000000002</v>
      </c>
      <c r="W51" s="44">
        <f t="shared" si="16"/>
        <v>0.253</v>
      </c>
      <c r="X51" s="44">
        <f t="shared" si="16"/>
        <v>0.24</v>
      </c>
      <c r="Y51" s="44">
        <f t="shared" si="16"/>
        <v>0.20200000000000001</v>
      </c>
      <c r="Z51" s="44">
        <f t="shared" si="16"/>
        <v>0.22600000000000001</v>
      </c>
      <c r="AA51" s="44">
        <f t="shared" si="16"/>
        <v>0.218</v>
      </c>
      <c r="AB51" s="44">
        <f t="shared" si="16"/>
        <v>0.19</v>
      </c>
      <c r="AC51" s="44">
        <f t="shared" si="16"/>
        <v>0.27100000000000002</v>
      </c>
      <c r="AD51" s="44">
        <f t="shared" si="16"/>
        <v>0.153</v>
      </c>
      <c r="AE51" s="44">
        <f t="shared" si="16"/>
        <v>0.14000000000000001</v>
      </c>
      <c r="AF51" s="44">
        <f t="shared" si="16"/>
        <v>0.112</v>
      </c>
      <c r="AG51" s="44">
        <f t="shared" si="16"/>
        <v>0.111</v>
      </c>
      <c r="AH51" s="44">
        <f t="shared" si="16"/>
        <v>0.104</v>
      </c>
      <c r="AI51" s="44">
        <f t="shared" si="16"/>
        <v>0.1</v>
      </c>
      <c r="AJ51" s="44">
        <f t="shared" si="16"/>
        <v>9.4E-2</v>
      </c>
      <c r="AK51" s="44">
        <f t="shared" si="16"/>
        <v>8.6999999999999994E-2</v>
      </c>
      <c r="AL51" s="44">
        <f t="shared" si="16"/>
        <v>8.1000000000000003E-2</v>
      </c>
      <c r="AM51" s="44">
        <f t="shared" si="16"/>
        <v>7.8E-2</v>
      </c>
    </row>
    <row r="54" spans="10:39" x14ac:dyDescent="0.25">
      <c r="J54" s="1" t="s">
        <v>180</v>
      </c>
    </row>
    <row r="55" spans="10:39" x14ac:dyDescent="0.25"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0:39" x14ac:dyDescent="0.25">
      <c r="J56" t="s">
        <v>181</v>
      </c>
      <c r="K56" t="s">
        <v>182</v>
      </c>
      <c r="L56" s="2">
        <f>VLOOKUP($J56,[1]output!$A$9:$AI$2200,L$1-$L$1+2)</f>
        <v>0</v>
      </c>
      <c r="M56" s="2">
        <f>VLOOKUP($J56,[1]output!$A$9:$AI$2200,M$1-$L$1+2)</f>
        <v>2408.6390000000001</v>
      </c>
      <c r="N56" s="2">
        <f>VLOOKUP($J56,[1]output!$A$9:$AI$2200,N$1-$L$1+2)</f>
        <v>2437.002</v>
      </c>
      <c r="O56" s="2">
        <f>VLOOKUP($J56,[1]output!$A$9:$AI$2200,O$1-$L$1+2)</f>
        <v>2707.07</v>
      </c>
      <c r="P56" s="2">
        <f>VLOOKUP($J56,[1]output!$A$9:$AI$2200,P$1-$L$1+2)</f>
        <v>2726.9679999999998</v>
      </c>
      <c r="Q56" s="2">
        <f>VLOOKUP($J56,[1]output!$A$9:$AI$2200,Q$1-$L$1+2)</f>
        <v>2703.2040000000002</v>
      </c>
      <c r="R56" s="2">
        <f>VLOOKUP($J56,[1]output!$A$9:$AI$2200,R$1-$L$1+2)</f>
        <v>2707.8440000000001</v>
      </c>
      <c r="S56" s="2">
        <f>VLOOKUP($J56,[1]output!$A$9:$AI$2200,S$1-$L$1+2)</f>
        <v>2688.9090000000001</v>
      </c>
      <c r="T56" s="2">
        <f>VLOOKUP($J56,[1]output!$A$9:$AI$2200,T$1-$L$1+2)</f>
        <v>2862.79</v>
      </c>
      <c r="U56" s="2">
        <f>VLOOKUP($J56,[1]output!$A$9:$AI$2200,U$1-$L$1+2)</f>
        <v>2756.395</v>
      </c>
      <c r="V56" s="2">
        <f>VLOOKUP($J56,[1]output!$A$9:$AI$2200,V$1-$L$1+2)</f>
        <v>2701.6990000000001</v>
      </c>
      <c r="W56" s="2">
        <f>VLOOKUP($J56,[1]output!$A$9:$AI$2200,W$1-$L$1+2)</f>
        <v>2693.6689999999999</v>
      </c>
      <c r="X56" s="2">
        <f>VLOOKUP($J56,[1]output!$A$9:$AI$2200,X$1-$L$1+2)</f>
        <v>2653.4319999999998</v>
      </c>
      <c r="Y56" s="2">
        <f>VLOOKUP($J56,[1]output!$A$9:$AI$2200,Y$1-$L$1+2)</f>
        <v>2375.625</v>
      </c>
      <c r="Z56" s="2">
        <f>VLOOKUP($J56,[1]output!$A$9:$AI$2200,Z$1-$L$1+2)</f>
        <v>2731.2890000000002</v>
      </c>
      <c r="AA56" s="2">
        <f>VLOOKUP($J56,[1]output!$A$9:$AI$2200,AA$1-$L$1+2)</f>
        <v>2676.4859999999999</v>
      </c>
      <c r="AB56" s="2">
        <f>VLOOKUP($J56,[1]output!$A$9:$AI$2200,AB$1-$L$1+2)</f>
        <v>2466.4029999999998</v>
      </c>
      <c r="AC56" s="2">
        <f>VLOOKUP($J56,[1]output!$A$9:$AI$2200,AC$1-$L$1+2)</f>
        <v>2722.0390000000002</v>
      </c>
      <c r="AD56" s="2">
        <f>VLOOKUP($J56,[1]output!$A$9:$AI$2200,AD$1-$L$1+2)</f>
        <v>2421.0749999999998</v>
      </c>
      <c r="AE56" s="2">
        <f>VLOOKUP($J56,[1]output!$A$9:$AI$2200,AE$1-$L$1+2)</f>
        <v>2366.7350000000001</v>
      </c>
      <c r="AF56" s="2">
        <f>VLOOKUP($J56,[1]output!$A$9:$AI$2200,AF$1-$L$1+2)</f>
        <v>2163.5079999999998</v>
      </c>
      <c r="AG56" s="2">
        <f>VLOOKUP($J56,[1]output!$A$9:$AI$2200,AG$1-$L$1+2)</f>
        <v>2501.2570000000001</v>
      </c>
      <c r="AH56" s="2">
        <f>VLOOKUP($J56,[1]output!$A$9:$AI$2200,AH$1-$L$1+2)</f>
        <v>2303.828</v>
      </c>
      <c r="AI56" s="2">
        <f>VLOOKUP($J56,[1]output!$A$9:$AI$2200,AI$1-$L$1+2)</f>
        <v>2505.3580000000002</v>
      </c>
      <c r="AJ56" s="2">
        <f>VLOOKUP($J56,[1]output!$A$9:$AI$2200,AJ$1-$L$1+2)</f>
        <v>2359.5079999999998</v>
      </c>
      <c r="AK56" s="2">
        <f>VLOOKUP($J56,[1]output!$A$9:$AI$2200,AK$1-$L$1+2)</f>
        <v>2420.297</v>
      </c>
      <c r="AL56" s="2">
        <f>VLOOKUP($J56,[1]output!$A$9:$AI$2200,AL$1-$L$1+2)</f>
        <v>2503.201</v>
      </c>
      <c r="AM56" s="2">
        <f>VLOOKUP($J56,[1]output!$A$9:$AI$2200,AM$1-$L$1+2)</f>
        <v>2580.2840000000001</v>
      </c>
    </row>
    <row r="57" spans="10:39" x14ac:dyDescent="0.25">
      <c r="J57" s="29" t="s">
        <v>183</v>
      </c>
      <c r="L57" s="2">
        <f>VLOOKUP($J57,[1]output!$A$9:$AI$2200,L$1-$L$1+2)</f>
        <v>0</v>
      </c>
      <c r="M57" s="2">
        <f>VLOOKUP($J57,[1]output!$A$9:$AI$2200,M$1-$L$1+2)</f>
        <v>1256.951</v>
      </c>
      <c r="N57" s="2">
        <f>VLOOKUP($J57,[1]output!$A$9:$AI$2200,N$1-$L$1+2)</f>
        <v>1241.925</v>
      </c>
      <c r="O57" s="2">
        <f>VLOOKUP($J57,[1]output!$A$9:$AI$2200,O$1-$L$1+2)</f>
        <v>0</v>
      </c>
      <c r="P57" s="2">
        <f>VLOOKUP($J57,[1]output!$A$9:$AI$2200,P$1-$L$1+2)</f>
        <v>0</v>
      </c>
      <c r="Q57" s="2">
        <f>VLOOKUP($J57,[1]output!$A$9:$AI$2200,Q$1-$L$1+2)</f>
        <v>0</v>
      </c>
      <c r="R57" s="2">
        <f>VLOOKUP($J57,[1]output!$A$9:$AI$2200,R$1-$L$1+2)</f>
        <v>0</v>
      </c>
      <c r="S57" s="2">
        <f>VLOOKUP($J57,[1]output!$A$9:$AI$2200,S$1-$L$1+2)</f>
        <v>0</v>
      </c>
      <c r="T57" s="2">
        <f>VLOOKUP($J57,[1]output!$A$9:$AI$2200,T$1-$L$1+2)</f>
        <v>0</v>
      </c>
      <c r="U57" s="2">
        <f>VLOOKUP($J57,[1]output!$A$9:$AI$2200,U$1-$L$1+2)</f>
        <v>0</v>
      </c>
      <c r="V57" s="2">
        <f>VLOOKUP($J57,[1]output!$A$9:$AI$2200,V$1-$L$1+2)</f>
        <v>0</v>
      </c>
      <c r="W57" s="2">
        <f>VLOOKUP($J57,[1]output!$A$9:$AI$2200,W$1-$L$1+2)</f>
        <v>0</v>
      </c>
      <c r="X57" s="2">
        <f>VLOOKUP($J57,[1]output!$A$9:$AI$2200,X$1-$L$1+2)</f>
        <v>0</v>
      </c>
      <c r="Y57" s="2">
        <f>VLOOKUP($J57,[1]output!$A$9:$AI$2200,Y$1-$L$1+2)</f>
        <v>0</v>
      </c>
      <c r="Z57" s="2">
        <f>VLOOKUP($J57,[1]output!$A$9:$AI$2200,Z$1-$L$1+2)</f>
        <v>0</v>
      </c>
      <c r="AA57" s="2">
        <f>VLOOKUP($J57,[1]output!$A$9:$AI$2200,AA$1-$L$1+2)</f>
        <v>0</v>
      </c>
      <c r="AB57" s="2">
        <f>VLOOKUP($J57,[1]output!$A$9:$AI$2200,AB$1-$L$1+2)</f>
        <v>0</v>
      </c>
      <c r="AC57" s="2">
        <f>VLOOKUP($J57,[1]output!$A$9:$AI$2200,AC$1-$L$1+2)</f>
        <v>0</v>
      </c>
      <c r="AD57" s="2">
        <f>VLOOKUP($J57,[1]output!$A$9:$AI$2200,AD$1-$L$1+2)</f>
        <v>0</v>
      </c>
      <c r="AE57" s="2">
        <f>VLOOKUP($J57,[1]output!$A$9:$AI$2200,AE$1-$L$1+2)</f>
        <v>0</v>
      </c>
      <c r="AF57" s="2">
        <f>VLOOKUP($J57,[1]output!$A$9:$AI$2200,AF$1-$L$1+2)</f>
        <v>0</v>
      </c>
      <c r="AG57" s="2">
        <f>VLOOKUP($J57,[1]output!$A$9:$AI$2200,AG$1-$L$1+2)</f>
        <v>0</v>
      </c>
      <c r="AH57" s="2">
        <f>VLOOKUP($J57,[1]output!$A$9:$AI$2200,AH$1-$L$1+2)</f>
        <v>0</v>
      </c>
      <c r="AI57" s="2">
        <f>VLOOKUP($J57,[1]output!$A$9:$AI$2200,AI$1-$L$1+2)</f>
        <v>0</v>
      </c>
      <c r="AJ57" s="2">
        <f>VLOOKUP($J57,[1]output!$A$9:$AI$2200,AJ$1-$L$1+2)</f>
        <v>0</v>
      </c>
      <c r="AK57" s="2">
        <f>VLOOKUP($J57,[1]output!$A$9:$AI$2200,AK$1-$L$1+2)</f>
        <v>0</v>
      </c>
      <c r="AL57" s="2">
        <f>VLOOKUP($J57,[1]output!$A$9:$AI$2200,AL$1-$L$1+2)</f>
        <v>0</v>
      </c>
      <c r="AM57" s="2">
        <f>VLOOKUP($J57,[1]output!$A$9:$AI$2200,AM$1-$L$1+2)</f>
        <v>0</v>
      </c>
    </row>
    <row r="58" spans="10:39" x14ac:dyDescent="0.25">
      <c r="J58" s="29" t="s">
        <v>184</v>
      </c>
      <c r="L58" s="2">
        <f>VLOOKUP($J58,[1]output!$A$9:$AI$2200,L$1-$L$1+2)</f>
        <v>0</v>
      </c>
      <c r="M58" s="2">
        <f>VLOOKUP($J58,[1]output!$A$9:$AI$2200,M$1-$L$1+2)</f>
        <v>0</v>
      </c>
      <c r="N58" s="2">
        <f>VLOOKUP($J58,[1]output!$A$9:$AI$2200,N$1-$L$1+2)</f>
        <v>0</v>
      </c>
      <c r="O58" s="2">
        <f>VLOOKUP($J58,[1]output!$A$9:$AI$2200,O$1-$L$1+2)</f>
        <v>977.14</v>
      </c>
      <c r="P58" s="2">
        <f>VLOOKUP($J58,[1]output!$A$9:$AI$2200,P$1-$L$1+2)</f>
        <v>976.49300000000005</v>
      </c>
      <c r="Q58" s="2">
        <f>VLOOKUP($J58,[1]output!$A$9:$AI$2200,Q$1-$L$1+2)</f>
        <v>973.71199999999999</v>
      </c>
      <c r="R58" s="2">
        <f>VLOOKUP($J58,[1]output!$A$9:$AI$2200,R$1-$L$1+2)</f>
        <v>973.35599999999999</v>
      </c>
      <c r="S58" s="2">
        <f>VLOOKUP($J58,[1]output!$A$9:$AI$2200,S$1-$L$1+2)</f>
        <v>973.11500000000001</v>
      </c>
      <c r="T58" s="2">
        <f>VLOOKUP($J58,[1]output!$A$9:$AI$2200,T$1-$L$1+2)</f>
        <v>975.20899999999995</v>
      </c>
      <c r="U58" s="2">
        <f>VLOOKUP($J58,[1]output!$A$9:$AI$2200,U$1-$L$1+2)</f>
        <v>975.18799999999999</v>
      </c>
      <c r="V58" s="2">
        <f>VLOOKUP($J58,[1]output!$A$9:$AI$2200,V$1-$L$1+2)</f>
        <v>976.89200000000005</v>
      </c>
      <c r="W58" s="2">
        <f>VLOOKUP($J58,[1]output!$A$9:$AI$2200,W$1-$L$1+2)</f>
        <v>977.73</v>
      </c>
      <c r="X58" s="2">
        <f>VLOOKUP($J58,[1]output!$A$9:$AI$2200,X$1-$L$1+2)</f>
        <v>978.00199999999995</v>
      </c>
      <c r="Y58" s="2">
        <f>VLOOKUP($J58,[1]output!$A$9:$AI$2200,Y$1-$L$1+2)</f>
        <v>806.43200000000002</v>
      </c>
      <c r="Z58" s="2">
        <f>VLOOKUP($J58,[1]output!$A$9:$AI$2200,Z$1-$L$1+2)</f>
        <v>803.976</v>
      </c>
      <c r="AA58" s="2">
        <f>VLOOKUP($J58,[1]output!$A$9:$AI$2200,AA$1-$L$1+2)</f>
        <v>800.25699999999995</v>
      </c>
      <c r="AB58" s="2">
        <f>VLOOKUP($J58,[1]output!$A$9:$AI$2200,AB$1-$L$1+2)</f>
        <v>715.78399999999999</v>
      </c>
      <c r="AC58" s="2">
        <f>VLOOKUP($J58,[1]output!$A$9:$AI$2200,AC$1-$L$1+2)</f>
        <v>739.173</v>
      </c>
      <c r="AD58" s="2">
        <f>VLOOKUP($J58,[1]output!$A$9:$AI$2200,AD$1-$L$1+2)</f>
        <v>671.23299999999995</v>
      </c>
      <c r="AE58" s="2">
        <f>VLOOKUP($J58,[1]output!$A$9:$AI$2200,AE$1-$L$1+2)</f>
        <v>666.77599999999995</v>
      </c>
      <c r="AF58" s="2">
        <f>VLOOKUP($J58,[1]output!$A$9:$AI$2200,AF$1-$L$1+2)</f>
        <v>624.11199999999997</v>
      </c>
      <c r="AG58" s="2">
        <f>VLOOKUP($J58,[1]output!$A$9:$AI$2200,AG$1-$L$1+2)</f>
        <v>827.428</v>
      </c>
      <c r="AH58" s="2">
        <f>VLOOKUP($J58,[1]output!$A$9:$AI$2200,AH$1-$L$1+2)</f>
        <v>783.41</v>
      </c>
      <c r="AI58" s="2">
        <f>VLOOKUP($J58,[1]output!$A$9:$AI$2200,AI$1-$L$1+2)</f>
        <v>862.803</v>
      </c>
      <c r="AJ58" s="2">
        <f>VLOOKUP($J58,[1]output!$A$9:$AI$2200,AJ$1-$L$1+2)</f>
        <v>833.43600000000004</v>
      </c>
      <c r="AK58" s="2">
        <f>VLOOKUP($J58,[1]output!$A$9:$AI$2200,AK$1-$L$1+2)</f>
        <v>846.93100000000004</v>
      </c>
      <c r="AL58" s="2">
        <f>VLOOKUP($J58,[1]output!$A$9:$AI$2200,AL$1-$L$1+2)</f>
        <v>865.37699999999995</v>
      </c>
      <c r="AM58" s="2">
        <f>VLOOKUP($J58,[1]output!$A$9:$AI$2200,AM$1-$L$1+2)</f>
        <v>879.62</v>
      </c>
    </row>
    <row r="59" spans="10:39" x14ac:dyDescent="0.25">
      <c r="K59" s="45" t="s">
        <v>185</v>
      </c>
      <c r="L59" s="46">
        <f>SUM(L57:L58)</f>
        <v>0</v>
      </c>
      <c r="M59" s="46">
        <f t="shared" ref="M59:AM59" si="17">SUM(M57:M58)</f>
        <v>1256.951</v>
      </c>
      <c r="N59" s="46">
        <f t="shared" si="17"/>
        <v>1241.925</v>
      </c>
      <c r="O59" s="46">
        <f t="shared" si="17"/>
        <v>977.14</v>
      </c>
      <c r="P59" s="46">
        <f t="shared" si="17"/>
        <v>976.49300000000005</v>
      </c>
      <c r="Q59" s="46">
        <f t="shared" si="17"/>
        <v>973.71199999999999</v>
      </c>
      <c r="R59" s="46">
        <f t="shared" si="17"/>
        <v>973.35599999999999</v>
      </c>
      <c r="S59" s="46">
        <f t="shared" si="17"/>
        <v>973.11500000000001</v>
      </c>
      <c r="T59" s="46">
        <f t="shared" si="17"/>
        <v>975.20899999999995</v>
      </c>
      <c r="U59" s="46">
        <f t="shared" si="17"/>
        <v>975.18799999999999</v>
      </c>
      <c r="V59" s="46">
        <f t="shared" si="17"/>
        <v>976.89200000000005</v>
      </c>
      <c r="W59" s="46">
        <f t="shared" si="17"/>
        <v>977.73</v>
      </c>
      <c r="X59" s="46">
        <f t="shared" si="17"/>
        <v>978.00199999999995</v>
      </c>
      <c r="Y59" s="46">
        <f t="shared" si="17"/>
        <v>806.43200000000002</v>
      </c>
      <c r="Z59" s="46">
        <f t="shared" si="17"/>
        <v>803.976</v>
      </c>
      <c r="AA59" s="46">
        <f t="shared" si="17"/>
        <v>800.25699999999995</v>
      </c>
      <c r="AB59" s="46">
        <f t="shared" si="17"/>
        <v>715.78399999999999</v>
      </c>
      <c r="AC59" s="46">
        <f t="shared" si="17"/>
        <v>739.173</v>
      </c>
      <c r="AD59" s="46">
        <f t="shared" si="17"/>
        <v>671.23299999999995</v>
      </c>
      <c r="AE59" s="46">
        <f t="shared" si="17"/>
        <v>666.77599999999995</v>
      </c>
      <c r="AF59" s="46">
        <f t="shared" si="17"/>
        <v>624.11199999999997</v>
      </c>
      <c r="AG59" s="46">
        <f t="shared" si="17"/>
        <v>827.428</v>
      </c>
      <c r="AH59" s="46">
        <f t="shared" si="17"/>
        <v>783.41</v>
      </c>
      <c r="AI59" s="46">
        <f t="shared" si="17"/>
        <v>862.803</v>
      </c>
      <c r="AJ59" s="46">
        <f t="shared" si="17"/>
        <v>833.43600000000004</v>
      </c>
      <c r="AK59" s="46">
        <f t="shared" si="17"/>
        <v>846.93100000000004</v>
      </c>
      <c r="AL59" s="46">
        <f t="shared" si="17"/>
        <v>865.37699999999995</v>
      </c>
      <c r="AM59" s="46">
        <f t="shared" si="17"/>
        <v>879.62</v>
      </c>
    </row>
    <row r="60" spans="10:39" x14ac:dyDescent="0.25">
      <c r="J60" s="35" t="s">
        <v>186</v>
      </c>
      <c r="L60" s="2">
        <f>VLOOKUP($J60,[1]output!$A$9:$AI$2200,L$1-$L$1+2)</f>
        <v>0</v>
      </c>
      <c r="M60" s="2">
        <f>VLOOKUP($J60,[1]output!$A$9:$AI$2200,M$1-$L$1+2)</f>
        <v>53.749000000000002</v>
      </c>
      <c r="N60" s="2">
        <f>VLOOKUP($J60,[1]output!$A$9:$AI$2200,N$1-$L$1+2)</f>
        <v>52.073999999999998</v>
      </c>
      <c r="O60" s="2">
        <f>VLOOKUP($J60,[1]output!$A$9:$AI$2200,O$1-$L$1+2)</f>
        <v>0</v>
      </c>
      <c r="P60" s="2">
        <f>VLOOKUP($J60,[1]output!$A$9:$AI$2200,P$1-$L$1+2)</f>
        <v>0</v>
      </c>
      <c r="Q60" s="2">
        <f>VLOOKUP($J60,[1]output!$A$9:$AI$2200,Q$1-$L$1+2)</f>
        <v>0</v>
      </c>
      <c r="R60" s="2">
        <f>VLOOKUP($J60,[1]output!$A$9:$AI$2200,R$1-$L$1+2)</f>
        <v>0</v>
      </c>
      <c r="S60" s="2">
        <f>VLOOKUP($J60,[1]output!$A$9:$AI$2200,S$1-$L$1+2)</f>
        <v>0</v>
      </c>
      <c r="T60" s="2">
        <f>VLOOKUP($J60,[1]output!$A$9:$AI$2200,T$1-$L$1+2)</f>
        <v>0</v>
      </c>
      <c r="U60" s="2">
        <f>VLOOKUP($J60,[1]output!$A$9:$AI$2200,U$1-$L$1+2)</f>
        <v>0</v>
      </c>
      <c r="V60" s="2">
        <f>VLOOKUP($J60,[1]output!$A$9:$AI$2200,V$1-$L$1+2)</f>
        <v>0</v>
      </c>
      <c r="W60" s="2">
        <f>VLOOKUP($J60,[1]output!$A$9:$AI$2200,W$1-$L$1+2)</f>
        <v>0</v>
      </c>
      <c r="X60" s="2">
        <f>VLOOKUP($J60,[1]output!$A$9:$AI$2200,X$1-$L$1+2)</f>
        <v>0</v>
      </c>
      <c r="Y60" s="2">
        <f>VLOOKUP($J60,[1]output!$A$9:$AI$2200,Y$1-$L$1+2)</f>
        <v>0</v>
      </c>
      <c r="Z60" s="2">
        <f>VLOOKUP($J60,[1]output!$A$9:$AI$2200,Z$1-$L$1+2)</f>
        <v>0</v>
      </c>
      <c r="AA60" s="2">
        <f>VLOOKUP($J60,[1]output!$A$9:$AI$2200,AA$1-$L$1+2)</f>
        <v>0</v>
      </c>
      <c r="AB60" s="2">
        <f>VLOOKUP($J60,[1]output!$A$9:$AI$2200,AB$1-$L$1+2)</f>
        <v>0</v>
      </c>
      <c r="AC60" s="2">
        <f>VLOOKUP($J60,[1]output!$A$9:$AI$2200,AC$1-$L$1+2)</f>
        <v>0</v>
      </c>
      <c r="AD60" s="2">
        <f>VLOOKUP($J60,[1]output!$A$9:$AI$2200,AD$1-$L$1+2)</f>
        <v>0</v>
      </c>
      <c r="AE60" s="2">
        <f>VLOOKUP($J60,[1]output!$A$9:$AI$2200,AE$1-$L$1+2)</f>
        <v>0</v>
      </c>
      <c r="AF60" s="2">
        <f>VLOOKUP($J60,[1]output!$A$9:$AI$2200,AF$1-$L$1+2)</f>
        <v>0</v>
      </c>
      <c r="AG60" s="2">
        <f>VLOOKUP($J60,[1]output!$A$9:$AI$2200,AG$1-$L$1+2)</f>
        <v>0</v>
      </c>
      <c r="AH60" s="2">
        <f>VLOOKUP($J60,[1]output!$A$9:$AI$2200,AH$1-$L$1+2)</f>
        <v>0</v>
      </c>
      <c r="AI60" s="2">
        <f>VLOOKUP($J60,[1]output!$A$9:$AI$2200,AI$1-$L$1+2)</f>
        <v>0</v>
      </c>
      <c r="AJ60" s="2">
        <f>VLOOKUP($J60,[1]output!$A$9:$AI$2200,AJ$1-$L$1+2)</f>
        <v>0</v>
      </c>
      <c r="AK60" s="2">
        <f>VLOOKUP($J60,[1]output!$A$9:$AI$2200,AK$1-$L$1+2)</f>
        <v>0</v>
      </c>
      <c r="AL60" s="2">
        <f>VLOOKUP($J60,[1]output!$A$9:$AI$2200,AL$1-$L$1+2)</f>
        <v>0</v>
      </c>
      <c r="AM60" s="2">
        <f>VLOOKUP($J60,[1]output!$A$9:$AI$2200,AM$1-$L$1+2)</f>
        <v>0</v>
      </c>
    </row>
    <row r="61" spans="10:39" x14ac:dyDescent="0.25">
      <c r="J61" s="35" t="s">
        <v>187</v>
      </c>
      <c r="L61" s="2">
        <f>VLOOKUP($J61,[1]output!$A$9:$AI$2200,L$1-$L$1+2)</f>
        <v>0</v>
      </c>
      <c r="M61" s="2">
        <f>VLOOKUP($J61,[1]output!$A$9:$AI$2200,M$1-$L$1+2)</f>
        <v>0</v>
      </c>
      <c r="N61" s="2">
        <f>VLOOKUP($J61,[1]output!$A$9:$AI$2200,N$1-$L$1+2)</f>
        <v>0</v>
      </c>
      <c r="O61" s="2">
        <f>VLOOKUP($J61,[1]output!$A$9:$AI$2200,O$1-$L$1+2)</f>
        <v>422.05700000000002</v>
      </c>
      <c r="P61" s="2">
        <f>VLOOKUP($J61,[1]output!$A$9:$AI$2200,P$1-$L$1+2)</f>
        <v>407.67700000000002</v>
      </c>
      <c r="Q61" s="2">
        <f>VLOOKUP($J61,[1]output!$A$9:$AI$2200,Q$1-$L$1+2)</f>
        <v>354.31400000000002</v>
      </c>
      <c r="R61" s="2">
        <f>VLOOKUP($J61,[1]output!$A$9:$AI$2200,R$1-$L$1+2)</f>
        <v>351.43799999999999</v>
      </c>
      <c r="S61" s="2">
        <f>VLOOKUP($J61,[1]output!$A$9:$AI$2200,S$1-$L$1+2)</f>
        <v>341.28500000000003</v>
      </c>
      <c r="T61" s="2">
        <f>VLOOKUP($J61,[1]output!$A$9:$AI$2200,T$1-$L$1+2)</f>
        <v>316.37099999999998</v>
      </c>
      <c r="U61" s="2">
        <f>VLOOKUP($J61,[1]output!$A$9:$AI$2200,U$1-$L$1+2)</f>
        <v>275.822</v>
      </c>
      <c r="V61" s="2">
        <f>VLOOKUP($J61,[1]output!$A$9:$AI$2200,V$1-$L$1+2)</f>
        <v>246.40100000000001</v>
      </c>
      <c r="W61" s="2">
        <f>VLOOKUP($J61,[1]output!$A$9:$AI$2200,W$1-$L$1+2)</f>
        <v>217.67</v>
      </c>
      <c r="X61" s="2">
        <f>VLOOKUP($J61,[1]output!$A$9:$AI$2200,X$1-$L$1+2)</f>
        <v>188.71</v>
      </c>
      <c r="Y61" s="2">
        <f>VLOOKUP($J61,[1]output!$A$9:$AI$2200,Y$1-$L$1+2)</f>
        <v>175.958</v>
      </c>
      <c r="Z61" s="2">
        <f>VLOOKUP($J61,[1]output!$A$9:$AI$2200,Z$1-$L$1+2)</f>
        <v>194.03399999999999</v>
      </c>
      <c r="AA61" s="2">
        <f>VLOOKUP($J61,[1]output!$A$9:$AI$2200,AA$1-$L$1+2)</f>
        <v>187.541</v>
      </c>
      <c r="AB61" s="2">
        <f>VLOOKUP($J61,[1]output!$A$9:$AI$2200,AB$1-$L$1+2)</f>
        <v>171.00700000000001</v>
      </c>
      <c r="AC61" s="2">
        <f>VLOOKUP($J61,[1]output!$A$9:$AI$2200,AC$1-$L$1+2)</f>
        <v>223.63</v>
      </c>
      <c r="AD61" s="2">
        <f>VLOOKUP($J61,[1]output!$A$9:$AI$2200,AD$1-$L$1+2)</f>
        <v>199.06899999999999</v>
      </c>
      <c r="AE61" s="2">
        <f>VLOOKUP($J61,[1]output!$A$9:$AI$2200,AE$1-$L$1+2)</f>
        <v>187.71299999999999</v>
      </c>
      <c r="AF61" s="2">
        <f>VLOOKUP($J61,[1]output!$A$9:$AI$2200,AF$1-$L$1+2)</f>
        <v>173.07</v>
      </c>
      <c r="AG61" s="2">
        <f>VLOOKUP($J61,[1]output!$A$9:$AI$2200,AG$1-$L$1+2)</f>
        <v>161.67400000000001</v>
      </c>
      <c r="AH61" s="2">
        <f>VLOOKUP($J61,[1]output!$A$9:$AI$2200,AH$1-$L$1+2)</f>
        <v>153.71799999999999</v>
      </c>
      <c r="AI61" s="2">
        <f>VLOOKUP($J61,[1]output!$A$9:$AI$2200,AI$1-$L$1+2)</f>
        <v>147.59399999999999</v>
      </c>
      <c r="AJ61" s="2">
        <f>VLOOKUP($J61,[1]output!$A$9:$AI$2200,AJ$1-$L$1+2)</f>
        <v>140.761</v>
      </c>
      <c r="AK61" s="2">
        <f>VLOOKUP($J61,[1]output!$A$9:$AI$2200,AK$1-$L$1+2)</f>
        <v>134.89099999999999</v>
      </c>
      <c r="AL61" s="2">
        <f>VLOOKUP($J61,[1]output!$A$9:$AI$2200,AL$1-$L$1+2)</f>
        <v>129.435</v>
      </c>
      <c r="AM61" s="2">
        <f>VLOOKUP($J61,[1]output!$A$9:$AI$2200,AM$1-$L$1+2)</f>
        <v>127.622</v>
      </c>
    </row>
    <row r="62" spans="10:39" x14ac:dyDescent="0.25">
      <c r="K62" s="47" t="s">
        <v>175</v>
      </c>
      <c r="L62" s="48">
        <f>SUM(L60:L61)</f>
        <v>0</v>
      </c>
      <c r="M62" s="48">
        <f t="shared" ref="M62:AM62" si="18">SUM(M60:M61)</f>
        <v>53.749000000000002</v>
      </c>
      <c r="N62" s="48">
        <f t="shared" si="18"/>
        <v>52.073999999999998</v>
      </c>
      <c r="O62" s="48">
        <f t="shared" si="18"/>
        <v>422.05700000000002</v>
      </c>
      <c r="P62" s="48">
        <f t="shared" si="18"/>
        <v>407.67700000000002</v>
      </c>
      <c r="Q62" s="48">
        <f t="shared" si="18"/>
        <v>354.31400000000002</v>
      </c>
      <c r="R62" s="48">
        <f t="shared" si="18"/>
        <v>351.43799999999999</v>
      </c>
      <c r="S62" s="48">
        <f t="shared" si="18"/>
        <v>341.28500000000003</v>
      </c>
      <c r="T62" s="48">
        <f t="shared" si="18"/>
        <v>316.37099999999998</v>
      </c>
      <c r="U62" s="48">
        <f t="shared" si="18"/>
        <v>275.822</v>
      </c>
      <c r="V62" s="48">
        <f t="shared" si="18"/>
        <v>246.40100000000001</v>
      </c>
      <c r="W62" s="48">
        <f t="shared" si="18"/>
        <v>217.67</v>
      </c>
      <c r="X62" s="48">
        <f t="shared" si="18"/>
        <v>188.71</v>
      </c>
      <c r="Y62" s="48">
        <f t="shared" si="18"/>
        <v>175.958</v>
      </c>
      <c r="Z62" s="48">
        <f t="shared" si="18"/>
        <v>194.03399999999999</v>
      </c>
      <c r="AA62" s="48">
        <f t="shared" si="18"/>
        <v>187.541</v>
      </c>
      <c r="AB62" s="48">
        <f t="shared" si="18"/>
        <v>171.00700000000001</v>
      </c>
      <c r="AC62" s="48">
        <f t="shared" si="18"/>
        <v>223.63</v>
      </c>
      <c r="AD62" s="48">
        <f t="shared" si="18"/>
        <v>199.06899999999999</v>
      </c>
      <c r="AE62" s="48">
        <f t="shared" si="18"/>
        <v>187.71299999999999</v>
      </c>
      <c r="AF62" s="48">
        <f t="shared" si="18"/>
        <v>173.07</v>
      </c>
      <c r="AG62" s="48">
        <f t="shared" si="18"/>
        <v>161.67400000000001</v>
      </c>
      <c r="AH62" s="48">
        <f t="shared" si="18"/>
        <v>153.71799999999999</v>
      </c>
      <c r="AI62" s="48">
        <f t="shared" si="18"/>
        <v>147.59399999999999</v>
      </c>
      <c r="AJ62" s="48">
        <f t="shared" si="18"/>
        <v>140.761</v>
      </c>
      <c r="AK62" s="48">
        <f t="shared" si="18"/>
        <v>134.89099999999999</v>
      </c>
      <c r="AL62" s="48">
        <f t="shared" si="18"/>
        <v>129.435</v>
      </c>
      <c r="AM62" s="48">
        <f t="shared" si="18"/>
        <v>127.622</v>
      </c>
    </row>
    <row r="63" spans="10:39" x14ac:dyDescent="0.25">
      <c r="J63" s="31" t="s">
        <v>188</v>
      </c>
      <c r="L63" s="2">
        <f>VLOOKUP($J63,[1]output!$A$9:$AI$2200,L$1-$L$1+2)</f>
        <v>0</v>
      </c>
      <c r="M63" s="2">
        <f>VLOOKUP($J63,[1]output!$A$9:$AI$2200,M$1-$L$1+2)</f>
        <v>149.137</v>
      </c>
      <c r="N63" s="2">
        <f>VLOOKUP($J63,[1]output!$A$9:$AI$2200,N$1-$L$1+2)</f>
        <v>0</v>
      </c>
      <c r="O63" s="2">
        <f>VLOOKUP($J63,[1]output!$A$9:$AI$2200,O$1-$L$1+2)</f>
        <v>0</v>
      </c>
      <c r="P63" s="2">
        <f>VLOOKUP($J63,[1]output!$A$9:$AI$2200,P$1-$L$1+2)</f>
        <v>0</v>
      </c>
      <c r="Q63" s="2">
        <f>VLOOKUP($J63,[1]output!$A$9:$AI$2200,Q$1-$L$1+2)</f>
        <v>0</v>
      </c>
      <c r="R63" s="2">
        <f>VLOOKUP($J63,[1]output!$A$9:$AI$2200,R$1-$L$1+2)</f>
        <v>0</v>
      </c>
      <c r="S63" s="2">
        <f>VLOOKUP($J63,[1]output!$A$9:$AI$2200,S$1-$L$1+2)</f>
        <v>0</v>
      </c>
      <c r="T63" s="2">
        <f>VLOOKUP($J63,[1]output!$A$9:$AI$2200,T$1-$L$1+2)</f>
        <v>0</v>
      </c>
      <c r="U63" s="2">
        <f>VLOOKUP($J63,[1]output!$A$9:$AI$2200,U$1-$L$1+2)</f>
        <v>0</v>
      </c>
      <c r="V63" s="2">
        <f>VLOOKUP($J63,[1]output!$A$9:$AI$2200,V$1-$L$1+2)</f>
        <v>0</v>
      </c>
      <c r="W63" s="2">
        <f>VLOOKUP($J63,[1]output!$A$9:$AI$2200,W$1-$L$1+2)</f>
        <v>0</v>
      </c>
      <c r="X63" s="2">
        <f>VLOOKUP($J63,[1]output!$A$9:$AI$2200,X$1-$L$1+2)</f>
        <v>0</v>
      </c>
      <c r="Y63" s="2">
        <f>VLOOKUP($J63,[1]output!$A$9:$AI$2200,Y$1-$L$1+2)</f>
        <v>0</v>
      </c>
      <c r="Z63" s="2">
        <f>VLOOKUP($J63,[1]output!$A$9:$AI$2200,Z$1-$L$1+2)</f>
        <v>0</v>
      </c>
      <c r="AA63" s="2">
        <f>VLOOKUP($J63,[1]output!$A$9:$AI$2200,AA$1-$L$1+2)</f>
        <v>0</v>
      </c>
      <c r="AB63" s="2">
        <f>VLOOKUP($J63,[1]output!$A$9:$AI$2200,AB$1-$L$1+2)</f>
        <v>0</v>
      </c>
      <c r="AC63" s="2">
        <f>VLOOKUP($J63,[1]output!$A$9:$AI$2200,AC$1-$L$1+2)</f>
        <v>0</v>
      </c>
      <c r="AD63" s="2">
        <f>VLOOKUP($J63,[1]output!$A$9:$AI$2200,AD$1-$L$1+2)</f>
        <v>0</v>
      </c>
      <c r="AE63" s="2">
        <f>VLOOKUP($J63,[1]output!$A$9:$AI$2200,AE$1-$L$1+2)</f>
        <v>0</v>
      </c>
      <c r="AF63" s="2">
        <f>VLOOKUP($J63,[1]output!$A$9:$AI$2200,AF$1-$L$1+2)</f>
        <v>0</v>
      </c>
      <c r="AG63" s="2">
        <f>VLOOKUP($J63,[1]output!$A$9:$AI$2200,AG$1-$L$1+2)</f>
        <v>0</v>
      </c>
      <c r="AH63" s="2">
        <f>VLOOKUP($J63,[1]output!$A$9:$AI$2200,AH$1-$L$1+2)</f>
        <v>0</v>
      </c>
      <c r="AI63" s="2">
        <f>VLOOKUP($J63,[1]output!$A$9:$AI$2200,AI$1-$L$1+2)</f>
        <v>0</v>
      </c>
      <c r="AJ63" s="2">
        <f>VLOOKUP($J63,[1]output!$A$9:$AI$2200,AJ$1-$L$1+2)</f>
        <v>0</v>
      </c>
      <c r="AK63" s="2">
        <f>VLOOKUP($J63,[1]output!$A$9:$AI$2200,AK$1-$L$1+2)</f>
        <v>0</v>
      </c>
      <c r="AL63" s="2">
        <f>VLOOKUP($J63,[1]output!$A$9:$AI$2200,AL$1-$L$1+2)</f>
        <v>0</v>
      </c>
      <c r="AM63" s="2">
        <f>VLOOKUP($J63,[1]output!$A$9:$AI$2200,AM$1-$L$1+2)</f>
        <v>0</v>
      </c>
    </row>
    <row r="64" spans="10:39" x14ac:dyDescent="0.25">
      <c r="J64" s="31" t="s">
        <v>189</v>
      </c>
      <c r="L64" s="2">
        <f>VLOOKUP($J64,[1]output!$A$9:$AI$2200,L$1-$L$1+2)</f>
        <v>0</v>
      </c>
      <c r="M64" s="2">
        <f>VLOOKUP($J64,[1]output!$A$9:$AI$2200,M$1-$L$1+2)</f>
        <v>0</v>
      </c>
      <c r="N64" s="2">
        <f>VLOOKUP($J64,[1]output!$A$9:$AI$2200,N$1-$L$1+2)</f>
        <v>0</v>
      </c>
      <c r="O64" s="2">
        <f>VLOOKUP($J64,[1]output!$A$9:$AI$2200,O$1-$L$1+2)</f>
        <v>0</v>
      </c>
      <c r="P64" s="2">
        <f>VLOOKUP($J64,[1]output!$A$9:$AI$2200,P$1-$L$1+2)</f>
        <v>0</v>
      </c>
      <c r="Q64" s="2">
        <f>VLOOKUP($J64,[1]output!$A$9:$AI$2200,Q$1-$L$1+2)</f>
        <v>0</v>
      </c>
      <c r="R64" s="2">
        <f>VLOOKUP($J64,[1]output!$A$9:$AI$2200,R$1-$L$1+2)</f>
        <v>0</v>
      </c>
      <c r="S64" s="2">
        <f>VLOOKUP($J64,[1]output!$A$9:$AI$2200,S$1-$L$1+2)</f>
        <v>0</v>
      </c>
      <c r="T64" s="2">
        <f>VLOOKUP($J64,[1]output!$A$9:$AI$2200,T$1-$L$1+2)</f>
        <v>0</v>
      </c>
      <c r="U64" s="2">
        <f>VLOOKUP($J64,[1]output!$A$9:$AI$2200,U$1-$L$1+2)</f>
        <v>0</v>
      </c>
      <c r="V64" s="2">
        <f>VLOOKUP($J64,[1]output!$A$9:$AI$2200,V$1-$L$1+2)</f>
        <v>0</v>
      </c>
      <c r="W64" s="2">
        <f>VLOOKUP($J64,[1]output!$A$9:$AI$2200,W$1-$L$1+2)</f>
        <v>0</v>
      </c>
      <c r="X64" s="2">
        <f>VLOOKUP($J64,[1]output!$A$9:$AI$2200,X$1-$L$1+2)</f>
        <v>0</v>
      </c>
      <c r="Y64" s="2">
        <f>VLOOKUP($J64,[1]output!$A$9:$AI$2200,Y$1-$L$1+2)</f>
        <v>0</v>
      </c>
      <c r="Z64" s="2">
        <f>VLOOKUP($J64,[1]output!$A$9:$AI$2200,Z$1-$L$1+2)</f>
        <v>0</v>
      </c>
      <c r="AA64" s="2">
        <f>VLOOKUP($J64,[1]output!$A$9:$AI$2200,AA$1-$L$1+2)</f>
        <v>0</v>
      </c>
      <c r="AB64" s="2">
        <f>VLOOKUP($J64,[1]output!$A$9:$AI$2200,AB$1-$L$1+2)</f>
        <v>0</v>
      </c>
      <c r="AC64" s="2">
        <f>VLOOKUP($J64,[1]output!$A$9:$AI$2200,AC$1-$L$1+2)</f>
        <v>0</v>
      </c>
      <c r="AD64" s="2">
        <f>VLOOKUP($J64,[1]output!$A$9:$AI$2200,AD$1-$L$1+2)</f>
        <v>0</v>
      </c>
      <c r="AE64" s="2">
        <f>VLOOKUP($J64,[1]output!$A$9:$AI$2200,AE$1-$L$1+2)</f>
        <v>0</v>
      </c>
      <c r="AF64" s="2">
        <f>VLOOKUP($J64,[1]output!$A$9:$AI$2200,AF$1-$L$1+2)</f>
        <v>0</v>
      </c>
      <c r="AG64" s="2">
        <f>VLOOKUP($J64,[1]output!$A$9:$AI$2200,AG$1-$L$1+2)</f>
        <v>0</v>
      </c>
      <c r="AH64" s="2">
        <f>VLOOKUP($J64,[1]output!$A$9:$AI$2200,AH$1-$L$1+2)</f>
        <v>0</v>
      </c>
      <c r="AI64" s="2">
        <f>VLOOKUP($J64,[1]output!$A$9:$AI$2200,AI$1-$L$1+2)</f>
        <v>0</v>
      </c>
      <c r="AJ64" s="2">
        <f>VLOOKUP($J64,[1]output!$A$9:$AI$2200,AJ$1-$L$1+2)</f>
        <v>0</v>
      </c>
      <c r="AK64" s="2">
        <f>VLOOKUP($J64,[1]output!$A$9:$AI$2200,AK$1-$L$1+2)</f>
        <v>0</v>
      </c>
      <c r="AL64" s="2">
        <f>VLOOKUP($J64,[1]output!$A$9:$AI$2200,AL$1-$L$1+2)</f>
        <v>0</v>
      </c>
      <c r="AM64" s="2">
        <f>VLOOKUP($J64,[1]output!$A$9:$AI$2200,AM$1-$L$1+2)</f>
        <v>0</v>
      </c>
    </row>
    <row r="65" spans="10:39" x14ac:dyDescent="0.25">
      <c r="J65" s="31" t="s">
        <v>190</v>
      </c>
      <c r="L65" s="2">
        <f>VLOOKUP($J65,[1]output!$A$9:$AI$2200,L$1-$L$1+2)</f>
        <v>0</v>
      </c>
      <c r="M65" s="2">
        <f>VLOOKUP($J65,[1]output!$A$9:$AI$2200,M$1-$L$1+2)</f>
        <v>0</v>
      </c>
      <c r="N65" s="2">
        <f>VLOOKUP($J65,[1]output!$A$9:$AI$2200,N$1-$L$1+2)</f>
        <v>144.40299999999999</v>
      </c>
      <c r="O65" s="2">
        <f>VLOOKUP($J65,[1]output!$A$9:$AI$2200,O$1-$L$1+2)</f>
        <v>187.994</v>
      </c>
      <c r="P65" s="2">
        <f>VLOOKUP($J65,[1]output!$A$9:$AI$2200,P$1-$L$1+2)</f>
        <v>185.84</v>
      </c>
      <c r="Q65" s="2">
        <f>VLOOKUP($J65,[1]output!$A$9:$AI$2200,Q$1-$L$1+2)</f>
        <v>179.99700000000001</v>
      </c>
      <c r="R65" s="2">
        <f>VLOOKUP($J65,[1]output!$A$9:$AI$2200,R$1-$L$1+2)</f>
        <v>176.11600000000001</v>
      </c>
      <c r="S65" s="2">
        <f>VLOOKUP($J65,[1]output!$A$9:$AI$2200,S$1-$L$1+2)</f>
        <v>171.595</v>
      </c>
      <c r="T65" s="2">
        <f>VLOOKUP($J65,[1]output!$A$9:$AI$2200,T$1-$L$1+2)</f>
        <v>352.38299999999998</v>
      </c>
      <c r="U65" s="2">
        <f>VLOOKUP($J65,[1]output!$A$9:$AI$2200,U$1-$L$1+2)</f>
        <v>307.04000000000002</v>
      </c>
      <c r="V65" s="2">
        <f>VLOOKUP($J65,[1]output!$A$9:$AI$2200,V$1-$L$1+2)</f>
        <v>269.608</v>
      </c>
      <c r="W65" s="2">
        <f>VLOOKUP($J65,[1]output!$A$9:$AI$2200,W$1-$L$1+2)</f>
        <v>233.233</v>
      </c>
      <c r="X65" s="2">
        <f>VLOOKUP($J65,[1]output!$A$9:$AI$2200,X$1-$L$1+2)</f>
        <v>205.09399999999999</v>
      </c>
      <c r="Y65" s="2">
        <f>VLOOKUP($J65,[1]output!$A$9:$AI$2200,Y$1-$L$1+2)</f>
        <v>212.88200000000001</v>
      </c>
      <c r="Z65" s="2">
        <f>VLOOKUP($J65,[1]output!$A$9:$AI$2200,Z$1-$L$1+2)</f>
        <v>332.80099999999999</v>
      </c>
      <c r="AA65" s="2">
        <f>VLOOKUP($J65,[1]output!$A$9:$AI$2200,AA$1-$L$1+2)</f>
        <v>293.67700000000002</v>
      </c>
      <c r="AB65" s="2">
        <f>VLOOKUP($J65,[1]output!$A$9:$AI$2200,AB$1-$L$1+2)</f>
        <v>258.03899999999999</v>
      </c>
      <c r="AC65" s="2">
        <f>VLOOKUP($J65,[1]output!$A$9:$AI$2200,AC$1-$L$1+2)</f>
        <v>290.73200000000003</v>
      </c>
      <c r="AD65" s="2">
        <f>VLOOKUP($J65,[1]output!$A$9:$AI$2200,AD$1-$L$1+2)</f>
        <v>208.62200000000001</v>
      </c>
      <c r="AE65" s="2">
        <f>VLOOKUP($J65,[1]output!$A$9:$AI$2200,AE$1-$L$1+2)</f>
        <v>185.137</v>
      </c>
      <c r="AF65" s="2">
        <f>VLOOKUP($J65,[1]output!$A$9:$AI$2200,AF$1-$L$1+2)</f>
        <v>147.59</v>
      </c>
      <c r="AG65" s="2">
        <f>VLOOKUP($J65,[1]output!$A$9:$AI$2200,AG$1-$L$1+2)</f>
        <v>132.53299999999999</v>
      </c>
      <c r="AH65" s="2">
        <f>VLOOKUP($J65,[1]output!$A$9:$AI$2200,AH$1-$L$1+2)</f>
        <v>118.503</v>
      </c>
      <c r="AI65" s="2">
        <f>VLOOKUP($J65,[1]output!$A$9:$AI$2200,AI$1-$L$1+2)</f>
        <v>106.61199999999999</v>
      </c>
      <c r="AJ65" s="2">
        <f>VLOOKUP($J65,[1]output!$A$9:$AI$2200,AJ$1-$L$1+2)</f>
        <v>95.36</v>
      </c>
      <c r="AK65" s="2">
        <f>VLOOKUP($J65,[1]output!$A$9:$AI$2200,AK$1-$L$1+2)</f>
        <v>85.67</v>
      </c>
      <c r="AL65" s="2">
        <f>VLOOKUP($J65,[1]output!$A$9:$AI$2200,AL$1-$L$1+2)</f>
        <v>78.742000000000004</v>
      </c>
      <c r="AM65" s="2">
        <f>VLOOKUP($J65,[1]output!$A$9:$AI$2200,AM$1-$L$1+2)</f>
        <v>73.278000000000006</v>
      </c>
    </row>
    <row r="66" spans="10:39" x14ac:dyDescent="0.25">
      <c r="K66" s="49" t="s">
        <v>191</v>
      </c>
      <c r="L66" s="50">
        <f>SUM(L63:L65)</f>
        <v>0</v>
      </c>
      <c r="M66" s="50">
        <f t="shared" ref="M66:AM66" si="19">SUM(M63:M65)</f>
        <v>149.137</v>
      </c>
      <c r="N66" s="50">
        <f t="shared" si="19"/>
        <v>144.40299999999999</v>
      </c>
      <c r="O66" s="50">
        <f t="shared" si="19"/>
        <v>187.994</v>
      </c>
      <c r="P66" s="50">
        <f t="shared" si="19"/>
        <v>185.84</v>
      </c>
      <c r="Q66" s="50">
        <f t="shared" si="19"/>
        <v>179.99700000000001</v>
      </c>
      <c r="R66" s="50">
        <f t="shared" si="19"/>
        <v>176.11600000000001</v>
      </c>
      <c r="S66" s="50">
        <f t="shared" si="19"/>
        <v>171.595</v>
      </c>
      <c r="T66" s="50">
        <f t="shared" si="19"/>
        <v>352.38299999999998</v>
      </c>
      <c r="U66" s="50">
        <f t="shared" si="19"/>
        <v>307.04000000000002</v>
      </c>
      <c r="V66" s="50">
        <f t="shared" si="19"/>
        <v>269.608</v>
      </c>
      <c r="W66" s="50">
        <f t="shared" si="19"/>
        <v>233.233</v>
      </c>
      <c r="X66" s="50">
        <f t="shared" si="19"/>
        <v>205.09399999999999</v>
      </c>
      <c r="Y66" s="50">
        <f t="shared" si="19"/>
        <v>212.88200000000001</v>
      </c>
      <c r="Z66" s="50">
        <f t="shared" si="19"/>
        <v>332.80099999999999</v>
      </c>
      <c r="AA66" s="50">
        <f t="shared" si="19"/>
        <v>293.67700000000002</v>
      </c>
      <c r="AB66" s="50">
        <f t="shared" si="19"/>
        <v>258.03899999999999</v>
      </c>
      <c r="AC66" s="50">
        <f t="shared" si="19"/>
        <v>290.73200000000003</v>
      </c>
      <c r="AD66" s="50">
        <f t="shared" si="19"/>
        <v>208.62200000000001</v>
      </c>
      <c r="AE66" s="50">
        <f t="shared" si="19"/>
        <v>185.137</v>
      </c>
      <c r="AF66" s="50">
        <f t="shared" si="19"/>
        <v>147.59</v>
      </c>
      <c r="AG66" s="50">
        <f t="shared" si="19"/>
        <v>132.53299999999999</v>
      </c>
      <c r="AH66" s="50">
        <f t="shared" si="19"/>
        <v>118.503</v>
      </c>
      <c r="AI66" s="50">
        <f t="shared" si="19"/>
        <v>106.61199999999999</v>
      </c>
      <c r="AJ66" s="50">
        <f t="shared" si="19"/>
        <v>95.36</v>
      </c>
      <c r="AK66" s="50">
        <f t="shared" si="19"/>
        <v>85.67</v>
      </c>
      <c r="AL66" s="50">
        <f t="shared" si="19"/>
        <v>78.742000000000004</v>
      </c>
      <c r="AM66" s="50">
        <f t="shared" si="19"/>
        <v>73.278000000000006</v>
      </c>
    </row>
    <row r="67" spans="10:39" x14ac:dyDescent="0.25">
      <c r="J67" t="s">
        <v>192</v>
      </c>
      <c r="K67" s="16" t="s">
        <v>193</v>
      </c>
      <c r="L67" s="51">
        <f>VLOOKUP($J67,[1]output!$A$9:$AI$2200,L$1-$L$1+2)</f>
        <v>0</v>
      </c>
      <c r="M67" s="51">
        <f>VLOOKUP($J67,[1]output!$A$9:$AI$2200,M$1-$L$1+2)</f>
        <v>600.85699999999997</v>
      </c>
      <c r="N67" s="51">
        <f>VLOOKUP($J67,[1]output!$A$9:$AI$2200,N$1-$L$1+2)</f>
        <v>633.01700000000005</v>
      </c>
      <c r="O67" s="51">
        <f>VLOOKUP($J67,[1]output!$A$9:$AI$2200,O$1-$L$1+2)</f>
        <v>906.89599999999996</v>
      </c>
      <c r="P67" s="51">
        <f>VLOOKUP($J67,[1]output!$A$9:$AI$2200,P$1-$L$1+2)</f>
        <v>930.62599999999998</v>
      </c>
      <c r="Q67" s="51">
        <f>VLOOKUP($J67,[1]output!$A$9:$AI$2200,Q$1-$L$1+2)</f>
        <v>910.702</v>
      </c>
      <c r="R67" s="51">
        <f>VLOOKUP($J67,[1]output!$A$9:$AI$2200,R$1-$L$1+2)</f>
        <v>919.18600000000004</v>
      </c>
      <c r="S67" s="51">
        <f>VLOOKUP($J67,[1]output!$A$9:$AI$2200,S$1-$L$1+2)</f>
        <v>904.08699999999999</v>
      </c>
      <c r="T67" s="51">
        <f>VLOOKUP($J67,[1]output!$A$9:$AI$2200,T$1-$L$1+2)</f>
        <v>1080.7819999999999</v>
      </c>
      <c r="U67" s="51">
        <f>VLOOKUP($J67,[1]output!$A$9:$AI$2200,U$1-$L$1+2)</f>
        <v>976.09299999999996</v>
      </c>
      <c r="V67" s="51">
        <f>VLOOKUP($J67,[1]output!$A$9:$AI$2200,V$1-$L$1+2)</f>
        <v>923.36900000000003</v>
      </c>
      <c r="W67" s="51">
        <f>VLOOKUP($J67,[1]output!$A$9:$AI$2200,W$1-$L$1+2)</f>
        <v>917.61</v>
      </c>
      <c r="X67" s="51">
        <f>VLOOKUP($J67,[1]output!$A$9:$AI$2200,X$1-$L$1+2)</f>
        <v>878.91600000000005</v>
      </c>
      <c r="Y67" s="51">
        <f>VLOOKUP($J67,[1]output!$A$9:$AI$2200,Y$1-$L$1+2)</f>
        <v>847.97500000000002</v>
      </c>
      <c r="Z67" s="51">
        <f>VLOOKUP($J67,[1]output!$A$9:$AI$2200,Z$1-$L$1+2)</f>
        <v>1204.8320000000001</v>
      </c>
      <c r="AA67" s="51">
        <f>VLOOKUP($J67,[1]output!$A$9:$AI$2200,AA$1-$L$1+2)</f>
        <v>1151.3900000000001</v>
      </c>
      <c r="AB67" s="51">
        <f>VLOOKUP($J67,[1]output!$A$9:$AI$2200,AB$1-$L$1+2)</f>
        <v>1118.2660000000001</v>
      </c>
      <c r="AC67" s="51">
        <f>VLOOKUP($J67,[1]output!$A$9:$AI$2200,AC$1-$L$1+2)</f>
        <v>1312.817</v>
      </c>
      <c r="AD67" s="51">
        <f>VLOOKUP($J67,[1]output!$A$9:$AI$2200,AD$1-$L$1+2)</f>
        <v>1149.153</v>
      </c>
      <c r="AE67" s="51">
        <f>VLOOKUP($J67,[1]output!$A$9:$AI$2200,AE$1-$L$1+2)</f>
        <v>1093.078</v>
      </c>
      <c r="AF67" s="51">
        <f>VLOOKUP($J67,[1]output!$A$9:$AI$2200,AF$1-$L$1+2)</f>
        <v>975.24699999999996</v>
      </c>
      <c r="AG67" s="51">
        <f>VLOOKUP($J67,[1]output!$A$9:$AI$2200,AG$1-$L$1+2)</f>
        <v>971.54300000000001</v>
      </c>
      <c r="AH67" s="51">
        <f>VLOOKUP($J67,[1]output!$A$9:$AI$2200,AH$1-$L$1+2)</f>
        <v>920.87199999999996</v>
      </c>
      <c r="AI67" s="51">
        <f>VLOOKUP($J67,[1]output!$A$9:$AI$2200,AI$1-$L$1+2)</f>
        <v>876.26300000000003</v>
      </c>
      <c r="AJ67" s="51">
        <f>VLOOKUP($J67,[1]output!$A$9:$AI$2200,AJ$1-$L$1+2)</f>
        <v>833.78700000000003</v>
      </c>
      <c r="AK67" s="51">
        <f>VLOOKUP($J67,[1]output!$A$9:$AI$2200,AK$1-$L$1+2)</f>
        <v>795.30100000000004</v>
      </c>
      <c r="AL67" s="51">
        <f>VLOOKUP($J67,[1]output!$A$9:$AI$2200,AL$1-$L$1+2)</f>
        <v>758.97500000000002</v>
      </c>
      <c r="AM67" s="51">
        <f>VLOOKUP($J67,[1]output!$A$9:$AI$2200,AM$1-$L$1+2)</f>
        <v>731.077</v>
      </c>
    </row>
    <row r="68" spans="10:39" x14ac:dyDescent="0.25">
      <c r="L68" s="2"/>
      <c r="M68" s="2"/>
      <c r="N68" s="2"/>
      <c r="O68" s="2"/>
      <c r="P68" s="2"/>
      <c r="Q68" s="2"/>
      <c r="R68" s="2"/>
    </row>
    <row r="69" spans="10:39" x14ac:dyDescent="0.25">
      <c r="J69" t="s">
        <v>194</v>
      </c>
      <c r="R69">
        <f t="shared" ref="R69:AM69" si="20">R25*1000/R59</f>
        <v>1.6941386296483507</v>
      </c>
      <c r="S69">
        <f t="shared" si="20"/>
        <v>1.668867502813131</v>
      </c>
      <c r="T69">
        <f t="shared" si="20"/>
        <v>1.7073263269719621</v>
      </c>
      <c r="U69">
        <f t="shared" si="20"/>
        <v>1.6848033404840912</v>
      </c>
      <c r="V69">
        <f t="shared" si="20"/>
        <v>1.6992666538368622</v>
      </c>
      <c r="W69">
        <f t="shared" si="20"/>
        <v>1.7172430016466713</v>
      </c>
      <c r="X69">
        <f t="shared" si="20"/>
        <v>1.7361927685219458</v>
      </c>
      <c r="Y69">
        <f t="shared" si="20"/>
        <v>1.685200984087933</v>
      </c>
      <c r="Z69">
        <f t="shared" si="20"/>
        <v>1.70527478432192</v>
      </c>
      <c r="AA69">
        <f t="shared" si="20"/>
        <v>1.7156988317503004</v>
      </c>
      <c r="AB69">
        <f t="shared" si="20"/>
        <v>1.7784694824136891</v>
      </c>
      <c r="AC69">
        <f t="shared" si="20"/>
        <v>1.7668394273059216</v>
      </c>
      <c r="AD69">
        <f t="shared" si="20"/>
        <v>1.7922241606118889</v>
      </c>
      <c r="AE69">
        <f t="shared" si="20"/>
        <v>1.7802080458804757</v>
      </c>
      <c r="AF69">
        <f t="shared" si="20"/>
        <v>1.807367908324147</v>
      </c>
      <c r="AG69">
        <f t="shared" si="20"/>
        <v>2.0714793311321347</v>
      </c>
      <c r="AH69">
        <f t="shared" si="20"/>
        <v>2.1980827408381307</v>
      </c>
      <c r="AI69">
        <f t="shared" si="20"/>
        <v>2.0526122417284132</v>
      </c>
      <c r="AJ69">
        <f t="shared" si="20"/>
        <v>2.1549345120681132</v>
      </c>
      <c r="AK69">
        <f t="shared" si="20"/>
        <v>2.0462115567856176</v>
      </c>
      <c r="AL69">
        <f t="shared" si="20"/>
        <v>1.9263280627980639</v>
      </c>
      <c r="AM69">
        <f t="shared" si="20"/>
        <v>1.8235146995293423</v>
      </c>
    </row>
    <row r="70" spans="10:39" x14ac:dyDescent="0.25">
      <c r="P70" t="s">
        <v>195</v>
      </c>
      <c r="R70">
        <v>0.62346638677486566</v>
      </c>
      <c r="S70">
        <v>0.63096400164792943</v>
      </c>
      <c r="T70">
        <v>0.63765718559167162</v>
      </c>
      <c r="U70">
        <v>0.70404858926883684</v>
      </c>
      <c r="V70">
        <v>0.71194831764191802</v>
      </c>
      <c r="W70">
        <v>0.72318968241109571</v>
      </c>
      <c r="X70">
        <v>0.79155525397127935</v>
      </c>
      <c r="Y70">
        <v>0.79857176123573703</v>
      </c>
      <c r="Z70">
        <v>0.80324428690171346</v>
      </c>
      <c r="AA70">
        <v>0.80163558516290601</v>
      </c>
      <c r="AB70">
        <v>0.80874274589331629</v>
      </c>
      <c r="AC70">
        <v>0.81087653811119731</v>
      </c>
      <c r="AD70">
        <v>0.84134557709748581</v>
      </c>
      <c r="AE70">
        <v>0.795239212280623</v>
      </c>
      <c r="AF70">
        <v>0.94339064653311333</v>
      </c>
      <c r="AG70">
        <v>1.04147450711529</v>
      </c>
      <c r="AH70">
        <v>1.0459087329353658</v>
      </c>
      <c r="AI70">
        <v>0.89886164300647442</v>
      </c>
      <c r="AJ70">
        <v>0.93009790262922953</v>
      </c>
      <c r="AK70">
        <v>0.93704481220910785</v>
      </c>
      <c r="AL70">
        <v>0.96926276022030833</v>
      </c>
      <c r="AM70">
        <v>0.97747023084194473</v>
      </c>
    </row>
    <row r="71" spans="10:39" x14ac:dyDescent="0.25">
      <c r="P71" s="2"/>
      <c r="R71" s="12"/>
    </row>
    <row r="72" spans="10:39" x14ac:dyDescent="0.25">
      <c r="L72">
        <v>90</v>
      </c>
      <c r="M72">
        <v>90</v>
      </c>
      <c r="N72">
        <v>100</v>
      </c>
      <c r="O72">
        <v>200</v>
      </c>
      <c r="P72">
        <v>300</v>
      </c>
      <c r="Q72">
        <v>450</v>
      </c>
      <c r="R72">
        <v>600</v>
      </c>
      <c r="S72">
        <v>750</v>
      </c>
    </row>
    <row r="73" spans="10:39" x14ac:dyDescent="0.25">
      <c r="J73" s="1" t="s">
        <v>196</v>
      </c>
      <c r="K73" t="s">
        <v>197</v>
      </c>
      <c r="M73" s="52"/>
    </row>
    <row r="75" spans="10:39" ht="30" x14ac:dyDescent="0.25">
      <c r="J75" t="s">
        <v>198</v>
      </c>
      <c r="K75" s="18" t="s">
        <v>199</v>
      </c>
      <c r="L75" s="53">
        <f>'[1]Switch heater '!L50+'[1]Switch heater '!L51+'[1]Switch heater '!L55</f>
        <v>1508.1360000000002</v>
      </c>
      <c r="M75" s="53">
        <f>'[1]Switch heater '!M50+'[1]Switch heater '!M51+'[1]Switch heater '!M55</f>
        <v>1621.134</v>
      </c>
      <c r="N75" s="53">
        <f>'[1]Switch heater '!N50+'[1]Switch heater '!N51+'[1]Switch heater '!N55</f>
        <v>1446.9259999999999</v>
      </c>
      <c r="O75" s="53">
        <f>'[1]Switch heater '!O50+'[1]Switch heater '!O51+'[1]Switch heater '!O55</f>
        <v>1503.26</v>
      </c>
      <c r="P75" s="53">
        <f>'[1]Switch heater '!P50+'[1]Switch heater '!P51+'[1]Switch heater '!P55</f>
        <v>1362.404</v>
      </c>
      <c r="Q75" s="53">
        <f>'[1]Switch heater '!Q50+'[1]Switch heater '!Q51+'[1]Switch heater '!Q55</f>
        <v>1204.2649999999999</v>
      </c>
      <c r="R75" s="53">
        <f>'[1]Switch heater '!R50+'[1]Switch heater '!R55</f>
        <v>780.32400000000007</v>
      </c>
      <c r="S75" s="53">
        <f>'[1]Switch heater '!S50+'[1]Switch heater '!S55</f>
        <v>871.25700000000006</v>
      </c>
      <c r="T75" s="53">
        <f>'[1]Switch heater '!T50+'[1]Switch heater '!T55</f>
        <v>811.03499999999997</v>
      </c>
      <c r="U75" s="53">
        <f>'[1]Switch heater '!U50+'[1]Switch heater '!U55</f>
        <v>837.35300000000007</v>
      </c>
      <c r="V75" s="53">
        <f>'[1]Switch heater '!V50+'[1]Switch heater '!V55</f>
        <v>869.173</v>
      </c>
      <c r="W75" s="53">
        <f>'[1]Switch heater '!W50+'[1]Switch heater '!W55</f>
        <v>899.01099999999997</v>
      </c>
      <c r="X75" s="53">
        <f>'[1]Switch heater '!X50+'[1]Switch heater '!X55</f>
        <v>765.15300000000002</v>
      </c>
      <c r="Y75" s="53">
        <f>'[1]Switch heater '!Y50+'[1]Switch heater '!Y55</f>
        <v>800.92699999999991</v>
      </c>
      <c r="Z75" s="53">
        <f>'[1]Switch heater '!Z50+'[1]Switch heater '!Z55</f>
        <v>815.43100000000004</v>
      </c>
      <c r="AA75" s="53">
        <f>'[1]Switch heater '!AA50+'[1]Switch heater '!AA55</f>
        <v>766.64300000000003</v>
      </c>
      <c r="AB75" s="53">
        <f>'[1]Switch heater '!AB50+'[1]Switch heater '!AB55</f>
        <v>803.33799999999997</v>
      </c>
      <c r="AC75" s="53">
        <f>'[1]Switch heater '!AC50+'[1]Switch heater '!AC55</f>
        <v>734.02499999999998</v>
      </c>
      <c r="AD75" s="53">
        <f>'[1]Switch heater '!AD50+'[1]Switch heater '!AD55</f>
        <v>727.81399999999996</v>
      </c>
      <c r="AE75" s="53">
        <f>'[1]Switch heater '!AE50+'[1]Switch heater '!AE55</f>
        <v>693.6</v>
      </c>
      <c r="AF75" s="53">
        <f>'[1]Switch heater '!AF50+'[1]Switch heater '!AF55</f>
        <v>1068.4690000000001</v>
      </c>
      <c r="AG75" s="53">
        <f>'[1]Switch heater '!AG50+'[1]Switch heater '!AG55</f>
        <v>1090.9960000000001</v>
      </c>
      <c r="AH75" s="53">
        <f>'[1]Switch heater '!AH50+'[1]Switch heater '!AH55</f>
        <v>1074.1949999999999</v>
      </c>
      <c r="AI75" s="53">
        <f>'[1]Switch heater '!AI50+'[1]Switch heater '!AI55</f>
        <v>1098.6610000000001</v>
      </c>
      <c r="AJ75" s="53">
        <f>'[1]Switch heater '!AJ50+'[1]Switch heater '!AJ55</f>
        <v>1039.9469999999999</v>
      </c>
      <c r="AK75" s="53">
        <f>'[1]Switch heater '!AK50+'[1]Switch heater '!AK55</f>
        <v>976.31700000000001</v>
      </c>
      <c r="AL75" s="53">
        <f>'[1]Switch heater '!AL50+'[1]Switch heater '!AL55</f>
        <v>914.04600000000005</v>
      </c>
      <c r="AM75" s="53" t="e">
        <f>'[1]Switch heater '!#REF!+'[1]Switch heater '!#REF!</f>
        <v>#REF!</v>
      </c>
    </row>
    <row r="76" spans="10:39" x14ac:dyDescent="0.25">
      <c r="J76" t="s">
        <v>200</v>
      </c>
      <c r="K76" t="s">
        <v>201</v>
      </c>
      <c r="L76" s="53">
        <f>'[1]Gestes de rénovation'!L17</f>
        <v>0</v>
      </c>
      <c r="M76" s="53">
        <f>'[1]Gestes de rénovation'!M17</f>
        <v>600.98400000000004</v>
      </c>
      <c r="N76" s="53">
        <f>'[1]Gestes de rénovation'!N17</f>
        <v>633.01700000000005</v>
      </c>
      <c r="O76" s="53">
        <f>'[1]Gestes de rénovation'!O17</f>
        <v>906.89599999999996</v>
      </c>
      <c r="P76" s="53">
        <f>'[1]Gestes de rénovation'!P17</f>
        <v>930.62599999999998</v>
      </c>
      <c r="Q76" s="53">
        <f>'[1]Gestes de rénovation'!Q17</f>
        <v>910.702</v>
      </c>
      <c r="R76" s="53">
        <f>'[1]Gestes de rénovation'!R17</f>
        <v>919.18600000000004</v>
      </c>
      <c r="S76" s="53">
        <f>'[1]Gestes de rénovation'!S17</f>
        <v>904.08699999999999</v>
      </c>
      <c r="T76" s="53">
        <f>'[1]Gestes de rénovation'!T17</f>
        <v>1080.7819999999999</v>
      </c>
      <c r="U76" s="53">
        <f>'[1]Gestes de rénovation'!U17</f>
        <v>976.09299999999996</v>
      </c>
      <c r="V76" s="53">
        <f>'[1]Gestes de rénovation'!V17</f>
        <v>923.36900000000003</v>
      </c>
      <c r="W76" s="53">
        <f>'[1]Gestes de rénovation'!W17</f>
        <v>917.61</v>
      </c>
      <c r="X76" s="53">
        <f>'[1]Gestes de rénovation'!X17</f>
        <v>878.91600000000005</v>
      </c>
      <c r="Y76" s="53">
        <f>'[1]Gestes de rénovation'!Y17</f>
        <v>847.97500000000002</v>
      </c>
      <c r="Z76" s="53">
        <f>'[1]Gestes de rénovation'!Z17</f>
        <v>1204.8320000000001</v>
      </c>
      <c r="AA76" s="53">
        <f>'[1]Gestes de rénovation'!AA17</f>
        <v>1151.3900000000001</v>
      </c>
      <c r="AB76" s="53">
        <f>'[1]Gestes de rénovation'!AB17</f>
        <v>1118.2660000000001</v>
      </c>
      <c r="AC76" s="53">
        <f>'[1]Gestes de rénovation'!AC17</f>
        <v>1312.817</v>
      </c>
      <c r="AD76" s="53">
        <f>'[1]Gestes de rénovation'!AD17</f>
        <v>1149.153</v>
      </c>
      <c r="AE76" s="53">
        <f>'[1]Gestes de rénovation'!AE17</f>
        <v>1093.078</v>
      </c>
      <c r="AF76" s="53">
        <f>'[1]Gestes de rénovation'!AF17</f>
        <v>975.24699999999996</v>
      </c>
      <c r="AG76" s="53">
        <f>'[1]Gestes de rénovation'!AG17</f>
        <v>971.54300000000001</v>
      </c>
      <c r="AH76" s="53">
        <f>'[1]Gestes de rénovation'!AH17</f>
        <v>920.87199999999996</v>
      </c>
      <c r="AI76" s="53">
        <f>'[1]Gestes de rénovation'!AI17</f>
        <v>876.26300000000003</v>
      </c>
      <c r="AJ76" s="53">
        <f>'[1]Gestes de rénovation'!AJ17</f>
        <v>833.78700000000003</v>
      </c>
      <c r="AK76" s="53">
        <f>'[1]Gestes de rénovation'!AK17</f>
        <v>795.30100000000004</v>
      </c>
      <c r="AL76" s="53">
        <f>'[1]Gestes de rénovation'!AL17</f>
        <v>758.97500000000002</v>
      </c>
      <c r="AM76" s="53">
        <f>'[1]Gestes de rénovation'!AM17</f>
        <v>731.077</v>
      </c>
    </row>
    <row r="77" spans="10:39" x14ac:dyDescent="0.25">
      <c r="J77" s="54" t="s">
        <v>202</v>
      </c>
      <c r="K77" s="55"/>
      <c r="L77" s="56">
        <f>SUM(L75:L76)</f>
        <v>1508.1360000000002</v>
      </c>
      <c r="M77" s="56">
        <f t="shared" ref="M77:AM77" si="21">SUM(M75:M76)</f>
        <v>2222.1179999999999</v>
      </c>
      <c r="N77" s="56">
        <f t="shared" si="21"/>
        <v>2079.9430000000002</v>
      </c>
      <c r="O77" s="56">
        <f t="shared" si="21"/>
        <v>2410.1559999999999</v>
      </c>
      <c r="P77" s="56">
        <f t="shared" si="21"/>
        <v>2293.0299999999997</v>
      </c>
      <c r="Q77" s="56">
        <f t="shared" si="21"/>
        <v>2114.9669999999996</v>
      </c>
      <c r="R77" s="56">
        <f t="shared" si="21"/>
        <v>1699.5100000000002</v>
      </c>
      <c r="S77" s="56">
        <f t="shared" si="21"/>
        <v>1775.3440000000001</v>
      </c>
      <c r="T77" s="56">
        <f t="shared" si="21"/>
        <v>1891.817</v>
      </c>
      <c r="U77" s="56">
        <f t="shared" si="21"/>
        <v>1813.4459999999999</v>
      </c>
      <c r="V77" s="56">
        <f t="shared" si="21"/>
        <v>1792.5419999999999</v>
      </c>
      <c r="W77" s="56">
        <f t="shared" si="21"/>
        <v>1816.6210000000001</v>
      </c>
      <c r="X77" s="56">
        <f t="shared" si="21"/>
        <v>1644.069</v>
      </c>
      <c r="Y77" s="56">
        <f t="shared" si="21"/>
        <v>1648.902</v>
      </c>
      <c r="Z77" s="56">
        <f t="shared" si="21"/>
        <v>2020.2630000000001</v>
      </c>
      <c r="AA77" s="56">
        <f t="shared" si="21"/>
        <v>1918.0330000000001</v>
      </c>
      <c r="AB77" s="56">
        <f t="shared" si="21"/>
        <v>1921.604</v>
      </c>
      <c r="AC77" s="56">
        <f t="shared" si="21"/>
        <v>2046.8420000000001</v>
      </c>
      <c r="AD77" s="56">
        <f t="shared" si="21"/>
        <v>1876.9670000000001</v>
      </c>
      <c r="AE77" s="56">
        <f t="shared" si="21"/>
        <v>1786.6779999999999</v>
      </c>
      <c r="AF77" s="56">
        <f t="shared" si="21"/>
        <v>2043.7159999999999</v>
      </c>
      <c r="AG77" s="56">
        <f t="shared" si="21"/>
        <v>2062.5390000000002</v>
      </c>
      <c r="AH77" s="56">
        <f t="shared" si="21"/>
        <v>1995.067</v>
      </c>
      <c r="AI77" s="56">
        <f t="shared" si="21"/>
        <v>1974.924</v>
      </c>
      <c r="AJ77" s="56">
        <f t="shared" si="21"/>
        <v>1873.7339999999999</v>
      </c>
      <c r="AK77" s="56">
        <f t="shared" si="21"/>
        <v>1771.6179999999999</v>
      </c>
      <c r="AL77" s="56">
        <f t="shared" si="21"/>
        <v>1673.0210000000002</v>
      </c>
      <c r="AM77" s="56" t="e">
        <f t="shared" si="21"/>
        <v>#REF!</v>
      </c>
    </row>
    <row r="78" spans="10:39" x14ac:dyDescent="0.25"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</row>
    <row r="79" spans="10:39" x14ac:dyDescent="0.25"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</row>
    <row r="81" spans="10:39" x14ac:dyDescent="0.25">
      <c r="J81" t="s">
        <v>203</v>
      </c>
    </row>
    <row r="82" spans="10:39" x14ac:dyDescent="0.25">
      <c r="J82" t="s">
        <v>204</v>
      </c>
      <c r="L82" s="58">
        <f>VLOOKUP($J82,[1]output!$A$9:$AI$2200,L$1-$L$1+2)</f>
        <v>0</v>
      </c>
      <c r="M82" s="58">
        <f>VLOOKUP($J82,[1]output!$A$9:$AI$2200,M$1-$L$1+2)</f>
        <v>0.03</v>
      </c>
      <c r="N82" s="58">
        <f>VLOOKUP($J82,[1]output!$A$9:$AI$2200,N$1-$L$1+2)</f>
        <v>0.05</v>
      </c>
      <c r="O82" s="58">
        <f>VLOOKUP($J82,[1]output!$A$9:$AI$2200,O$1-$L$1+2)</f>
        <v>4.2000000000000003E-2</v>
      </c>
      <c r="P82" s="58">
        <f>VLOOKUP($J82,[1]output!$A$9:$AI$2200,P$1-$L$1+2)</f>
        <v>4.7E-2</v>
      </c>
      <c r="Q82" s="58">
        <f>VLOOKUP($J82,[1]output!$A$9:$AI$2200,Q$1-$L$1+2)</f>
        <v>4.9000000000000002E-2</v>
      </c>
      <c r="R82" s="58">
        <f>VLOOKUP($J82,[1]output!$A$9:$AI$2200,R$1-$L$1+2)</f>
        <v>4.7E-2</v>
      </c>
      <c r="S82" s="58">
        <f>VLOOKUP($J82,[1]output!$A$9:$AI$2200,S$1-$L$1+2)</f>
        <v>4.7E-2</v>
      </c>
      <c r="T82" s="58">
        <f>VLOOKUP($J82,[1]output!$A$9:$AI$2200,T$1-$L$1+2)</f>
        <v>5.1999999999999998E-2</v>
      </c>
      <c r="U82" s="58">
        <f>VLOOKUP($J82,[1]output!$A$9:$AI$2200,U$1-$L$1+2)</f>
        <v>5.8999999999999997E-2</v>
      </c>
      <c r="V82" s="58">
        <f>VLOOKUP($J82,[1]output!$A$9:$AI$2200,V$1-$L$1+2)</f>
        <v>6.8000000000000005E-2</v>
      </c>
      <c r="W82" s="58">
        <f>VLOOKUP($J82,[1]output!$A$9:$AI$2200,W$1-$L$1+2)</f>
        <v>7.5999999999999998E-2</v>
      </c>
      <c r="X82" s="58">
        <f>VLOOKUP($J82,[1]output!$A$9:$AI$2200,X$1-$L$1+2)</f>
        <v>7.6999999999999999E-2</v>
      </c>
      <c r="Y82" s="58">
        <f>VLOOKUP($J82,[1]output!$A$9:$AI$2200,Y$1-$L$1+2)</f>
        <v>8.5000000000000006E-2</v>
      </c>
      <c r="Z82" s="58">
        <f>VLOOKUP($J82,[1]output!$A$9:$AI$2200,Z$1-$L$1+2)</f>
        <v>7.1999999999999995E-2</v>
      </c>
      <c r="AA82" s="58">
        <f>VLOOKUP($J82,[1]output!$A$9:$AI$2200,AA$1-$L$1+2)</f>
        <v>7.2999999999999995E-2</v>
      </c>
      <c r="AB82" s="58">
        <f>VLOOKUP($J82,[1]output!$A$9:$AI$2200,AB$1-$L$1+2)</f>
        <v>0.08</v>
      </c>
      <c r="AC82" s="58">
        <f>VLOOKUP($J82,[1]output!$A$9:$AI$2200,AC$1-$L$1+2)</f>
        <v>7.0999999999999994E-2</v>
      </c>
      <c r="AD82" s="58">
        <f>VLOOKUP($J82,[1]output!$A$9:$AI$2200,AD$1-$L$1+2)</f>
        <v>7.5999999999999998E-2</v>
      </c>
      <c r="AE82" s="58">
        <f>VLOOKUP($J82,[1]output!$A$9:$AI$2200,AE$1-$L$1+2)</f>
        <v>7.8E-2</v>
      </c>
      <c r="AF82" s="58">
        <f>VLOOKUP($J82,[1]output!$A$9:$AI$2200,AF$1-$L$1+2)</f>
        <v>6.2E-2</v>
      </c>
      <c r="AG82" s="58">
        <f>VLOOKUP($J82,[1]output!$A$9:$AI$2200,AG$1-$L$1+2)</f>
        <v>5.8999999999999997E-2</v>
      </c>
      <c r="AH82" s="58">
        <f>VLOOKUP($J82,[1]output!$A$9:$AI$2200,AH$1-$L$1+2)</f>
        <v>5.8000000000000003E-2</v>
      </c>
      <c r="AI82" s="58">
        <f>VLOOKUP($J82,[1]output!$A$9:$AI$2200,AI$1-$L$1+2)</f>
        <v>5.7000000000000002E-2</v>
      </c>
      <c r="AJ82" s="58">
        <f>VLOOKUP($J82,[1]output!$A$9:$AI$2200,AJ$1-$L$1+2)</f>
        <v>5.6000000000000001E-2</v>
      </c>
      <c r="AK82" s="58">
        <f>VLOOKUP($J82,[1]output!$A$9:$AI$2200,AK$1-$L$1+2)</f>
        <v>5.6000000000000001E-2</v>
      </c>
      <c r="AL82" s="58">
        <f>VLOOKUP($J82,[1]output!$A$9:$AI$2200,AL$1-$L$1+2)</f>
        <v>5.7000000000000002E-2</v>
      </c>
      <c r="AM82" s="58">
        <f>VLOOKUP($J82,[1]output!$A$9:$AI$2200,AM$1-$L$1+2)</f>
        <v>5.6000000000000001E-2</v>
      </c>
    </row>
    <row r="83" spans="10:39" x14ac:dyDescent="0.25">
      <c r="J83" t="s">
        <v>205</v>
      </c>
      <c r="L83" s="12">
        <f>VLOOKUP($J83,[1]output!$A$9:$AI$2200,L$1-$L$1+2)</f>
        <v>0</v>
      </c>
      <c r="M83" s="12">
        <f>VLOOKUP($J83,[1]output!$A$9:$AI$2200,M$1-$L$1+2)</f>
        <v>90.516999999999996</v>
      </c>
      <c r="N83" s="12">
        <f>VLOOKUP($J83,[1]output!$A$9:$AI$2200,N$1-$L$1+2)</f>
        <v>171.125</v>
      </c>
      <c r="O83" s="12">
        <f>VLOOKUP($J83,[1]output!$A$9:$AI$2200,O$1-$L$1+2)</f>
        <v>228.69</v>
      </c>
      <c r="P83" s="12">
        <f>VLOOKUP($J83,[1]output!$A$9:$AI$2200,P$1-$L$1+2)</f>
        <v>278.87599999999998</v>
      </c>
      <c r="Q83" s="12">
        <f>VLOOKUP($J83,[1]output!$A$9:$AI$2200,Q$1-$L$1+2)</f>
        <v>300.03199999999998</v>
      </c>
      <c r="R83" s="12">
        <f>VLOOKUP($J83,[1]output!$A$9:$AI$2200,R$1-$L$1+2)</f>
        <v>301.25299999999999</v>
      </c>
      <c r="S83" s="12">
        <f>VLOOKUP($J83,[1]output!$A$9:$AI$2200,S$1-$L$1+2)</f>
        <v>292.74</v>
      </c>
      <c r="T83" s="12">
        <f>VLOOKUP($J83,[1]output!$A$9:$AI$2200,T$1-$L$1+2)</f>
        <v>329.137</v>
      </c>
      <c r="U83" s="12">
        <f>VLOOKUP($J83,[1]output!$A$9:$AI$2200,U$1-$L$1+2)</f>
        <v>315.84800000000001</v>
      </c>
      <c r="V83" s="12">
        <f>VLOOKUP($J83,[1]output!$A$9:$AI$2200,V$1-$L$1+2)</f>
        <v>333.43299999999999</v>
      </c>
      <c r="W83" s="12">
        <f>VLOOKUP($J83,[1]output!$A$9:$AI$2200,W$1-$L$1+2)</f>
        <v>353.03899999999999</v>
      </c>
      <c r="X83" s="12">
        <f>VLOOKUP($J83,[1]output!$A$9:$AI$2200,X$1-$L$1+2)</f>
        <v>357.904</v>
      </c>
      <c r="Y83" s="12">
        <f>VLOOKUP($J83,[1]output!$A$9:$AI$2200,Y$1-$L$1+2)</f>
        <v>336.38200000000001</v>
      </c>
      <c r="Z83" s="12">
        <f>VLOOKUP($J83,[1]output!$A$9:$AI$2200,Z$1-$L$1+2)</f>
        <v>297.23</v>
      </c>
      <c r="AA83" s="12">
        <f>VLOOKUP($J83,[1]output!$A$9:$AI$2200,AA$1-$L$1+2)</f>
        <v>305.41300000000001</v>
      </c>
      <c r="AB83" s="12">
        <f>VLOOKUP($J83,[1]output!$A$9:$AI$2200,AB$1-$L$1+2)</f>
        <v>316.91399999999999</v>
      </c>
      <c r="AC83" s="12">
        <f>VLOOKUP($J83,[1]output!$A$9:$AI$2200,AC$1-$L$1+2)</f>
        <v>339.44099999999997</v>
      </c>
      <c r="AD83" s="12">
        <f>VLOOKUP($J83,[1]output!$A$9:$AI$2200,AD$1-$L$1+2)</f>
        <v>302.30700000000002</v>
      </c>
      <c r="AE83" s="12">
        <f>VLOOKUP($J83,[1]output!$A$9:$AI$2200,AE$1-$L$1+2)</f>
        <v>301.84800000000001</v>
      </c>
      <c r="AF83" s="12">
        <f>VLOOKUP($J83,[1]output!$A$9:$AI$2200,AF$1-$L$1+2)</f>
        <v>246.17400000000001</v>
      </c>
      <c r="AG83" s="12">
        <f>VLOOKUP($J83,[1]output!$A$9:$AI$2200,AG$1-$L$1+2)</f>
        <v>277.34199999999998</v>
      </c>
      <c r="AH83" s="12">
        <f>VLOOKUP($J83,[1]output!$A$9:$AI$2200,AH$1-$L$1+2)</f>
        <v>266.541</v>
      </c>
      <c r="AI83" s="12">
        <f>VLOOKUP($J83,[1]output!$A$9:$AI$2200,AI$1-$L$1+2)</f>
        <v>260.13200000000001</v>
      </c>
      <c r="AJ83" s="12">
        <f>VLOOKUP($J83,[1]output!$A$9:$AI$2200,AJ$1-$L$1+2)</f>
        <v>251.34200000000001</v>
      </c>
      <c r="AK83" s="12">
        <f>VLOOKUP($J83,[1]output!$A$9:$AI$2200,AK$1-$L$1+2)</f>
        <v>240.63399999999999</v>
      </c>
      <c r="AL83" s="12">
        <f>VLOOKUP($J83,[1]output!$A$9:$AI$2200,AL$1-$L$1+2)</f>
        <v>230.13800000000001</v>
      </c>
      <c r="AM83" s="12">
        <f>VLOOKUP($J83,[1]output!$A$9:$AI$2200,AM$1-$L$1+2)</f>
        <v>221.22499999999999</v>
      </c>
    </row>
    <row r="84" spans="10:39" x14ac:dyDescent="0.25">
      <c r="J84" t="s">
        <v>206</v>
      </c>
      <c r="L84" s="12">
        <f>VLOOKUP($J84,[1]output!$A$9:$AI$2200,L$1-$L$1+2)</f>
        <v>0</v>
      </c>
      <c r="M84" s="12">
        <f>VLOOKUP($J84,[1]output!$A$9:$AI$2200,M$1-$L$1+2)</f>
        <v>60.067999999999998</v>
      </c>
      <c r="N84" s="12">
        <f>VLOOKUP($J84,[1]output!$A$9:$AI$2200,N$1-$L$1+2)</f>
        <v>83.265000000000001</v>
      </c>
      <c r="O84" s="12">
        <f>VLOOKUP($J84,[1]output!$A$9:$AI$2200,O$1-$L$1+2)</f>
        <v>182.89</v>
      </c>
      <c r="P84" s="12">
        <f>VLOOKUP($J84,[1]output!$A$9:$AI$2200,P$1-$L$1+2)</f>
        <v>201.142</v>
      </c>
      <c r="Q84" s="12">
        <f>VLOOKUP($J84,[1]output!$A$9:$AI$2200,Q$1-$L$1+2)</f>
        <v>169.363</v>
      </c>
      <c r="R84" s="12">
        <f>VLOOKUP($J84,[1]output!$A$9:$AI$2200,R$1-$L$1+2)</f>
        <v>151.79300000000001</v>
      </c>
      <c r="S84" s="12">
        <f>VLOOKUP($J84,[1]output!$A$9:$AI$2200,S$1-$L$1+2)</f>
        <v>160.9</v>
      </c>
      <c r="T84" s="12">
        <f>VLOOKUP($J84,[1]output!$A$9:$AI$2200,T$1-$L$1+2)</f>
        <v>174.71899999999999</v>
      </c>
      <c r="U84" s="12">
        <f>VLOOKUP($J84,[1]output!$A$9:$AI$2200,U$1-$L$1+2)</f>
        <v>190.476</v>
      </c>
      <c r="V84" s="12">
        <f>VLOOKUP($J84,[1]output!$A$9:$AI$2200,V$1-$L$1+2)</f>
        <v>215.19</v>
      </c>
      <c r="W84" s="12">
        <f>VLOOKUP($J84,[1]output!$A$9:$AI$2200,W$1-$L$1+2)</f>
        <v>231.386</v>
      </c>
      <c r="X84" s="12">
        <f>VLOOKUP($J84,[1]output!$A$9:$AI$2200,X$1-$L$1+2)</f>
        <v>205.995</v>
      </c>
      <c r="Y84" s="12">
        <f>VLOOKUP($J84,[1]output!$A$9:$AI$2200,Y$1-$L$1+2)</f>
        <v>210.05600000000001</v>
      </c>
      <c r="Z84" s="12">
        <f>VLOOKUP($J84,[1]output!$A$9:$AI$2200,Z$1-$L$1+2)</f>
        <v>194.923</v>
      </c>
      <c r="AA84" s="12">
        <f>VLOOKUP($J84,[1]output!$A$9:$AI$2200,AA$1-$L$1+2)</f>
        <v>190.036</v>
      </c>
      <c r="AB84" s="12">
        <f>VLOOKUP($J84,[1]output!$A$9:$AI$2200,AB$1-$L$1+2)</f>
        <v>182.08600000000001</v>
      </c>
      <c r="AC84" s="12">
        <f>VLOOKUP($J84,[1]output!$A$9:$AI$2200,AC$1-$L$1+2)</f>
        <v>186.30099999999999</v>
      </c>
      <c r="AD84" s="12">
        <f>VLOOKUP($J84,[1]output!$A$9:$AI$2200,AD$1-$L$1+2)</f>
        <v>162.54900000000001</v>
      </c>
      <c r="AE84" s="12">
        <f>VLOOKUP($J84,[1]output!$A$9:$AI$2200,AE$1-$L$1+2)</f>
        <v>157.803</v>
      </c>
      <c r="AF84" s="12">
        <f>VLOOKUP($J84,[1]output!$A$9:$AI$2200,AF$1-$L$1+2)</f>
        <v>91.447000000000003</v>
      </c>
      <c r="AG84" s="12">
        <f>VLOOKUP($J84,[1]output!$A$9:$AI$2200,AG$1-$L$1+2)</f>
        <v>114.54600000000001</v>
      </c>
      <c r="AH84" s="12">
        <f>VLOOKUP($J84,[1]output!$A$9:$AI$2200,AH$1-$L$1+2)</f>
        <v>113.158</v>
      </c>
      <c r="AI84" s="12">
        <f>VLOOKUP($J84,[1]output!$A$9:$AI$2200,AI$1-$L$1+2)</f>
        <v>112.133</v>
      </c>
      <c r="AJ84" s="12">
        <f>VLOOKUP($J84,[1]output!$A$9:$AI$2200,AJ$1-$L$1+2)</f>
        <v>111.113</v>
      </c>
      <c r="AK84" s="12">
        <f>VLOOKUP($J84,[1]output!$A$9:$AI$2200,AK$1-$L$1+2)</f>
        <v>106.964</v>
      </c>
      <c r="AL84" s="12">
        <f>VLOOKUP($J84,[1]output!$A$9:$AI$2200,AL$1-$L$1+2)</f>
        <v>102.628</v>
      </c>
      <c r="AM84" s="12">
        <f>VLOOKUP($J84,[1]output!$A$9:$AI$2200,AM$1-$L$1+2)</f>
        <v>98.462999999999994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87CF5-10F5-4476-A0D7-14F3762AAEFF}">
  <dimension ref="A1:AC4"/>
  <sheetViews>
    <sheetView tabSelected="1" workbookViewId="0">
      <selection activeCell="C6" sqref="C6"/>
    </sheetView>
  </sheetViews>
  <sheetFormatPr baseColWidth="10" defaultRowHeight="15" x14ac:dyDescent="0.25"/>
  <sheetData>
    <row r="1" spans="1:29" s="1" customFormat="1" x14ac:dyDescent="0.25"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 x14ac:dyDescent="0.25">
      <c r="A2" t="s">
        <v>207</v>
      </c>
      <c r="B2">
        <f>Aides!L5</f>
        <v>0</v>
      </c>
      <c r="C2">
        <f>Aides!M5</f>
        <v>22.382999999999999</v>
      </c>
      <c r="D2">
        <f>Aides!N5</f>
        <v>22.878</v>
      </c>
      <c r="E2">
        <f>Aides!O5</f>
        <v>28.867999999999999</v>
      </c>
      <c r="F2">
        <f>Aides!P5</f>
        <v>29.344999999999999</v>
      </c>
      <c r="G2">
        <f>Aides!Q5</f>
        <v>26.95</v>
      </c>
      <c r="H2">
        <f>Aides!R5</f>
        <v>26.073</v>
      </c>
      <c r="I2">
        <f>Aides!S5</f>
        <v>24.917999999999999</v>
      </c>
      <c r="J2">
        <f>Aides!T5</f>
        <v>26.777999999999999</v>
      </c>
      <c r="K2">
        <f>Aides!U5</f>
        <v>23.891999999999999</v>
      </c>
      <c r="L2">
        <f>Aides!V5</f>
        <v>22.959</v>
      </c>
      <c r="M2">
        <f>Aides!W5</f>
        <v>22.510999999999999</v>
      </c>
      <c r="N2">
        <f>Aides!X5</f>
        <v>21.945</v>
      </c>
      <c r="O2">
        <f>Aides!Y5</f>
        <v>19.791</v>
      </c>
      <c r="P2">
        <f>Aides!Z5</f>
        <v>22.32</v>
      </c>
      <c r="Q2">
        <f>Aides!AA5</f>
        <v>22.26</v>
      </c>
      <c r="R2">
        <f>Aides!AB5</f>
        <v>20.523</v>
      </c>
      <c r="S2">
        <f>Aides!AC5</f>
        <v>25.006</v>
      </c>
      <c r="T2">
        <f>Aides!AD5</f>
        <v>20.495000000000001</v>
      </c>
      <c r="U2">
        <f>Aides!AE5</f>
        <v>19.835999999999999</v>
      </c>
      <c r="V2">
        <f>Aides!AF5</f>
        <v>18.077000000000002</v>
      </c>
      <c r="W2">
        <f>Aides!AG5</f>
        <v>20.995999999999999</v>
      </c>
      <c r="X2">
        <f>Aides!AH5</f>
        <v>20.253</v>
      </c>
      <c r="Y2">
        <f>Aides!AI5</f>
        <v>20.567</v>
      </c>
      <c r="Z2">
        <f>Aides!AJ5</f>
        <v>19.934999999999999</v>
      </c>
      <c r="AA2">
        <f>Aides!AK5</f>
        <v>19.359000000000002</v>
      </c>
      <c r="AB2">
        <f>Aides!AL5</f>
        <v>18.827999999999999</v>
      </c>
      <c r="AC2">
        <f>Aides!AM5</f>
        <v>18.510000000000002</v>
      </c>
    </row>
    <row r="3" spans="1:29" x14ac:dyDescent="0.25">
      <c r="A3" t="s">
        <v>208</v>
      </c>
      <c r="B3">
        <f>SUM(Aides!L46:L48)</f>
        <v>0</v>
      </c>
      <c r="C3">
        <f>SUM(Aides!M46:M48)</f>
        <v>1.8519999999999999</v>
      </c>
      <c r="D3">
        <f>SUM(Aides!N46:N48)</f>
        <v>1.9279999999999999</v>
      </c>
      <c r="E3">
        <f>SUM(Aides!O46:O48)</f>
        <v>5.5672499999999996</v>
      </c>
      <c r="F3">
        <f>SUM(Aides!P46:P48)</f>
        <v>5.7917500000000004</v>
      </c>
      <c r="G3">
        <f>SUM(Aides!Q46:Q48)</f>
        <v>5.3667499999999997</v>
      </c>
      <c r="H3">
        <f>SUM(Aides!R46:R48)</f>
        <v>5.46225</v>
      </c>
      <c r="I3">
        <f>SUM(Aides!S46:S48)</f>
        <v>5.6167031295814489</v>
      </c>
      <c r="J3">
        <f>SUM(Aides!T46:T48)</f>
        <v>5.4517917448776938</v>
      </c>
      <c r="K3">
        <f>SUM(Aides!U46:U48)</f>
        <v>4.819265253993585</v>
      </c>
      <c r="L3">
        <f>SUM(Aides!V46:V48)</f>
        <v>4.360754866449172</v>
      </c>
      <c r="M3">
        <f>SUM(Aides!W46:W48)</f>
        <v>3.9834500189022539</v>
      </c>
      <c r="N3">
        <f>SUM(Aides!X46:X48)</f>
        <v>3.6836246351861526</v>
      </c>
      <c r="O3">
        <f>SUM(Aides!Y46:Y48)</f>
        <v>3.2028090539781107</v>
      </c>
      <c r="P3">
        <f>SUM(Aides!Z46:Z48)</f>
        <v>3.2890140211788124</v>
      </c>
      <c r="Q3">
        <f>SUM(Aides!AA46:AA48)</f>
        <v>3.2239537235662219</v>
      </c>
      <c r="R3">
        <f>SUM(Aides!AB46:AB48)</f>
        <v>2.8982304024481871</v>
      </c>
      <c r="S3">
        <f>SUM(Aides!AC46:AC48)</f>
        <v>3.5295517921306843</v>
      </c>
      <c r="T3">
        <f>SUM(Aides!AD46:AD48)</f>
        <v>2.7749914936123314</v>
      </c>
      <c r="U3">
        <f>SUM(Aides!AE46:AE48)</f>
        <v>2.6135660429528995</v>
      </c>
      <c r="V3">
        <f>SUM(Aides!AF46:AF48)</f>
        <v>2.4029635715172915</v>
      </c>
      <c r="W3">
        <f>SUM(Aides!AG46:AG48)</f>
        <v>2.8765276096780141</v>
      </c>
      <c r="X3">
        <f>SUM(Aides!AH46:AH48)</f>
        <v>2.7959649991656153</v>
      </c>
      <c r="Y3">
        <f>SUM(Aides!AI46:AI48)</f>
        <v>2.7625999512027386</v>
      </c>
      <c r="Z3">
        <f>SUM(Aides!AJ46:AJ48)</f>
        <v>2.716052906523196</v>
      </c>
      <c r="AA3">
        <f>SUM(Aides!AK46:AK48)</f>
        <v>2.5903393470582192</v>
      </c>
      <c r="AB3">
        <f>SUM(Aides!AL46:AL48)</f>
        <v>2.4815239152214694</v>
      </c>
      <c r="AC3">
        <f>SUM(Aides!AM46:AM48)</f>
        <v>2.4343480234803065</v>
      </c>
    </row>
    <row r="4" spans="1:29" x14ac:dyDescent="0.25">
      <c r="A4" t="s">
        <v>209</v>
      </c>
      <c r="C4">
        <f t="shared" ref="C4:AC4" si="0">C3/C2</f>
        <v>8.274136621543135E-2</v>
      </c>
      <c r="D4">
        <f t="shared" si="0"/>
        <v>8.4273100795524081E-2</v>
      </c>
      <c r="E4">
        <f t="shared" si="0"/>
        <v>0.19285194679229598</v>
      </c>
      <c r="F4">
        <f t="shared" si="0"/>
        <v>0.19736752428011589</v>
      </c>
      <c r="G4">
        <f t="shared" si="0"/>
        <v>0.19913729128014843</v>
      </c>
      <c r="H4">
        <f t="shared" si="0"/>
        <v>0.20949833160740997</v>
      </c>
      <c r="I4">
        <f t="shared" si="0"/>
        <v>0.22540746165749453</v>
      </c>
      <c r="J4">
        <f t="shared" si="0"/>
        <v>0.20359219302702569</v>
      </c>
      <c r="K4">
        <f t="shared" si="0"/>
        <v>0.20171041578744286</v>
      </c>
      <c r="L4">
        <f t="shared" si="0"/>
        <v>0.18993662034274891</v>
      </c>
      <c r="M4">
        <f t="shared" si="0"/>
        <v>0.1769557113812027</v>
      </c>
      <c r="N4">
        <f t="shared" si="0"/>
        <v>0.16785712623313523</v>
      </c>
      <c r="O4">
        <f t="shared" si="0"/>
        <v>0.16183159284412665</v>
      </c>
      <c r="P4">
        <f t="shared" si="0"/>
        <v>0.14735725901338764</v>
      </c>
      <c r="Q4">
        <f t="shared" si="0"/>
        <v>0.14483170366425074</v>
      </c>
      <c r="R4">
        <f t="shared" si="0"/>
        <v>0.14121865236311393</v>
      </c>
      <c r="S4">
        <f t="shared" si="0"/>
        <v>0.14114819611815901</v>
      </c>
      <c r="T4">
        <f t="shared" si="0"/>
        <v>0.13539846272809619</v>
      </c>
      <c r="U4">
        <f t="shared" si="0"/>
        <v>0.13175872368183605</v>
      </c>
      <c r="V4">
        <f t="shared" si="0"/>
        <v>0.13292933404421592</v>
      </c>
      <c r="W4">
        <f t="shared" si="0"/>
        <v>0.13700360114679055</v>
      </c>
      <c r="X4">
        <f t="shared" si="0"/>
        <v>0.13805189350543698</v>
      </c>
      <c r="Y4">
        <f t="shared" si="0"/>
        <v>0.13432196971861421</v>
      </c>
      <c r="Z4">
        <f t="shared" si="0"/>
        <v>0.13624544301596167</v>
      </c>
      <c r="AA4">
        <f t="shared" si="0"/>
        <v>0.13380543143025048</v>
      </c>
      <c r="AB4">
        <f t="shared" si="0"/>
        <v>0.13179965557794079</v>
      </c>
      <c r="AC4">
        <f t="shared" si="0"/>
        <v>0.13151529030147521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Parc et émission</vt:lpstr>
      <vt:lpstr>Bilan consommation</vt:lpstr>
      <vt:lpstr>Gestes de rénovation</vt:lpstr>
      <vt:lpstr>Aides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NAGY Manon</dc:creator>
  <cp:lastModifiedBy>BIORET Lucie</cp:lastModifiedBy>
  <dcterms:created xsi:type="dcterms:W3CDTF">2015-06-05T18:19:34Z</dcterms:created>
  <dcterms:modified xsi:type="dcterms:W3CDTF">2025-04-11T12:20:11Z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ce3bfb-fff1-481a-835b-0a342757958d_Enabled">
    <vt:lpwstr>true</vt:lpwstr>
  </property>
  <property fmtid="{D5CDD505-2E9C-101B-9397-08002B2CF9AE}" pid="3" name="MSIP_Label_98ce3bfb-fff1-481a-835b-0a342757958d_SetDate">
    <vt:lpwstr>2025-04-10T15:08:28Z</vt:lpwstr>
  </property>
  <property fmtid="{D5CDD505-2E9C-101B-9397-08002B2CF9AE}" pid="4" name="MSIP_Label_98ce3bfb-fff1-481a-835b-0a342757958d_Method">
    <vt:lpwstr>Standard</vt:lpwstr>
  </property>
  <property fmtid="{D5CDD505-2E9C-101B-9397-08002B2CF9AE}" pid="5" name="MSIP_Label_98ce3bfb-fff1-481a-835b-0a342757958d_Name">
    <vt:lpwstr>C0 - Public</vt:lpwstr>
  </property>
  <property fmtid="{D5CDD505-2E9C-101B-9397-08002B2CF9AE}" pid="6" name="MSIP_Label_98ce3bfb-fff1-481a-835b-0a342757958d_SiteId">
    <vt:lpwstr>cb6c2492-4a85-4b15-85a1-ed94d47e5849</vt:lpwstr>
  </property>
  <property fmtid="{D5CDD505-2E9C-101B-9397-08002B2CF9AE}" pid="7" name="MSIP_Label_98ce3bfb-fff1-481a-835b-0a342757958d_ActionId">
    <vt:lpwstr>4a55fbb7-82ee-4a13-97d5-0f39b81f3eca</vt:lpwstr>
  </property>
  <property fmtid="{D5CDD505-2E9C-101B-9397-08002B2CF9AE}" pid="8" name="MSIP_Label_98ce3bfb-fff1-481a-835b-0a342757958d_ContentBits">
    <vt:lpwstr>0</vt:lpwstr>
  </property>
  <property fmtid="{D5CDD505-2E9C-101B-9397-08002B2CF9AE}" pid="9" name="MSIP_Label_98ce3bfb-fff1-481a-835b-0a342757958d_Tag">
    <vt:lpwstr>10, 3, 0, 1</vt:lpwstr>
  </property>
</Properties>
</file>