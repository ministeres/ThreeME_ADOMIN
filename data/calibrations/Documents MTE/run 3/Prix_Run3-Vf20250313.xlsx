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4_Inventaires d'émissions, prospective et évaluation\42_Prospective\421_Scénarios prospectifs DGEC\4215_Scénarios 2023\10-Hyp cadrage\Prix energie\Cadrage run3 vf (AMS-AME 2025)\"/>
    </mc:Choice>
  </mc:AlternateContent>
  <xr:revisionPtr revIDLastSave="0" documentId="13_ncr:1_{C379A203-61E2-4730-9617-A42D084D6E95}" xr6:coauthVersionLast="47" xr6:coauthVersionMax="47" xr10:uidLastSave="{00000000-0000-0000-0000-000000000000}"/>
  <bookViews>
    <workbookView xWindow="-120" yWindow="-120" windowWidth="20730" windowHeight="11160" xr2:uid="{5146CFC6-D318-48AC-915B-B2B8F612DF83}"/>
  </bookViews>
  <sheets>
    <sheet name="Résultats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7" l="1"/>
  <c r="O7" i="7"/>
  <c r="O8" i="7"/>
  <c r="O9" i="7"/>
  <c r="O5" i="7"/>
  <c r="N6" i="7"/>
  <c r="N7" i="7"/>
  <c r="N8" i="7"/>
  <c r="N9" i="7"/>
  <c r="N5" i="7"/>
</calcChain>
</file>

<file path=xl/sharedStrings.xml><?xml version="1.0" encoding="utf-8"?>
<sst xmlns="http://schemas.openxmlformats.org/spreadsheetml/2006/main" count="35" uniqueCount="14">
  <si>
    <t>Essence</t>
  </si>
  <si>
    <t>€/MWh TTC</t>
  </si>
  <si>
    <t>Electricité</t>
  </si>
  <si>
    <t>Gaz</t>
  </si>
  <si>
    <t>Gazole</t>
  </si>
  <si>
    <t>Fioul</t>
  </si>
  <si>
    <t>AMS</t>
  </si>
  <si>
    <t>AME</t>
  </si>
  <si>
    <t>ETS2</t>
  </si>
  <si>
    <t>diff AME-AMS</t>
  </si>
  <si>
    <t>Ecarts</t>
  </si>
  <si>
    <t>ETS2-mixte additionnel sur gaz et fioul et non additionnel sur essence-gazole</t>
  </si>
  <si>
    <t>dont ETS2 additionnel sur gaz et fioul, non additionnel sur essence-gazole</t>
  </si>
  <si>
    <t>dont effets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</si>
</sst>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8"/>
      <color indexed="12"/>
      <name val="Arial"/>
      <family val="2"/>
    </font>
    <font>
      <b/>
      <sz val="9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1" fillId="0" borderId="0"/>
    <xf numFmtId="0" fontId="2" fillId="0" borderId="0" applyNumberFormat="0" applyBorder="0" applyProtection="0"/>
    <xf numFmtId="0" fontId="5" fillId="0" borderId="0"/>
    <xf numFmtId="0" fontId="6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5" fillId="0" borderId="0"/>
    <xf numFmtId="0" fontId="7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3" borderId="0" applyNumberFormat="0" applyFont="0" applyBorder="0" applyAlignment="0"/>
    <xf numFmtId="0" fontId="10" fillId="4" borderId="0" applyNumberFormat="0" applyFont="0" applyBorder="0" applyAlignment="0"/>
    <xf numFmtId="0" fontId="4" fillId="0" borderId="0"/>
    <xf numFmtId="0" fontId="1" fillId="0" borderId="0"/>
    <xf numFmtId="0" fontId="10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4" fontId="16" fillId="0" borderId="0" xfId="0" applyNumberFormat="1" applyFont="1"/>
    <xf numFmtId="0" fontId="1" fillId="0" borderId="0" xfId="0" applyFont="1"/>
    <xf numFmtId="0" fontId="3" fillId="2" borderId="1" xfId="0" applyFont="1" applyFill="1" applyBorder="1"/>
    <xf numFmtId="0" fontId="3" fillId="5" borderId="1" xfId="0" applyFont="1" applyFill="1" applyBorder="1"/>
    <xf numFmtId="0" fontId="15" fillId="2" borderId="1" xfId="0" applyFont="1" applyFill="1" applyBorder="1"/>
    <xf numFmtId="0" fontId="0" fillId="2" borderId="0" xfId="0" applyFill="1"/>
    <xf numFmtId="1" fontId="1" fillId="0" borderId="1" xfId="0" applyNumberFormat="1" applyFont="1" applyBorder="1"/>
    <xf numFmtId="0" fontId="1" fillId="0" borderId="1" xfId="0" applyFont="1" applyBorder="1"/>
    <xf numFmtId="1" fontId="1" fillId="2" borderId="1" xfId="0" applyNumberFormat="1" applyFont="1" applyFill="1" applyBorder="1"/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8" fillId="0" borderId="1" xfId="0" applyFont="1" applyBorder="1"/>
    <xf numFmtId="1" fontId="8" fillId="0" borderId="1" xfId="0" applyNumberFormat="1" applyFont="1" applyBorder="1"/>
    <xf numFmtId="1" fontId="8" fillId="2" borderId="1" xfId="0" applyNumberFormat="1" applyFont="1" applyFill="1" applyBorder="1"/>
    <xf numFmtId="0" fontId="8" fillId="6" borderId="1" xfId="0" applyFont="1" applyFill="1" applyBorder="1"/>
    <xf numFmtId="9" fontId="1" fillId="0" borderId="0" xfId="88" applyFont="1"/>
    <xf numFmtId="9" fontId="0" fillId="0" borderId="0" xfId="88" applyFont="1"/>
  </cellXfs>
  <cellStyles count="89">
    <cellStyle name="Comma 2" xfId="86" xr:uid="{B6FA062D-14E0-4947-A8DC-45A51CE500B3}"/>
    <cellStyle name="Cover" xfId="15" xr:uid="{B982F8E7-BF11-40E2-A730-B009705E13FB}"/>
    <cellStyle name="Excel Built-in Explanatory Text" xfId="2" xr:uid="{7AD5ED4A-3E45-4B6A-8503-73C318C4DF7B}"/>
    <cellStyle name="Hyperlink 2" xfId="21" xr:uid="{C1E608FF-C59C-4512-B704-F163A0BB473E}"/>
    <cellStyle name="Menu" xfId="16" xr:uid="{2AF54BD6-2799-4A41-B101-41E6682D51D4}"/>
    <cellStyle name="Milliers 2" xfId="6" xr:uid="{78F78BF3-A74C-4CBE-B56F-BCF851208FA5}"/>
    <cellStyle name="Milliers 3" xfId="7" xr:uid="{C40A4126-F65F-4C53-8FC1-6D1B2FEDB05F}"/>
    <cellStyle name="Normal" xfId="0" builtinId="0"/>
    <cellStyle name="Normal 10" xfId="23" xr:uid="{4F41C661-3CE9-4FDE-B618-6A73EC68F917}"/>
    <cellStyle name="Normal 10 2" xfId="24" xr:uid="{F23A4980-532E-46A4-97D4-A580ACDB60AF}"/>
    <cellStyle name="Normal 10 2 2" xfId="25" xr:uid="{2BDAA429-41E5-452F-8FC6-BB7234A2688A}"/>
    <cellStyle name="Normal 10 2 2 2" xfId="26" xr:uid="{2E5B59B5-EDFC-4576-94A3-1D05D18CCDF1}"/>
    <cellStyle name="Normal 10 2 3" xfId="27" xr:uid="{0E4B04F4-D5F9-4900-956C-DDE6DFA87C0F}"/>
    <cellStyle name="Normal 10 3" xfId="28" xr:uid="{51C6F3D8-9358-4A3F-8EBF-5756678A1908}"/>
    <cellStyle name="Normal 10 3 2" xfId="29" xr:uid="{03422E5C-208E-417E-B523-2D9B9477F238}"/>
    <cellStyle name="Normal 10 4" xfId="30" xr:uid="{652A1D43-28FA-40C0-AAC7-0D104D966FF1}"/>
    <cellStyle name="Normal 11" xfId="31" xr:uid="{8450AFCB-02C6-4699-9758-6F00FDA7A3FE}"/>
    <cellStyle name="Normal 11 2" xfId="32" xr:uid="{1B39C558-825D-4855-B0E9-9E91FEF9F828}"/>
    <cellStyle name="Normal 12" xfId="33" xr:uid="{4862931A-222C-447B-B3E0-DD4CD47DC2B7}"/>
    <cellStyle name="Normal 12 2" xfId="17" xr:uid="{B52CF78F-7967-4D47-8482-41D2D432A460}"/>
    <cellStyle name="Normal 13" xfId="34" xr:uid="{019411F7-87B4-41BA-A76E-D9CBACACC87B}"/>
    <cellStyle name="Normal 14" xfId="81" xr:uid="{6D039873-4B81-4D87-A3CD-E6DFF17C0560}"/>
    <cellStyle name="Normal 15" xfId="82" xr:uid="{5BB7ED83-4D07-442C-8523-4986589269B0}"/>
    <cellStyle name="Normal 16" xfId="83" xr:uid="{8028E649-C55C-4D1F-8A3B-A6BBE7DEE295}"/>
    <cellStyle name="Normal 17" xfId="13" xr:uid="{AA7B5BAE-1FEE-4472-B153-64E705431BEF}"/>
    <cellStyle name="Normal 17 2" xfId="84" xr:uid="{258FF82D-CD99-4D67-845D-98617CDAA17E}"/>
    <cellStyle name="Normal 18" xfId="22" xr:uid="{20E44C37-A37F-4798-8B6E-75AF5FFFD7B6}"/>
    <cellStyle name="Normal 19" xfId="87" xr:uid="{136C9715-739B-44AA-9E2A-9EEFBFD898CF}"/>
    <cellStyle name="Normal 2" xfId="3" xr:uid="{BD252212-32A4-4BE2-BFC9-914789780F2F}"/>
    <cellStyle name="Normal 2 2" xfId="10" xr:uid="{712F2EB9-DFA8-414C-999C-AB78FC90E9F4}"/>
    <cellStyle name="Normal 2 2 2" xfId="36" xr:uid="{F8857AAD-FDF0-426B-B8CE-2FD2E01567FC}"/>
    <cellStyle name="Normal 2 2 3" xfId="14" xr:uid="{24F55483-54FF-43A3-A70B-5B275BA0469E}"/>
    <cellStyle name="Normal 2 3" xfId="9" xr:uid="{5BFDA621-FF34-416D-A303-1793CE0D8070}"/>
    <cellStyle name="Normal 2 3 2" xfId="73" xr:uid="{F8CD1CA9-F1E6-4E9D-A94C-14BC9C7B03C8}"/>
    <cellStyle name="Normal 2 4" xfId="8" xr:uid="{8BE13591-E27C-4F33-A4D2-ACE8A17212F1}"/>
    <cellStyle name="Normal 2 4 2" xfId="85" xr:uid="{03482F7E-3B4C-4BE4-904B-C471FD600E44}"/>
    <cellStyle name="Normal 2 5" xfId="35" xr:uid="{6E03F53E-01AA-4DBB-9BEA-E8ABF35ECC50}"/>
    <cellStyle name="Normal 2 6" xfId="18" xr:uid="{67C74821-0259-4736-BB61-968234A3660D}"/>
    <cellStyle name="Normal 2 7" xfId="12" xr:uid="{B844B54C-A548-4C18-A9F3-5A5CB6F37837}"/>
    <cellStyle name="Normal 2_STO" xfId="37" xr:uid="{D7707D87-20FA-47C0-9883-6723D9F9EC01}"/>
    <cellStyle name="Normal 3" xfId="4" xr:uid="{AEF2D4CC-61A2-40C7-9BF8-8D44C5AF800D}"/>
    <cellStyle name="Normal 3 2" xfId="39" xr:uid="{C1AD8C2E-995E-45AB-9943-AC70D73A8DA7}"/>
    <cellStyle name="Normal 3 2 2" xfId="40" xr:uid="{B27F50C3-B1AD-42C4-83C5-DD445EE88CC2}"/>
    <cellStyle name="Normal 3 3" xfId="41" xr:uid="{F270E771-9B8D-479A-A0CD-861BF78EC468}"/>
    <cellStyle name="Normal 3 3 2" xfId="75" xr:uid="{F6D37303-FA1D-42DE-98DF-39B0B2AFCB60}"/>
    <cellStyle name="Normal 3 4" xfId="74" xr:uid="{7ACC311E-A1B9-476A-BA34-34DE93C889B1}"/>
    <cellStyle name="Normal 3 5" xfId="38" xr:uid="{375DB57D-97E9-4D98-9C0F-4D2BC016668C}"/>
    <cellStyle name="Normal 3 6" xfId="11" xr:uid="{56E9ED77-0D98-4912-8C90-CB1BF9280594}"/>
    <cellStyle name="Normal 4" xfId="42" xr:uid="{9B7932F6-CB14-4413-898A-F399F776B0B2}"/>
    <cellStyle name="Normal 4 2" xfId="43" xr:uid="{C944514B-FD80-4507-BAB3-BD5F628D5F09}"/>
    <cellStyle name="Normal 4 2 2" xfId="77" xr:uid="{E3D310E3-6473-45BB-B069-84A1B3E6FA2F}"/>
    <cellStyle name="Normal 4 3" xfId="44" xr:uid="{D05D66FD-A2E5-48FE-93AC-70DAC7C0311C}"/>
    <cellStyle name="Normal 4 3 2" xfId="78" xr:uid="{602BCC9F-B563-4809-B484-3915B26C65CE}"/>
    <cellStyle name="Normal 4 4" xfId="76" xr:uid="{E5029353-D610-4A04-9865-62E3CF17AF7E}"/>
    <cellStyle name="Normal 5" xfId="45" xr:uid="{3F100FAE-3B51-4C68-9CB3-37C2715E03A2}"/>
    <cellStyle name="Normal 5 2" xfId="79" xr:uid="{52F78D6A-8FB5-4D3C-AFC8-3EE329B7D0D4}"/>
    <cellStyle name="Normal 6" xfId="46" xr:uid="{6FA27C4A-1179-4B70-9450-CDFB5E4C8E38}"/>
    <cellStyle name="Normal 6 2" xfId="47" xr:uid="{1533E945-0636-47EF-BC97-DE0E7CE0562F}"/>
    <cellStyle name="Normal 61" xfId="1" xr:uid="{E07616B1-2FF7-45B0-A0D6-FF269A86E79A}"/>
    <cellStyle name="Normal 7" xfId="48" xr:uid="{C61CE0B7-88A7-45EB-A72E-6A1351F8D54D}"/>
    <cellStyle name="Normal 7 2" xfId="49" xr:uid="{6FF174F1-DA97-4FEC-8FF7-709628B1B1E8}"/>
    <cellStyle name="Normal 7 2 2" xfId="50" xr:uid="{9D02BEE0-F143-4701-8763-158F242DB85C}"/>
    <cellStyle name="Normal 7 2 2 2" xfId="51" xr:uid="{D5116FC1-37C1-4E26-A5C2-26AB6DC4D012}"/>
    <cellStyle name="Normal 7 2 3" xfId="52" xr:uid="{FB2BA7E4-03EB-4DB7-8638-75DD9EEEBAC9}"/>
    <cellStyle name="Normal 7 3" xfId="53" xr:uid="{BA85C0B1-8871-4E48-AE23-BF679E4F69D7}"/>
    <cellStyle name="Normal 7 3 2" xfId="54" xr:uid="{9167C51D-00E3-469C-95C4-51978C9B6432}"/>
    <cellStyle name="Normal 7 4" xfId="55" xr:uid="{1DCB2EB5-78D1-4144-BAF1-8C7E7E7CFA5E}"/>
    <cellStyle name="Normal 7 5" xfId="80" xr:uid="{4FDFE7B8-E0C0-469E-A72A-53B0F9EFF7BB}"/>
    <cellStyle name="Normal 8" xfId="56" xr:uid="{3B0BA2B7-8E35-4BF9-9B9C-288CC3EBFFA3}"/>
    <cellStyle name="Normal 8 2" xfId="57" xr:uid="{A0832DC2-FF84-4AF1-9E0F-BB77784259E3}"/>
    <cellStyle name="Normal 8 2 2" xfId="58" xr:uid="{F1B6309E-001A-4138-A1B4-D9BCEB6A8E27}"/>
    <cellStyle name="Normal 8 2 2 2" xfId="59" xr:uid="{4B7261FB-E553-415B-9D6A-CBDE84E5A70C}"/>
    <cellStyle name="Normal 8 2 3" xfId="60" xr:uid="{9E220990-2406-4AA1-85C7-28278BB5AA0F}"/>
    <cellStyle name="Normal 8 3" xfId="61" xr:uid="{F1A13201-ADAA-4DB3-AF48-B40C5C5EA204}"/>
    <cellStyle name="Normal 8 3 2" xfId="62" xr:uid="{A69797C8-0E7A-4C36-BC71-7031E0D8B3A5}"/>
    <cellStyle name="Normal 8 4" xfId="63" xr:uid="{60955DE3-8429-46B9-B1B0-A5313F845013}"/>
    <cellStyle name="Normal 9" xfId="64" xr:uid="{14F99E5F-3DA5-4727-B92A-D98A696517ED}"/>
    <cellStyle name="Normal 9 2" xfId="65" xr:uid="{7E9E3F14-155E-4E60-8017-A1A2AD61141F}"/>
    <cellStyle name="Normal 9 2 2" xfId="66" xr:uid="{FD5C2FFA-8E2C-4C99-A4C1-BBAD832A4B31}"/>
    <cellStyle name="Normal 9 2 2 2" xfId="67" xr:uid="{0C765A93-BEA4-40C0-8F76-5A3B3700A268}"/>
    <cellStyle name="Normal 9 2 3" xfId="68" xr:uid="{5B2032E8-20EA-45C1-88C8-5D69C1193121}"/>
    <cellStyle name="Normal 9 3" xfId="69" xr:uid="{77535311-0E3C-441C-AE9B-D3F840EDD445}"/>
    <cellStyle name="Normal 9 3 2" xfId="70" xr:uid="{9E232C8D-25BF-4D30-97BB-91F62C130DAF}"/>
    <cellStyle name="Normal 9 4" xfId="71" xr:uid="{AD8756C3-A0CB-4200-B714-40478A4FFC4E}"/>
    <cellStyle name="Pourcentage" xfId="88" builtinId="5"/>
    <cellStyle name="Style 1" xfId="72" xr:uid="{07FE067E-2269-40A6-9E92-485BCB8C1A01}"/>
    <cellStyle name="TableStyleLight1 5" xfId="20" xr:uid="{26C732D9-5DFF-40D1-AF70-F29E19F223C3}"/>
    <cellStyle name="Texte explicatif 2" xfId="5" xr:uid="{4237F583-0DDC-4BCB-8AC4-4804B6701F3A}"/>
    <cellStyle name="Κανονικό 2" xfId="19" xr:uid="{50CC4DDA-6D33-46D8-A9E6-A874CE273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2170-C354-4133-B0CE-81135E396623}">
  <dimension ref="A1:R43"/>
  <sheetViews>
    <sheetView tabSelected="1" workbookViewId="0">
      <selection activeCell="Q7" sqref="Q7"/>
    </sheetView>
  </sheetViews>
  <sheetFormatPr baseColWidth="10" defaultRowHeight="15"/>
  <cols>
    <col min="1" max="1" width="5.28515625" style="10" customWidth="1"/>
    <col min="2" max="2" width="11" customWidth="1"/>
    <col min="3" max="13" width="6.140625" customWidth="1"/>
  </cols>
  <sheetData>
    <row r="1" spans="2:18" s="6" customFormat="1">
      <c r="B1" s="6" t="s">
        <v>6</v>
      </c>
    </row>
    <row r="3" spans="2:18" s="10" customFormat="1">
      <c r="B3" s="2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8" s="10" customFormat="1">
      <c r="B4" s="16" t="s">
        <v>1</v>
      </c>
      <c r="C4" s="16">
        <v>2019</v>
      </c>
      <c r="D4" s="16">
        <v>2020</v>
      </c>
      <c r="E4" s="16">
        <v>2021</v>
      </c>
      <c r="F4" s="16">
        <v>2022</v>
      </c>
      <c r="G4" s="16">
        <v>2023</v>
      </c>
      <c r="H4" s="16">
        <v>2025</v>
      </c>
      <c r="I4" s="16">
        <v>2030</v>
      </c>
      <c r="J4" s="16">
        <v>2035</v>
      </c>
      <c r="K4" s="16">
        <v>2040</v>
      </c>
      <c r="L4" s="16">
        <v>2045</v>
      </c>
      <c r="M4" s="16">
        <v>2050</v>
      </c>
      <c r="N4" s="1"/>
    </row>
    <row r="5" spans="2:18" s="10" customFormat="1">
      <c r="B5" s="13" t="s">
        <v>2</v>
      </c>
      <c r="C5" s="14">
        <v>200.45181894552977</v>
      </c>
      <c r="D5" s="14">
        <v>211.51563069134136</v>
      </c>
      <c r="E5" s="14">
        <v>213.07326799794296</v>
      </c>
      <c r="F5" s="14">
        <v>216.79951030537578</v>
      </c>
      <c r="G5" s="15">
        <v>236.44999999999996</v>
      </c>
      <c r="H5" s="14">
        <v>237.56758694491398</v>
      </c>
      <c r="I5" s="15">
        <v>240.94115137633997</v>
      </c>
      <c r="J5" s="14">
        <v>244.52227762693076</v>
      </c>
      <c r="K5" s="15">
        <v>251.884248601031</v>
      </c>
      <c r="L5" s="14">
        <v>263.8867334803067</v>
      </c>
      <c r="M5" s="15">
        <v>276.97546024300948</v>
      </c>
      <c r="N5" s="17">
        <f>I5/C5-1</f>
        <v>0.20199034682649941</v>
      </c>
      <c r="O5" s="18">
        <f>I5/G5-1</f>
        <v>1.8994084907337783E-2</v>
      </c>
    </row>
    <row r="6" spans="2:18" s="10" customFormat="1">
      <c r="B6" s="13" t="s">
        <v>3</v>
      </c>
      <c r="C6" s="14">
        <v>91.3</v>
      </c>
      <c r="D6" s="14">
        <v>78.900000000000006</v>
      </c>
      <c r="E6" s="14">
        <v>98.9</v>
      </c>
      <c r="F6" s="14">
        <v>121.2</v>
      </c>
      <c r="G6" s="15">
        <v>133.30000000000001</v>
      </c>
      <c r="H6" s="14">
        <v>146.61647436855321</v>
      </c>
      <c r="I6" s="15">
        <v>184.48216415673676</v>
      </c>
      <c r="J6" s="14">
        <v>212.52743028116959</v>
      </c>
      <c r="K6" s="15">
        <v>272.24447115370657</v>
      </c>
      <c r="L6" s="14">
        <v>312.19598332863063</v>
      </c>
      <c r="M6" s="15">
        <v>354.45423287235622</v>
      </c>
      <c r="N6" s="17">
        <f t="shared" ref="N6:N9" si="0">I6/C6-1</f>
        <v>1.0206151605338092</v>
      </c>
      <c r="O6" s="18">
        <f t="shared" ref="O6:O9" si="1">I6/G6-1</f>
        <v>0.3839622217309584</v>
      </c>
    </row>
    <row r="7" spans="2:18" s="10" customFormat="1">
      <c r="B7" s="13" t="s">
        <v>4</v>
      </c>
      <c r="C7" s="14">
        <v>166.1</v>
      </c>
      <c r="D7" s="14">
        <v>143.9</v>
      </c>
      <c r="E7" s="14">
        <v>162.6</v>
      </c>
      <c r="F7" s="14">
        <v>207.2</v>
      </c>
      <c r="G7" s="15">
        <v>191.9</v>
      </c>
      <c r="H7" s="14">
        <v>183.35588509054028</v>
      </c>
      <c r="I7" s="15">
        <v>207.94453733544668</v>
      </c>
      <c r="J7" s="14">
        <v>251.27884604937086</v>
      </c>
      <c r="K7" s="15">
        <v>304.63243197388192</v>
      </c>
      <c r="L7" s="14">
        <v>330.61169444929834</v>
      </c>
      <c r="M7" s="15">
        <v>325.35138614209143</v>
      </c>
      <c r="N7" s="17">
        <f t="shared" si="0"/>
        <v>0.25192376481304457</v>
      </c>
      <c r="O7" s="18">
        <f t="shared" si="1"/>
        <v>8.3608844895501244E-2</v>
      </c>
    </row>
    <row r="8" spans="2:18" s="10" customFormat="1">
      <c r="B8" s="13" t="s">
        <v>0</v>
      </c>
      <c r="C8" s="14">
        <v>192.4</v>
      </c>
      <c r="D8" s="14">
        <v>172</v>
      </c>
      <c r="E8" s="14">
        <v>195.5</v>
      </c>
      <c r="F8" s="14">
        <v>222.6</v>
      </c>
      <c r="G8" s="15">
        <v>223.4</v>
      </c>
      <c r="H8" s="14">
        <v>214.9705808935785</v>
      </c>
      <c r="I8" s="15">
        <v>238.69337651905985</v>
      </c>
      <c r="J8" s="14">
        <v>280.52157534671818</v>
      </c>
      <c r="K8" s="15">
        <v>334.1983702527674</v>
      </c>
      <c r="L8" s="14">
        <v>390.69340487512369</v>
      </c>
      <c r="M8" s="15">
        <v>347.80711565744809</v>
      </c>
      <c r="N8" s="17">
        <f t="shared" si="0"/>
        <v>0.24061006506787863</v>
      </c>
      <c r="O8" s="18">
        <f t="shared" si="1"/>
        <v>6.8457370273320661E-2</v>
      </c>
    </row>
    <row r="9" spans="2:18" s="10" customFormat="1">
      <c r="B9" s="13" t="s">
        <v>5</v>
      </c>
      <c r="C9" s="14">
        <v>107.3</v>
      </c>
      <c r="D9" s="14">
        <v>87.18</v>
      </c>
      <c r="E9" s="14">
        <v>102.9</v>
      </c>
      <c r="F9" s="14">
        <v>166.1</v>
      </c>
      <c r="G9" s="15">
        <v>135.19999999999999</v>
      </c>
      <c r="H9" s="14">
        <v>130.02357264232126</v>
      </c>
      <c r="I9" s="15">
        <v>181.69267090846768</v>
      </c>
      <c r="J9" s="14">
        <v>248.68624777092029</v>
      </c>
      <c r="K9" s="15">
        <v>301.77991417092028</v>
      </c>
      <c r="L9" s="14">
        <v>357.87170649092025</v>
      </c>
      <c r="M9" s="15">
        <v>394.36381497092032</v>
      </c>
      <c r="N9" s="17">
        <f t="shared" si="0"/>
        <v>0.69331473353651152</v>
      </c>
      <c r="O9" s="18">
        <f t="shared" si="1"/>
        <v>0.34388070198570775</v>
      </c>
    </row>
    <row r="10" spans="2:18">
      <c r="O10" s="10"/>
      <c r="P10" s="10"/>
      <c r="Q10" s="10"/>
      <c r="R10" s="10"/>
    </row>
    <row r="11" spans="2:18" s="10" customFormat="1"/>
    <row r="12" spans="2:18" s="6" customFormat="1">
      <c r="B12" s="6" t="s">
        <v>7</v>
      </c>
    </row>
    <row r="14" spans="2:18">
      <c r="B14" s="4" t="s">
        <v>1</v>
      </c>
      <c r="C14" s="5">
        <v>2019</v>
      </c>
      <c r="D14" s="5">
        <v>2020</v>
      </c>
      <c r="E14" s="5">
        <v>2021</v>
      </c>
      <c r="F14" s="5">
        <v>2022</v>
      </c>
      <c r="G14" s="5">
        <v>2023</v>
      </c>
      <c r="H14" s="3">
        <v>2025</v>
      </c>
      <c r="I14" s="3">
        <v>2030</v>
      </c>
      <c r="J14" s="3">
        <v>2035</v>
      </c>
      <c r="K14" s="3">
        <v>2040</v>
      </c>
      <c r="L14" s="3">
        <v>2045</v>
      </c>
      <c r="M14" s="3">
        <v>2050</v>
      </c>
    </row>
    <row r="15" spans="2:18">
      <c r="B15" s="11" t="s">
        <v>2</v>
      </c>
      <c r="C15" s="12">
        <v>200.45181894552977</v>
      </c>
      <c r="D15" s="12">
        <v>211.51563069134136</v>
      </c>
      <c r="E15" s="12">
        <v>213.07326799794296</v>
      </c>
      <c r="F15" s="12">
        <v>216.79951030537578</v>
      </c>
      <c r="G15" s="12">
        <v>236.44999999999996</v>
      </c>
      <c r="H15" s="12">
        <v>236.56405721509421</v>
      </c>
      <c r="I15" s="12">
        <v>240.94115137633997</v>
      </c>
      <c r="J15" s="12">
        <v>244.52227762693076</v>
      </c>
      <c r="K15" s="12">
        <v>251.884248601031</v>
      </c>
      <c r="L15" s="12">
        <v>263.8867334803067</v>
      </c>
      <c r="M15" s="12">
        <v>276.97546024300948</v>
      </c>
      <c r="O15" s="10"/>
    </row>
    <row r="16" spans="2:18">
      <c r="B16" s="11" t="s">
        <v>3</v>
      </c>
      <c r="C16" s="12">
        <v>91.3</v>
      </c>
      <c r="D16" s="12">
        <v>78.900000000000006</v>
      </c>
      <c r="E16" s="12">
        <v>98.9</v>
      </c>
      <c r="F16" s="12">
        <v>121.2</v>
      </c>
      <c r="G16" s="12">
        <v>133.30000000000001</v>
      </c>
      <c r="H16" s="12">
        <v>126.42100518080949</v>
      </c>
      <c r="I16" s="12">
        <v>149.09326449989535</v>
      </c>
      <c r="J16" s="12">
        <v>158.35265235993981</v>
      </c>
      <c r="K16" s="12">
        <v>186.3132717385877</v>
      </c>
      <c r="L16" s="12">
        <v>210.31770373414491</v>
      </c>
      <c r="M16" s="12">
        <v>250.29389158708287</v>
      </c>
      <c r="O16" s="10"/>
    </row>
    <row r="17" spans="2:15">
      <c r="B17" s="11" t="s">
        <v>4</v>
      </c>
      <c r="C17" s="12">
        <v>166.1</v>
      </c>
      <c r="D17" s="12">
        <v>143.9</v>
      </c>
      <c r="E17" s="12">
        <v>162.6</v>
      </c>
      <c r="F17" s="12">
        <v>207.2</v>
      </c>
      <c r="G17" s="12">
        <v>191.9</v>
      </c>
      <c r="H17" s="12">
        <v>183.35588509054028</v>
      </c>
      <c r="I17" s="12">
        <v>202.05815189468493</v>
      </c>
      <c r="J17" s="12">
        <v>216.01406964064117</v>
      </c>
      <c r="K17" s="12">
        <v>228.76600543210833</v>
      </c>
      <c r="L17" s="12">
        <v>255.53525526303767</v>
      </c>
      <c r="M17" s="12">
        <v>309.52146150430076</v>
      </c>
      <c r="O17" s="10"/>
    </row>
    <row r="18" spans="2:15">
      <c r="B18" s="11" t="s">
        <v>0</v>
      </c>
      <c r="C18" s="12">
        <v>192.4</v>
      </c>
      <c r="D18" s="12">
        <v>172</v>
      </c>
      <c r="E18" s="12">
        <v>195.5</v>
      </c>
      <c r="F18" s="12">
        <v>222.6</v>
      </c>
      <c r="G18" s="12">
        <v>223.4</v>
      </c>
      <c r="H18" s="12">
        <v>214.9705808935785</v>
      </c>
      <c r="I18" s="12">
        <v>233.10351377956681</v>
      </c>
      <c r="J18" s="12">
        <v>248.03846322552303</v>
      </c>
      <c r="K18" s="12">
        <v>261.06235226699022</v>
      </c>
      <c r="L18" s="12">
        <v>288.73811293125289</v>
      </c>
      <c r="M18" s="12">
        <v>344.35603867251598</v>
      </c>
      <c r="O18" s="10"/>
    </row>
    <row r="19" spans="2:15">
      <c r="B19" s="11" t="s">
        <v>5</v>
      </c>
      <c r="C19" s="12">
        <v>107.3</v>
      </c>
      <c r="D19" s="12">
        <v>87.18</v>
      </c>
      <c r="E19" s="12">
        <v>102.9</v>
      </c>
      <c r="F19" s="12">
        <v>166.1</v>
      </c>
      <c r="G19" s="12">
        <v>135.19999999999999</v>
      </c>
      <c r="H19" s="12">
        <v>130.02357264232126</v>
      </c>
      <c r="I19" s="12">
        <v>163.22380906846769</v>
      </c>
      <c r="J19" s="12">
        <v>201.67459945092028</v>
      </c>
      <c r="K19" s="12">
        <v>191.95117841519044</v>
      </c>
      <c r="L19" s="12">
        <v>218.87268239233106</v>
      </c>
      <c r="M19" s="12">
        <v>225.22832137250793</v>
      </c>
      <c r="O19" s="10"/>
    </row>
    <row r="21" spans="2:15" s="6" customFormat="1">
      <c r="B21" s="6" t="s">
        <v>10</v>
      </c>
    </row>
    <row r="22" spans="2:15" s="10" customFormat="1"/>
    <row r="23" spans="2:15">
      <c r="B23" t="s">
        <v>9</v>
      </c>
    </row>
    <row r="24" spans="2:15">
      <c r="B24" s="4" t="s">
        <v>1</v>
      </c>
      <c r="C24" s="5">
        <v>2019</v>
      </c>
      <c r="D24" s="5">
        <v>2020</v>
      </c>
      <c r="E24" s="5">
        <v>2021</v>
      </c>
      <c r="F24" s="5">
        <v>2022</v>
      </c>
      <c r="G24" s="5">
        <v>2023</v>
      </c>
      <c r="H24" s="3">
        <v>2025</v>
      </c>
      <c r="I24" s="3">
        <v>2030</v>
      </c>
      <c r="J24" s="3">
        <v>2035</v>
      </c>
      <c r="K24" s="3">
        <v>2040</v>
      </c>
      <c r="L24" s="3">
        <v>2045</v>
      </c>
      <c r="M24" s="3">
        <v>2050</v>
      </c>
    </row>
    <row r="25" spans="2:15">
      <c r="B25" s="11" t="s">
        <v>2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1.0035297298197747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</row>
    <row r="26" spans="2:15">
      <c r="B26" s="11" t="s">
        <v>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20.195469187743726</v>
      </c>
      <c r="I26" s="12">
        <v>35.388899656841403</v>
      </c>
      <c r="J26" s="12">
        <v>54.174777921229776</v>
      </c>
      <c r="K26" s="12">
        <v>85.931199415118869</v>
      </c>
      <c r="L26" s="12">
        <v>101.87827959448572</v>
      </c>
      <c r="M26" s="12">
        <v>104.16034128527335</v>
      </c>
    </row>
    <row r="27" spans="2:15">
      <c r="B27" s="11" t="s">
        <v>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5.8863854407617566</v>
      </c>
      <c r="J27" s="12">
        <v>35.264776408729688</v>
      </c>
      <c r="K27" s="12">
        <v>75.866426541773592</v>
      </c>
      <c r="L27" s="12">
        <v>75.076439186260671</v>
      </c>
      <c r="M27" s="12">
        <v>15.829924637790668</v>
      </c>
    </row>
    <row r="28" spans="2:15">
      <c r="B28" s="11" t="s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5.5898627394930429</v>
      </c>
      <c r="J28" s="12">
        <v>32.483112121195148</v>
      </c>
      <c r="K28" s="12">
        <v>73.136017985777187</v>
      </c>
      <c r="L28" s="12">
        <v>101.9552919438708</v>
      </c>
      <c r="M28" s="12">
        <v>3.451076984932115</v>
      </c>
    </row>
    <row r="29" spans="2:15">
      <c r="B29" s="11" t="s">
        <v>5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18.468861839999988</v>
      </c>
      <c r="J29" s="12">
        <v>47.011648320000006</v>
      </c>
      <c r="K29" s="12">
        <v>109.82873575572984</v>
      </c>
      <c r="L29" s="12">
        <v>138.99902409858919</v>
      </c>
      <c r="M29" s="12">
        <v>169.13549359841238</v>
      </c>
    </row>
    <row r="31" spans="2:15">
      <c r="B31" t="s">
        <v>12</v>
      </c>
    </row>
    <row r="32" spans="2:15">
      <c r="B32" s="4" t="s">
        <v>8</v>
      </c>
      <c r="C32" s="4"/>
      <c r="D32" s="4"/>
      <c r="E32" s="4"/>
      <c r="F32" s="4"/>
      <c r="G32" s="5">
        <v>2023</v>
      </c>
      <c r="H32" s="3">
        <v>2025</v>
      </c>
      <c r="I32" s="3">
        <v>2030</v>
      </c>
      <c r="J32" s="3">
        <v>2035</v>
      </c>
      <c r="K32" s="3">
        <v>2040</v>
      </c>
      <c r="L32" s="3">
        <v>2045</v>
      </c>
      <c r="M32" s="3">
        <v>2050</v>
      </c>
    </row>
    <row r="33" spans="2:13">
      <c r="B33" s="8" t="s">
        <v>3</v>
      </c>
      <c r="C33" s="8"/>
      <c r="D33" s="8"/>
      <c r="E33" s="8"/>
      <c r="F33" s="8"/>
      <c r="G33" s="7">
        <v>0</v>
      </c>
      <c r="H33" s="7">
        <v>0</v>
      </c>
      <c r="I33" s="9">
        <v>8.6189655487821533</v>
      </c>
      <c r="J33" s="7">
        <v>20.02514021799583</v>
      </c>
      <c r="K33" s="9">
        <v>31.134492247329078</v>
      </c>
      <c r="L33" s="7">
        <v>29.419529034296982</v>
      </c>
      <c r="M33" s="9">
        <v>0</v>
      </c>
    </row>
    <row r="34" spans="2:13">
      <c r="B34" s="8" t="s">
        <v>4</v>
      </c>
      <c r="C34" s="8"/>
      <c r="D34" s="8"/>
      <c r="E34" s="8"/>
      <c r="F34" s="8"/>
      <c r="G34" s="7">
        <v>0</v>
      </c>
      <c r="H34" s="7">
        <v>0</v>
      </c>
      <c r="I34" s="9">
        <v>2.7053798207206179</v>
      </c>
      <c r="J34" s="7">
        <v>21.915034040937019</v>
      </c>
      <c r="K34" s="9">
        <v>47.325520236984111</v>
      </c>
      <c r="L34" s="7">
        <v>43.205943456</v>
      </c>
      <c r="M34" s="9">
        <v>0</v>
      </c>
    </row>
    <row r="35" spans="2:13">
      <c r="B35" s="8" t="s">
        <v>0</v>
      </c>
      <c r="C35" s="8"/>
      <c r="D35" s="8"/>
      <c r="E35" s="8"/>
      <c r="F35" s="8"/>
      <c r="G35" s="7">
        <v>0</v>
      </c>
      <c r="H35" s="7">
        <v>0</v>
      </c>
      <c r="I35" s="9">
        <v>2.5291208360802422</v>
      </c>
      <c r="J35" s="7">
        <v>21.262513975981001</v>
      </c>
      <c r="K35" s="9">
        <v>44.410117887367974</v>
      </c>
      <c r="L35" s="7">
        <v>40.407177888</v>
      </c>
      <c r="M35" s="9">
        <v>0</v>
      </c>
    </row>
    <row r="36" spans="2:13">
      <c r="B36" s="8" t="s">
        <v>5</v>
      </c>
      <c r="C36" s="8"/>
      <c r="D36" s="8"/>
      <c r="E36" s="8"/>
      <c r="F36" s="8"/>
      <c r="G36" s="7">
        <v>0</v>
      </c>
      <c r="H36" s="7">
        <v>0</v>
      </c>
      <c r="I36" s="9">
        <v>15.390718199999998</v>
      </c>
      <c r="J36" s="7">
        <v>39.176373599999998</v>
      </c>
      <c r="K36" s="9">
        <v>81.151059599999996</v>
      </c>
      <c r="L36" s="7">
        <v>120.3274332</v>
      </c>
      <c r="M36" s="9">
        <v>137.1173076</v>
      </c>
    </row>
    <row r="38" spans="2:13">
      <c r="B38" s="10" t="s">
        <v>13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>
      <c r="B39" s="4" t="s">
        <v>8</v>
      </c>
      <c r="C39" s="4"/>
      <c r="D39" s="4"/>
      <c r="E39" s="4"/>
      <c r="F39" s="4"/>
      <c r="G39" s="5">
        <v>2023</v>
      </c>
      <c r="H39" s="3">
        <v>2025</v>
      </c>
      <c r="I39" s="3">
        <v>2030</v>
      </c>
      <c r="J39" s="3">
        <v>2035</v>
      </c>
      <c r="K39" s="3">
        <v>2040</v>
      </c>
      <c r="L39" s="3">
        <v>2045</v>
      </c>
      <c r="M39" s="3">
        <v>2050</v>
      </c>
    </row>
    <row r="40" spans="2:13">
      <c r="B40" s="8" t="s">
        <v>3</v>
      </c>
      <c r="C40" s="8"/>
      <c r="D40" s="8"/>
      <c r="E40" s="8"/>
      <c r="F40" s="8"/>
      <c r="G40" s="7">
        <v>0</v>
      </c>
      <c r="H40" s="7">
        <v>20.195469187743726</v>
      </c>
      <c r="I40" s="7">
        <v>26.76993410805925</v>
      </c>
      <c r="J40" s="7">
        <v>34.14963770323395</v>
      </c>
      <c r="K40" s="7">
        <v>54.796707167789791</v>
      </c>
      <c r="L40" s="7">
        <v>72.458750560188733</v>
      </c>
      <c r="M40" s="7">
        <v>104.16034128527335</v>
      </c>
    </row>
    <row r="41" spans="2:13">
      <c r="B41" s="8" t="s">
        <v>4</v>
      </c>
      <c r="C41" s="8"/>
      <c r="D41" s="8"/>
      <c r="E41" s="8"/>
      <c r="F41" s="8"/>
      <c r="G41" s="7">
        <v>0</v>
      </c>
      <c r="H41" s="7">
        <v>0</v>
      </c>
      <c r="I41" s="7">
        <v>3.1810056200411387</v>
      </c>
      <c r="J41" s="7">
        <v>13.349742367792668</v>
      </c>
      <c r="K41" s="7">
        <v>28.54090630478948</v>
      </c>
      <c r="L41" s="7">
        <v>31.870495730260672</v>
      </c>
      <c r="M41" s="7">
        <v>15.829924637790668</v>
      </c>
    </row>
    <row r="42" spans="2:13">
      <c r="B42" s="8" t="s">
        <v>0</v>
      </c>
      <c r="C42" s="8"/>
      <c r="D42" s="8"/>
      <c r="E42" s="8"/>
      <c r="F42" s="8"/>
      <c r="G42" s="7">
        <v>0</v>
      </c>
      <c r="H42" s="7">
        <v>0</v>
      </c>
      <c r="I42" s="7">
        <v>3.0607419034128007</v>
      </c>
      <c r="J42" s="7">
        <v>11.220598145214147</v>
      </c>
      <c r="K42" s="7">
        <v>28.725900098409213</v>
      </c>
      <c r="L42" s="7">
        <v>61.548114055870805</v>
      </c>
      <c r="M42" s="7">
        <v>3.451076984932115</v>
      </c>
    </row>
    <row r="43" spans="2:13">
      <c r="B43" s="8" t="s">
        <v>5</v>
      </c>
      <c r="C43" s="8"/>
      <c r="D43" s="8"/>
      <c r="E43" s="8"/>
      <c r="F43" s="8"/>
      <c r="G43" s="7">
        <v>0</v>
      </c>
      <c r="H43" s="7">
        <v>0</v>
      </c>
      <c r="I43" s="7">
        <v>3.0781436399999897</v>
      </c>
      <c r="J43" s="7">
        <v>7.8352747200000081</v>
      </c>
      <c r="K43" s="7">
        <v>28.677676155729841</v>
      </c>
      <c r="L43" s="7">
        <v>18.671590898589187</v>
      </c>
      <c r="M43" s="7">
        <v>32.018185998412378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CABANNE Isabelle</dc:creator>
  <cp:lastModifiedBy>CABANNE Isabelle</cp:lastModifiedBy>
  <dcterms:created xsi:type="dcterms:W3CDTF">2025-02-06T15:54:45Z</dcterms:created>
  <dcterms:modified xsi:type="dcterms:W3CDTF">2025-04-02T17:10:54Z</dcterms:modified>
</cp:coreProperties>
</file>