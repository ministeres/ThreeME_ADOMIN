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nerdata.sharepoint.com/sites/AODGECAMEAMS2023/Documents partages/General/4. Modelisation/2. Indicateurs/"/>
    </mc:Choice>
  </mc:AlternateContent>
  <xr:revisionPtr revIDLastSave="6" documentId="8_{B9AAEA07-B818-4C18-9A39-444838BD2BBF}" xr6:coauthVersionLast="47" xr6:coauthVersionMax="47" xr10:uidLastSave="{FF46B9FE-0B3F-40FE-AED0-2D017979E427}"/>
  <bookViews>
    <workbookView xWindow="-30" yWindow="-16320" windowWidth="29040" windowHeight="15840" activeTab="6" xr2:uid="{00000000-000D-0000-FFFF-FFFF00000000}"/>
  </bookViews>
  <sheets>
    <sheet name="Run2AME_CONT" sheetId="3" r:id="rId1"/>
    <sheet name="Run2AMS_CONT" sheetId="4" r:id="rId2"/>
    <sheet name="Run2AME_MET" sheetId="1" r:id="rId3"/>
    <sheet name="Run2AMS_MET" sheetId="2" r:id="rId4"/>
    <sheet name="Run2AME_KYO" sheetId="5" r:id="rId5"/>
    <sheet name="Run2AMS_KYO" sheetId="6" r:id="rId6"/>
    <sheet name="Graphs" sheetId="7" r:id="rId7"/>
    <sheet name="Objectifs" sheetId="8" r:id="rId8"/>
  </sheets>
  <definedNames>
    <definedName name="beccstot">#REF!</definedName>
    <definedName name="ccsbeccstot">#REF!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7" l="1"/>
  <c r="F5" i="7"/>
  <c r="I5" i="7"/>
  <c r="V10" i="7"/>
  <c r="AB5" i="7"/>
  <c r="O7" i="7"/>
  <c r="N5" i="7"/>
  <c r="AB7" i="7"/>
  <c r="U9" i="7"/>
  <c r="V8" i="7"/>
  <c r="K6" i="7"/>
  <c r="AD9" i="7"/>
  <c r="I8" i="7"/>
  <c r="X10" i="7"/>
  <c r="M10" i="7"/>
  <c r="AB8" i="7"/>
  <c r="T8" i="7"/>
  <c r="I9" i="7"/>
  <c r="M8" i="7"/>
  <c r="AE5" i="7"/>
  <c r="AA5" i="7"/>
  <c r="Y8" i="7"/>
  <c r="G6" i="7"/>
  <c r="E6" i="7"/>
  <c r="AC6" i="7"/>
  <c r="M5" i="7"/>
  <c r="Y5" i="7"/>
  <c r="L5" i="7"/>
  <c r="V5" i="7"/>
  <c r="L10" i="7"/>
  <c r="D5" i="7"/>
  <c r="G7" i="7"/>
  <c r="C7" i="7"/>
  <c r="K10" i="7"/>
  <c r="AA6" i="7"/>
  <c r="C9" i="7"/>
  <c r="W8" i="7"/>
  <c r="G10" i="7"/>
  <c r="E7" i="7"/>
  <c r="K8" i="7"/>
  <c r="D6" i="7"/>
  <c r="L8" i="7"/>
  <c r="S5" i="7"/>
  <c r="N8" i="7"/>
  <c r="S3" i="7"/>
  <c r="M6" i="7"/>
  <c r="C5" i="7"/>
  <c r="AB6" i="7"/>
  <c r="AD7" i="7"/>
  <c r="U5" i="7"/>
  <c r="S6" i="7"/>
  <c r="J6" i="7"/>
  <c r="W9" i="7"/>
  <c r="X8" i="7"/>
  <c r="J8" i="7"/>
  <c r="AC10" i="7"/>
  <c r="D7" i="7"/>
  <c r="F6" i="7"/>
  <c r="C10" i="7"/>
  <c r="G8" i="7"/>
  <c r="N10" i="7"/>
  <c r="AC9" i="7"/>
  <c r="G9" i="7"/>
  <c r="E8" i="7"/>
  <c r="L6" i="7"/>
  <c r="N9" i="7"/>
  <c r="I7" i="7"/>
  <c r="W5" i="7"/>
  <c r="K5" i="7"/>
  <c r="H6" i="7"/>
  <c r="AE9" i="7"/>
  <c r="AA7" i="7"/>
  <c r="AE8" i="7"/>
  <c r="J5" i="7"/>
  <c r="Z7" i="7"/>
  <c r="AE7" i="7"/>
  <c r="J7" i="7"/>
  <c r="Z9" i="7"/>
  <c r="O9" i="7"/>
  <c r="N6" i="7"/>
  <c r="D10" i="7"/>
  <c r="E10" i="7"/>
  <c r="AA8" i="7"/>
  <c r="T9" i="7"/>
  <c r="C8" i="7"/>
  <c r="N7" i="7"/>
  <c r="W6" i="7"/>
  <c r="U7" i="7"/>
  <c r="C6" i="7"/>
  <c r="V6" i="7"/>
  <c r="C3" i="7"/>
  <c r="Y6" i="7"/>
  <c r="X5" i="7"/>
  <c r="AD6" i="7"/>
  <c r="U10" i="7"/>
  <c r="S8" i="7"/>
  <c r="O5" i="7"/>
  <c r="G5" i="7"/>
  <c r="I10" i="7"/>
  <c r="T5" i="7"/>
  <c r="AA10" i="7"/>
  <c r="AD10" i="7"/>
  <c r="AD8" i="7"/>
  <c r="J9" i="7"/>
  <c r="AC8" i="7"/>
  <c r="I6" i="7"/>
  <c r="U8" i="7"/>
  <c r="F10" i="7"/>
  <c r="L9" i="7"/>
  <c r="Y7" i="7"/>
  <c r="X9" i="7"/>
  <c r="O8" i="7"/>
  <c r="W10" i="7"/>
  <c r="U6" i="7"/>
  <c r="M7" i="7"/>
  <c r="K7" i="7"/>
  <c r="W7" i="7"/>
  <c r="AC7" i="7"/>
  <c r="AB10" i="7"/>
  <c r="AD5" i="7"/>
  <c r="E5" i="7"/>
  <c r="Y9" i="7"/>
  <c r="AE10" i="7"/>
  <c r="V9" i="7"/>
  <c r="H5" i="7"/>
  <c r="F8" i="7"/>
  <c r="D9" i="7"/>
  <c r="T10" i="7"/>
  <c r="M9" i="7"/>
  <c r="X6" i="7"/>
  <c r="H8" i="7"/>
  <c r="S9" i="7"/>
  <c r="V7" i="7"/>
  <c r="T7" i="7"/>
  <c r="S10" i="7"/>
  <c r="Y10" i="7"/>
  <c r="Z6" i="7"/>
  <c r="S7" i="7"/>
  <c r="AE6" i="7"/>
  <c r="AC5" i="7"/>
  <c r="T6" i="7"/>
  <c r="L7" i="7"/>
  <c r="O6" i="7"/>
  <c r="AB9" i="7"/>
  <c r="K9" i="7"/>
  <c r="J10" i="7"/>
  <c r="D8" i="7"/>
  <c r="AA9" i="7"/>
  <c r="H10" i="7"/>
  <c r="H7" i="7"/>
  <c r="O10" i="7"/>
  <c r="F9" i="7"/>
  <c r="Z8" i="7"/>
  <c r="E9" i="7"/>
  <c r="F7" i="7"/>
  <c r="X7" i="7"/>
  <c r="Z10" i="7"/>
  <c r="H9" i="7"/>
</calcChain>
</file>

<file path=xl/sharedStrings.xml><?xml version="1.0" encoding="utf-8"?>
<sst xmlns="http://schemas.openxmlformats.org/spreadsheetml/2006/main" count="972" uniqueCount="196">
  <si>
    <t>serie</t>
  </si>
  <si>
    <t>definition</t>
  </si>
  <si>
    <t>RHBCP_2012</t>
  </si>
  <si>
    <t>consommation d'énergie primaire d'origine renouvelable (hors biomasse)</t>
  </si>
  <si>
    <t>redco2en1990</t>
  </si>
  <si>
    <t>Variation des émissions de GES liées à la combustion d'énergie tous secteurs confondus (hors soutes internationales), tous combustibles confondus
par rapport à 1990</t>
  </si>
  <si>
    <t>redgesky1990</t>
  </si>
  <si>
    <t>Variation des émissions de GES totales (hors soutes internationales) liées à la combustion d'énergie + process et sols 
sans LULUCF
par rapport à 1990</t>
  </si>
  <si>
    <t>redgesllcf1990</t>
  </si>
  <si>
    <t>Variation des émissions de GES totales (hors soutes internationales) liées à la combustion d'énergie + process et sols 
avec LULUCF
par rapport à 1990</t>
  </si>
  <si>
    <t>redgesllcfpt1990</t>
  </si>
  <si>
    <t>Variation des émissions de GES totales (hors soutes internationales) liées à la combustion d'énergie + process et sols 
avec LULUCF
avec Puits Technos
par rapport à 1990</t>
  </si>
  <si>
    <t>redgesky1990sout</t>
  </si>
  <si>
    <t>Variation des émissions de GES totales (incluant les soutes internationales) liées à la combustion d'énergie + process et sols
sans LULUCF
par rapport à 1990</t>
  </si>
  <si>
    <t>redgesllcf1990sout</t>
  </si>
  <si>
    <t>Variation des émissions de GES totales (incluant les soutes internationales) liées à la combustion d'énergie + process et sols
avec LULUCF
par rapport à 1990</t>
  </si>
  <si>
    <t>redgesllcfpt1990sout</t>
  </si>
  <si>
    <t>Variation des émissions de GES totales (incluant les soutes internationales) liées à la combustion d'énergie + process et sols
avec LULUCF
avec Puits Technos
par rapport à 1990</t>
  </si>
  <si>
    <t>geseavd</t>
  </si>
  <si>
    <t>Aviation domestique Métropole + vols vers/depuis DROM</t>
  </si>
  <si>
    <t>gestotets</t>
  </si>
  <si>
    <t>gestotets_avd</t>
  </si>
  <si>
    <t>émissions de GES totales 
(hors soutes internationales) liées à la combustion d'énergie + process et sols 
périmètre ETS
sans LULUCF</t>
  </si>
  <si>
    <t>émissions de GES totales 
(hors soutes internationales) liées à la combustion d'énergie + process et sols 
périmètre ETS dont aviation domestique et DROM
sans LULUCF</t>
  </si>
  <si>
    <t>redgesky2005ets</t>
  </si>
  <si>
    <t>Variation des émissions de GES totales 
(hors soutes internationales) liées à la combustion d'énergie + process et sols 
périmètre ETS
sans LULUCF
par rapport à 1990</t>
  </si>
  <si>
    <t>gestotesr</t>
  </si>
  <si>
    <t>émissions de GES totales 
(hors soutes internationales) liées à la combustion d'énergie + process et sols 
périmètre ESR
sans LULUCF</t>
  </si>
  <si>
    <t>redgesky2005esr</t>
  </si>
  <si>
    <t>Variation des émissions de GES totales 
(hors soutes internationales) liées à la combustion d'énergie + process et sols 
périmètre ESR
sans LULUCF
par rapport à 2005</t>
  </si>
  <si>
    <t>redch41990</t>
  </si>
  <si>
    <t>Variation des émissions de CH4
process et sols de l'agriculture (hors énergie), 
stockage des déchets sans process industriels
par rapport à 1990</t>
  </si>
  <si>
    <t>redn2o1990</t>
  </si>
  <si>
    <t>Variation des émissions de N2O des process et sols de l'agriculture (hors énergie), du stockage des déchets  sans process industriels, par rapport à 1990</t>
  </si>
  <si>
    <t>redgfl1990</t>
  </si>
  <si>
    <t>Variation des émissions de GES des process et sols - Gaz Fluorés par rapport à 1990</t>
  </si>
  <si>
    <t>shnukelepd</t>
  </si>
  <si>
    <t>Part du nucléaire dans la production d'électricité</t>
  </si>
  <si>
    <t>shenrelepdb</t>
  </si>
  <si>
    <t>Part des énergies renouvelables dans la production brute d'électricité (seule et cogénérée)</t>
  </si>
  <si>
    <t>sheleccf</t>
  </si>
  <si>
    <t>erchcf_met</t>
  </si>
  <si>
    <t>Consommation finale d'EnR à usage chaleur hors transport (industrie, résidentiel, tertiaire, agriculture/pêche)
en métropole</t>
  </si>
  <si>
    <t>erchcf_drom</t>
  </si>
  <si>
    <t>Consommation finale d'EnR à usage chaleur hors transport (industrie, résidentiel, tertiaire, agriculture/pêche)
en DROM</t>
  </si>
  <si>
    <t>erchcf</t>
  </si>
  <si>
    <t>Consommation finale d'EnR à usage chaleur hors transport (industrie, résidentiel, tertiaire, agriculture/pêche)</t>
  </si>
  <si>
    <t>shenrthothchalcn</t>
  </si>
  <si>
    <t>Part d'énergies renouvelables thermiques dans la production nette de chaleur vendue (Production de chaleur et de froid pour les réseaux de chaleur et hors réseaux de chaleur)</t>
  </si>
  <si>
    <t>shwasothchalcn</t>
  </si>
  <si>
    <t>Part de déchets dans la production nette de chaleur vendue (Production de chaleur et de froid pour les réseaux de chaleur et hors réseaux de chaleur)</t>
  </si>
  <si>
    <t>shbiomchalcn</t>
  </si>
  <si>
    <t>shgbichalcn</t>
  </si>
  <si>
    <t>Part de gaz renouvelable (Biogaz et biométhane injecté à usage chaleur) dans la production nette de chaleur vendue (Production de chaleur et de froid pour les réseaux de chaleur et hors réseaux de chaleur)</t>
  </si>
  <si>
    <t>erchalpd_met</t>
  </si>
  <si>
    <t>Production de chaleur commercialisée issue d'EnR
en métropole</t>
  </si>
  <si>
    <t>erchalpd_drom</t>
  </si>
  <si>
    <t>Production de chaleur commercialisée issue d'EnR
en drom</t>
  </si>
  <si>
    <t>erchalpd</t>
  </si>
  <si>
    <t>Production de chaleur commercialisée issue d'EnR</t>
  </si>
  <si>
    <t>envchchtot</t>
  </si>
  <si>
    <t>Consommation finale de chaleur environnementale (PAC) et fatale
en métropole</t>
  </si>
  <si>
    <t>erchtotcf_met</t>
  </si>
  <si>
    <t>Consommation finale de chaleur renouvelable
en métropole</t>
  </si>
  <si>
    <t>erchtotcf_drom</t>
  </si>
  <si>
    <t>Consommation finale de chaleur renouvelable
en DROM</t>
  </si>
  <si>
    <t>erchtotcf</t>
  </si>
  <si>
    <t>Consommation finale de chaleur renouvelable</t>
  </si>
  <si>
    <t>cmschtotcf</t>
  </si>
  <si>
    <t xml:space="preserve">Consommation finale de charbon à usage chaleur </t>
  </si>
  <si>
    <t>chcf_met</t>
  </si>
  <si>
    <t>Consommation finale d'énergie à usage chaleur hors transport (industrie, résidentiel, tertiaire, agriculture/pêche)
en métropole</t>
  </si>
  <si>
    <t>chalpd_met</t>
  </si>
  <si>
    <t>Production de chaleur commercialisée 
en métropole</t>
  </si>
  <si>
    <t>chtotcf_met</t>
  </si>
  <si>
    <t>Consommation finale de chaleur (industrie, résidentiel, tertiaire, agriculture/pêche)
en métropole</t>
  </si>
  <si>
    <t>chcf_drom</t>
  </si>
  <si>
    <t>Consommation finale d'énergie à usage chaleur hors transport (industrie, résidentiel, tertiaire, agriculture/pêche)
en DROM</t>
  </si>
  <si>
    <t>chalpd_drom</t>
  </si>
  <si>
    <t>Production de chaleur commercialisée 
en DROM</t>
  </si>
  <si>
    <t>chtotcf_drom</t>
  </si>
  <si>
    <t>Consommation finale de chaleur (industrie, résidentiel, tertiaire, agriculture/pêche)
en DROM</t>
  </si>
  <si>
    <t>chtotcf</t>
  </si>
  <si>
    <t>Consommation finale de chaleur
métropole + DROM</t>
  </si>
  <si>
    <t>sherchtotcf_met</t>
  </si>
  <si>
    <t>Part des énergies renouvelables dans la consommation finale de chaleur
en métropole</t>
  </si>
  <si>
    <t>sherchtotcf</t>
  </si>
  <si>
    <t>Part des énergies renouvelables dans la consommation finale de chaleur
métropole + DROM</t>
  </si>
  <si>
    <t>redcpven2012</t>
  </si>
  <si>
    <t>Variation de la consommation primaire énergétique (puits technologiques inclus) après corrections statistiques, toutes énergies confondues, par rapport à 2012</t>
  </si>
  <si>
    <t>redcpven2012_loi</t>
  </si>
  <si>
    <t>Variation de la consommation primaire énergétique (puits technologiques inclus) après corrections statistiques, toutes énergies confondues, par rapport à 2012
Comptabilité article L100-4</t>
  </si>
  <si>
    <t>redpetcpnen2012</t>
  </si>
  <si>
    <t>Variation de la consommation d'énergie primaire
de pétrole brut 
hors usages non énergétiques 
par rapport à 2012</t>
  </si>
  <si>
    <t>redgnacpnen2012</t>
  </si>
  <si>
    <t>Variation de la consommation d'énergie 
primaire 
de gaz naturel 
hors usages non énergétiques
par rapport à 2012</t>
  </si>
  <si>
    <t>varbiomcp2012</t>
  </si>
  <si>
    <t>Variation de la consommation d'énergie primaire de biomasse (solide, biogaz et biocarburants)
par rapport à 2012</t>
  </si>
  <si>
    <t>biomcpnen</t>
  </si>
  <si>
    <t>Consommation d'énergie primaire de biomasse (solide, biogaz et biocarburants) 
hors usages non énergétiques</t>
  </si>
  <si>
    <t>varenucp2012</t>
  </si>
  <si>
    <t>Variation de la consommation d'énergie 
primaire nucléaire 
par rapport à 2012</t>
  </si>
  <si>
    <t>varrhbcp2012</t>
  </si>
  <si>
    <t>Variation de la consommation d'énergie
primaire d'origine renouvelable 
(hors biomasse) 
par rapport à 2012</t>
  </si>
  <si>
    <t>varrtotcp2012</t>
  </si>
  <si>
    <t>Variation de la consommation d'énergie 
primaire d'origine renouvelable 
(yc biomasse) 
par rapport à 2012</t>
  </si>
  <si>
    <t>varfoscp2012</t>
  </si>
  <si>
    <t>Variation de la consommation d'énergie primaire d'origine fossile par rapport à 2012</t>
  </si>
  <si>
    <t>sheleccp</t>
  </si>
  <si>
    <t>Part de l'électricité primaire dans la consommation d'énergie primaire</t>
  </si>
  <si>
    <t>shfoscp</t>
  </si>
  <si>
    <t>Part des énergies fossiles dans la consommation d'énergie primaire</t>
  </si>
  <si>
    <t>redcfven2012</t>
  </si>
  <si>
    <t>Variation de la consommation finale énergétique (puits technologiques inclus) après corrections statistiques, toutes énergies confondues, par rapport à 2012</t>
  </si>
  <si>
    <t>redcfven2012_loi</t>
  </si>
  <si>
    <t>Variation de la consommation finale énergétique (puits technologiques inclus) après corrections statistiques, toutes énergies confondues, par rapport à 2012
Comptabilité article L100-4</t>
  </si>
  <si>
    <t>biomnrjcf</t>
  </si>
  <si>
    <t>Consommation énergétique finale de biomasse (solide, biogaz et biocarburants) après corrections statistiques</t>
  </si>
  <si>
    <t>shbiomnrjcf</t>
  </si>
  <si>
    <t>shergnaci</t>
  </si>
  <si>
    <t>Part du gaz renouvelable dans la consommation totale de gaz naturel et biogaz après corrections statistiques (branche énergie et soutes incluses)</t>
  </si>
  <si>
    <t>shngcp</t>
  </si>
  <si>
    <t>gtoh2tot</t>
  </si>
  <si>
    <t>Consommation de gaz pour la production d'H2 (inclut utilisation pour engrais)</t>
  </si>
  <si>
    <t>sherh2totci</t>
  </si>
  <si>
    <t>Part des énergies renouvelables dans la consommation d'hydrogène</t>
  </si>
  <si>
    <t>erh2totci</t>
  </si>
  <si>
    <t>Consommation d'hydrogène d'origine  renouvelable</t>
  </si>
  <si>
    <t>shh2dec</t>
  </si>
  <si>
    <t>Part d'hydrogène décarboné</t>
  </si>
  <si>
    <t>h2dec</t>
  </si>
  <si>
    <t>Consommation d'hydrogène décarboné</t>
  </si>
  <si>
    <t>shertratotci</t>
  </si>
  <si>
    <t>Part d'énergie renouvelable dans la consommation du transport après corrections statistiques</t>
  </si>
  <si>
    <t>txindepb</t>
  </si>
  <si>
    <t>Taux d'indépendance énergétique</t>
  </si>
  <si>
    <t>shenrcfb</t>
  </si>
  <si>
    <t xml:space="preserve"> Part des énergies renouvelables dans la consommation finale brute d'énergie après corrections statistiques</t>
  </si>
  <si>
    <t>Série</t>
  </si>
  <si>
    <t>Run2AME_MET</t>
  </si>
  <si>
    <t>Run2AMS_MET</t>
  </si>
  <si>
    <t>Run2AME_CONT</t>
  </si>
  <si>
    <t>Run2AMS_CONT</t>
  </si>
  <si>
    <t>Run2AME_KYO</t>
  </si>
  <si>
    <t>Run2AMS_KYO</t>
  </si>
  <si>
    <t>AME</t>
  </si>
  <si>
    <t>AMS</t>
  </si>
  <si>
    <t>File name</t>
  </si>
  <si>
    <t>ch4gestot</t>
  </si>
  <si>
    <t>Emissions de CH4
process et sols de l'agriculture (hors énergie), 
stockage des déchets sans process industriels
par rapport à 1990</t>
  </si>
  <si>
    <t>n2ogestot</t>
  </si>
  <si>
    <t>Emissions de N2O des process et sols de l'agriculture (hors énergie), du stockage des déchets  sans process industriels, par rapport à 1990</t>
  </si>
  <si>
    <t>gflgestot</t>
  </si>
  <si>
    <t>Emissions de GES des process et sols - Gaz Fluorés par rapport à 1990</t>
  </si>
  <si>
    <t>Part de l'électricité dans la consommation finale énergétique (puits technologiques inclus) après corrections statistiques</t>
  </si>
  <si>
    <t>Part de la biomasse (solide, biogaz et biocarburants) dans la consommation énergétique finale (puits technologiques inclus)  après corrections statistiques</t>
  </si>
  <si>
    <t>Part du gaz (fossile et renouvelable) dans la consommation finale énergétique (puits technologiques inclus) après corrections statistiques</t>
  </si>
  <si>
    <t>AME : attention ça remonte entre 2045 et 2050</t>
  </si>
  <si>
    <t>Pas de différence AME et AMS</t>
  </si>
  <si>
    <t>Indicateur</t>
  </si>
  <si>
    <t>Année de référence</t>
  </si>
  <si>
    <t>Année cible</t>
  </si>
  <si>
    <t>Variation</t>
  </si>
  <si>
    <t>Commentaire</t>
  </si>
  <si>
    <t>Source</t>
  </si>
  <si>
    <t>émissions de gaz à effet de serre</t>
  </si>
  <si>
    <t>Neutralité carbone à 2050
Respecter les budgets carbones tous les 5 ans
Méthodologie inventaires nationaux UNCCC</t>
  </si>
  <si>
    <t>Code de l'énergie</t>
  </si>
  <si>
    <t>consommation énergétique finale</t>
  </si>
  <si>
    <t>consommation énergétique primaire des énergies fossiles</t>
  </si>
  <si>
    <t>modulation en fonction des FE de chacunes</t>
  </si>
  <si>
    <t>part des énergies renouvelables de la consommation finale brute d'énergie</t>
  </si>
  <si>
    <t>part des énergies renouvelables de la production d'électricité</t>
  </si>
  <si>
    <t>part des énergies renouvelables de la consommation finale de chaleur</t>
  </si>
  <si>
    <t>~233 TWh</t>
  </si>
  <si>
    <t>part des énergies renouvelables de la consommation finale de carburant</t>
  </si>
  <si>
    <t>part des énergies renouvelables de la consommation de gaz</t>
  </si>
  <si>
    <t>réduire la part du nucléaire dans la production d'électricité</t>
  </si>
  <si>
    <t>part d'hydrogène bas-carbone et renouvelable</t>
  </si>
  <si>
    <t>20%-40%</t>
  </si>
  <si>
    <t xml:space="preserve">livraison de chaleur renouvelable et de récupération par réseaux de chaleur </t>
  </si>
  <si>
    <t>39,5 TWh</t>
  </si>
  <si>
    <t>X 5 / 2012 (7,9TWh)</t>
  </si>
  <si>
    <t>Code de l'énergie (Joseph)</t>
  </si>
  <si>
    <t>AME : augmente en 2050</t>
  </si>
  <si>
    <t>AMS : baisse uniquement après 2025 + différences entre AME et AMS pour 2019 et 2020</t>
  </si>
  <si>
    <t>Part légèrement inférieures en AMS qu'AME</t>
  </si>
  <si>
    <t>Cohérent car dans AMS on retranche des consos non énergétiques qui ne sont pas dans AME : biopptrcfnen_C</t>
  </si>
  <si>
    <t>AME : baisse à partir de 2040</t>
  </si>
  <si>
    <t>export_series_20230216_2.xlsx</t>
  </si>
  <si>
    <t>AME : 2050 remonte fortement</t>
  </si>
  <si>
    <t>AMS Continental étonnant</t>
  </si>
  <si>
    <t xml:space="preserve">AMS : Courbe étonnante </t>
  </si>
  <si>
    <t>AME : baisse plus dans AME que AMS</t>
  </si>
  <si>
    <t>AMS : résultats pas alignés sur les objectifs de -50% en 2050</t>
  </si>
  <si>
    <t>AMS : courbe en cloche : cohérence à valider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</si>
</sst>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0" fillId="0" borderId="1" xfId="0" applyBorder="1"/>
    <xf numFmtId="0" fontId="0" fillId="0" borderId="0" xfId="0" applyAlignment="1">
      <alignment horizontal="right" vertical="center"/>
    </xf>
    <xf numFmtId="0" fontId="0" fillId="2" borderId="0" xfId="0" applyFill="1" applyAlignment="1">
      <alignment vertical="center"/>
    </xf>
    <xf numFmtId="0" fontId="2" fillId="0" borderId="0" xfId="0" applyFont="1"/>
    <xf numFmtId="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wrapText="1"/>
    </xf>
    <xf numFmtId="0" fontId="2" fillId="3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Graphs!$C$3</c:f>
          <c:strCache>
            <c:ptCount val="1"/>
            <c:pt idx="0">
              <c:v>Consommation de gaz pour la production d'H2 (inclut utilisation pour engrais)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Graphs!$B$5</c:f>
              <c:strCache>
                <c:ptCount val="1"/>
                <c:pt idx="0">
                  <c:v>Run2AME_CONT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Graphs!$C$5:$O$5</c:f>
              <c:numCache>
                <c:formatCode>General</c:formatCode>
                <c:ptCount val="13"/>
                <c:pt idx="0">
                  <c:v>0</c:v>
                </c:pt>
                <c:pt idx="1">
                  <c:v>9.6078082493373324E-2</c:v>
                </c:pt>
                <c:pt idx="2">
                  <c:v>0.37344129486083988</c:v>
                </c:pt>
                <c:pt idx="3">
                  <c:v>0.52347101593017586</c:v>
                </c:pt>
                <c:pt idx="4">
                  <c:v>0.76570048417679426</c:v>
                </c:pt>
                <c:pt idx="5">
                  <c:v>0.92465890737085055</c:v>
                </c:pt>
                <c:pt idx="6">
                  <c:v>2.1515117209898502</c:v>
                </c:pt>
                <c:pt idx="7">
                  <c:v>2.969062824896417</c:v>
                </c:pt>
                <c:pt idx="8">
                  <c:v>4.2975958571517587</c:v>
                </c:pt>
                <c:pt idx="9">
                  <c:v>5.1885323977522679</c:v>
                </c:pt>
                <c:pt idx="10">
                  <c:v>6.3946365684694744</c:v>
                </c:pt>
                <c:pt idx="11">
                  <c:v>7.2053169248053104</c:v>
                </c:pt>
                <c:pt idx="12">
                  <c:v>8.7644412686418303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8-4A85-A71E-EF6C1F0D03C9}"/>
            </c:ext>
          </c:extLst>
        </c:ser>
        <c:ser>
          <c:idx val="1"/>
          <c:order val="1"/>
          <c:tx>
            <c:strRef>
              <c:f>Graphs!$B$7</c:f>
              <c:strCache>
                <c:ptCount val="1"/>
                <c:pt idx="0">
                  <c:v>Run2AME_MET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Graphs!$C$7:$O$7</c:f>
              <c:numCache>
                <c:formatCode>General</c:formatCode>
                <c:ptCount val="13"/>
                <c:pt idx="0">
                  <c:v>0</c:v>
                </c:pt>
                <c:pt idx="1">
                  <c:v>9.6078082493373324E-2</c:v>
                </c:pt>
                <c:pt idx="2">
                  <c:v>0.37344129486083988</c:v>
                </c:pt>
                <c:pt idx="3">
                  <c:v>0.52347101593017586</c:v>
                </c:pt>
                <c:pt idx="4">
                  <c:v>0.76755388251707457</c:v>
                </c:pt>
                <c:pt idx="5">
                  <c:v>0.92772767099831632</c:v>
                </c:pt>
                <c:pt idx="6">
                  <c:v>2.158490918472276</c:v>
                </c:pt>
                <c:pt idx="7">
                  <c:v>2.978619991058983</c:v>
                </c:pt>
                <c:pt idx="8">
                  <c:v>4.3115361214141208</c:v>
                </c:pt>
                <c:pt idx="9">
                  <c:v>5.2053615669928606</c:v>
                </c:pt>
                <c:pt idx="10">
                  <c:v>6.4147376239259613</c:v>
                </c:pt>
                <c:pt idx="11">
                  <c:v>7.2275737072617634</c:v>
                </c:pt>
                <c:pt idx="12">
                  <c:v>8.7886622085873967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08-4A85-A71E-EF6C1F0D03C9}"/>
            </c:ext>
          </c:extLst>
        </c:ser>
        <c:ser>
          <c:idx val="2"/>
          <c:order val="2"/>
          <c:tx>
            <c:strRef>
              <c:f>Graphs!$B$9</c:f>
              <c:strCache>
                <c:ptCount val="1"/>
                <c:pt idx="0">
                  <c:v>Run2AME_KYO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Graphs!$C$9:$O$9</c:f>
              <c:numCache>
                <c:formatCode>General</c:formatCode>
                <c:ptCount val="13"/>
                <c:pt idx="0">
                  <c:v>0</c:v>
                </c:pt>
                <c:pt idx="1">
                  <c:v>9.6078082493373324E-2</c:v>
                </c:pt>
                <c:pt idx="2">
                  <c:v>0.37344129486083988</c:v>
                </c:pt>
                <c:pt idx="3">
                  <c:v>0.52347101593017586</c:v>
                </c:pt>
                <c:pt idx="4">
                  <c:v>0.76755388251707457</c:v>
                </c:pt>
                <c:pt idx="5">
                  <c:v>0.92772767099831632</c:v>
                </c:pt>
                <c:pt idx="6">
                  <c:v>2.158490918472276</c:v>
                </c:pt>
                <c:pt idx="7">
                  <c:v>2.978619991058983</c:v>
                </c:pt>
                <c:pt idx="8">
                  <c:v>4.3115361214141208</c:v>
                </c:pt>
                <c:pt idx="9">
                  <c:v>5.2053615669928606</c:v>
                </c:pt>
                <c:pt idx="10">
                  <c:v>6.4147376239259613</c:v>
                </c:pt>
                <c:pt idx="11">
                  <c:v>7.2275737072617634</c:v>
                </c:pt>
                <c:pt idx="12">
                  <c:v>8.7886622085873967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08-4A85-A71E-EF6C1F0D0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661728"/>
        <c:axId val="722662056"/>
      </c:barChart>
      <c:catAx>
        <c:axId val="7226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2056"/>
        <c:crosses val="autoZero"/>
        <c:auto val="1"/>
        <c:lblAlgn val="ctr"/>
        <c:lblOffset val="100"/>
        <c:noMultiLvlLbl val="0"/>
      </c:catAx>
      <c:valAx>
        <c:axId val="72266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Graphs!$C$3</c:f>
          <c:strCache>
            <c:ptCount val="1"/>
            <c:pt idx="0">
              <c:v>Consommation de gaz pour la production d'H2 (inclut utilisation pour engrais)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Graphs!$B$6</c:f>
              <c:strCache>
                <c:ptCount val="1"/>
                <c:pt idx="0">
                  <c:v>Run2AMS_CONT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Graphs!$C$6:$O$6</c:f>
              <c:numCache>
                <c:formatCode>General</c:formatCode>
                <c:ptCount val="13"/>
                <c:pt idx="0">
                  <c:v>3.51634270804269E-3</c:v>
                </c:pt>
                <c:pt idx="1">
                  <c:v>0.31298245076431641</c:v>
                </c:pt>
                <c:pt idx="2">
                  <c:v>1.2634221763335081</c:v>
                </c:pt>
                <c:pt idx="3">
                  <c:v>2.2027298269763378</c:v>
                </c:pt>
                <c:pt idx="4">
                  <c:v>3.8882900958743298</c:v>
                </c:pt>
                <c:pt idx="5">
                  <c:v>4.1530501341653254</c:v>
                </c:pt>
                <c:pt idx="6">
                  <c:v>6.4526167879954448</c:v>
                </c:pt>
                <c:pt idx="7">
                  <c:v>7.3936451450443901</c:v>
                </c:pt>
                <c:pt idx="8">
                  <c:v>8.2142301791745922</c:v>
                </c:pt>
                <c:pt idx="9">
                  <c:v>8.1363504680545766</c:v>
                </c:pt>
                <c:pt idx="10">
                  <c:v>6.5285476759995236</c:v>
                </c:pt>
                <c:pt idx="11">
                  <c:v>5.0474032587408484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116-B783-ECE36B589C9B}"/>
            </c:ext>
          </c:extLst>
        </c:ser>
        <c:ser>
          <c:idx val="1"/>
          <c:order val="1"/>
          <c:tx>
            <c:strRef>
              <c:f>Graphs!$B$8</c:f>
              <c:strCache>
                <c:ptCount val="1"/>
                <c:pt idx="0">
                  <c:v>Run2AMS_MET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Graphs!$C$8:$O$8</c:f>
              <c:numCache>
                <c:formatCode>General</c:formatCode>
                <c:ptCount val="13"/>
                <c:pt idx="0">
                  <c:v>3.51634270804269E-3</c:v>
                </c:pt>
                <c:pt idx="1">
                  <c:v>0.31298245076431641</c:v>
                </c:pt>
                <c:pt idx="2">
                  <c:v>1.263557277625863</c:v>
                </c:pt>
                <c:pt idx="3">
                  <c:v>2.2029228878929188</c:v>
                </c:pt>
                <c:pt idx="4">
                  <c:v>3.8908647986603921</c:v>
                </c:pt>
                <c:pt idx="5">
                  <c:v>4.1563217653235789</c:v>
                </c:pt>
                <c:pt idx="6">
                  <c:v>6.4578938116116831</c:v>
                </c:pt>
                <c:pt idx="7">
                  <c:v>7.3967411048692373</c:v>
                </c:pt>
                <c:pt idx="8">
                  <c:v>8.2145341939868413</c:v>
                </c:pt>
                <c:pt idx="9">
                  <c:v>8.1354633176402587</c:v>
                </c:pt>
                <c:pt idx="10">
                  <c:v>6.5236793515606539</c:v>
                </c:pt>
                <c:pt idx="11">
                  <c:v>5.0418456019104534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A-4116-B783-ECE36B589C9B}"/>
            </c:ext>
          </c:extLst>
        </c:ser>
        <c:ser>
          <c:idx val="2"/>
          <c:order val="2"/>
          <c:tx>
            <c:strRef>
              <c:f>Graphs!$B$10</c:f>
              <c:strCache>
                <c:ptCount val="1"/>
                <c:pt idx="0">
                  <c:v>Run2AMS_KYO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Graphs!$C$10:$O$10</c:f>
              <c:numCache>
                <c:formatCode>General</c:formatCode>
                <c:ptCount val="13"/>
                <c:pt idx="0">
                  <c:v>3.51634270804269E-3</c:v>
                </c:pt>
                <c:pt idx="1">
                  <c:v>0.31298245076431641</c:v>
                </c:pt>
                <c:pt idx="2">
                  <c:v>1.263557277625863</c:v>
                </c:pt>
                <c:pt idx="3">
                  <c:v>2.2029228878929188</c:v>
                </c:pt>
                <c:pt idx="4">
                  <c:v>3.8908647986603921</c:v>
                </c:pt>
                <c:pt idx="5">
                  <c:v>4.1563217653235789</c:v>
                </c:pt>
                <c:pt idx="6">
                  <c:v>6.4578938116116831</c:v>
                </c:pt>
                <c:pt idx="7">
                  <c:v>7.3967411048692373</c:v>
                </c:pt>
                <c:pt idx="8">
                  <c:v>8.2145341939868413</c:v>
                </c:pt>
                <c:pt idx="9">
                  <c:v>8.1354633176402587</c:v>
                </c:pt>
                <c:pt idx="10">
                  <c:v>6.5236793515606539</c:v>
                </c:pt>
                <c:pt idx="11">
                  <c:v>5.0418456019104534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A-4116-B783-ECE36B589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661728"/>
        <c:axId val="722662056"/>
      </c:barChart>
      <c:catAx>
        <c:axId val="7226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2056"/>
        <c:crosses val="autoZero"/>
        <c:auto val="1"/>
        <c:lblAlgn val="ctr"/>
        <c:lblOffset val="100"/>
        <c:noMultiLvlLbl val="0"/>
      </c:catAx>
      <c:valAx>
        <c:axId val="72266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Graphs!$S$3</c:f>
          <c:strCache>
            <c:ptCount val="1"/>
            <c:pt idx="0">
              <c:v>Variation des émissions de GES totales (hors soutes internationales) liées à la combustion d'énergie + process et sols 
sans LULUCF
par rapport à 1990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Graphs!$R$5</c:f>
              <c:strCache>
                <c:ptCount val="1"/>
                <c:pt idx="0">
                  <c:v>Run2AME_CONT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Graphs!$S$5:$AE$5</c:f>
              <c:numCache>
                <c:formatCode>General</c:formatCode>
                <c:ptCount val="13"/>
                <c:pt idx="0">
                  <c:v>-0.22431313744276959</c:v>
                </c:pt>
                <c:pt idx="1">
                  <c:v>-0.30584407650755002</c:v>
                </c:pt>
                <c:pt idx="2">
                  <c:v>-0.32393347016439228</c:v>
                </c:pt>
                <c:pt idx="3">
                  <c:v>-0.336753281364079</c:v>
                </c:pt>
                <c:pt idx="4">
                  <c:v>-0.37473216659596958</c:v>
                </c:pt>
                <c:pt idx="5">
                  <c:v>-0.40052285474402421</c:v>
                </c:pt>
                <c:pt idx="6">
                  <c:v>-0.42917870904934979</c:v>
                </c:pt>
                <c:pt idx="7">
                  <c:v>-0.44847506725463698</c:v>
                </c:pt>
                <c:pt idx="8">
                  <c:v>-0.47150234999574381</c:v>
                </c:pt>
                <c:pt idx="9">
                  <c:v>-0.48684949101220132</c:v>
                </c:pt>
                <c:pt idx="10">
                  <c:v>-0.50397381774421368</c:v>
                </c:pt>
                <c:pt idx="11">
                  <c:v>-0.51496905083513744</c:v>
                </c:pt>
                <c:pt idx="12">
                  <c:v>-0.5203119243498816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C-4AEE-B3D5-B547B48F33C0}"/>
            </c:ext>
          </c:extLst>
        </c:ser>
        <c:ser>
          <c:idx val="1"/>
          <c:order val="1"/>
          <c:tx>
            <c:strRef>
              <c:f>Graphs!$R$7</c:f>
              <c:strCache>
                <c:ptCount val="1"/>
                <c:pt idx="0">
                  <c:v>Run2AME_MET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Graphs!$S$7:$AE$7</c:f>
              <c:numCache>
                <c:formatCode>General</c:formatCode>
                <c:ptCount val="13"/>
                <c:pt idx="0">
                  <c:v>-0.22132949761227891</c:v>
                </c:pt>
                <c:pt idx="1">
                  <c:v>-0.30348107872859009</c:v>
                </c:pt>
                <c:pt idx="2">
                  <c:v>-0.32153747611625422</c:v>
                </c:pt>
                <c:pt idx="3">
                  <c:v>-0.33432273193202477</c:v>
                </c:pt>
                <c:pt idx="4">
                  <c:v>-0.37241150753112379</c:v>
                </c:pt>
                <c:pt idx="5">
                  <c:v>-0.3982779972829561</c:v>
                </c:pt>
                <c:pt idx="6">
                  <c:v>-0.42703194363486258</c:v>
                </c:pt>
                <c:pt idx="7">
                  <c:v>-0.44639192609218847</c:v>
                </c:pt>
                <c:pt idx="8">
                  <c:v>-0.46949665093016368</c:v>
                </c:pt>
                <c:pt idx="9">
                  <c:v>-0.48489436390335622</c:v>
                </c:pt>
                <c:pt idx="10">
                  <c:v>-0.50206864609225765</c:v>
                </c:pt>
                <c:pt idx="11">
                  <c:v>-0.51309703966966735</c:v>
                </c:pt>
                <c:pt idx="12">
                  <c:v>-0.5184752728184282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C-4AEE-B3D5-B547B48F33C0}"/>
            </c:ext>
          </c:extLst>
        </c:ser>
        <c:ser>
          <c:idx val="2"/>
          <c:order val="2"/>
          <c:tx>
            <c:strRef>
              <c:f>Graphs!$R$9</c:f>
              <c:strCache>
                <c:ptCount val="1"/>
                <c:pt idx="0">
                  <c:v>Run2AME_KYO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Graphs!$S$9:$AE$9</c:f>
              <c:numCache>
                <c:formatCode>General</c:formatCode>
                <c:ptCount val="13"/>
                <c:pt idx="0">
                  <c:v>-0.20552563387467199</c:v>
                </c:pt>
                <c:pt idx="1">
                  <c:v>-0.28934171746870929</c:v>
                </c:pt>
                <c:pt idx="2">
                  <c:v>-0.30973426642068258</c:v>
                </c:pt>
                <c:pt idx="3">
                  <c:v>-0.323702463351485</c:v>
                </c:pt>
                <c:pt idx="4">
                  <c:v>-0.36183850586932248</c:v>
                </c:pt>
                <c:pt idx="5">
                  <c:v>-0.38735336942222298</c:v>
                </c:pt>
                <c:pt idx="6">
                  <c:v>-0.41592741747525908</c:v>
                </c:pt>
                <c:pt idx="7">
                  <c:v>-0.43493027463335082</c:v>
                </c:pt>
                <c:pt idx="8">
                  <c:v>-0.45796019108720393</c:v>
                </c:pt>
                <c:pt idx="9">
                  <c:v>-0.47336381025141733</c:v>
                </c:pt>
                <c:pt idx="10">
                  <c:v>-0.48994762640372791</c:v>
                </c:pt>
                <c:pt idx="11">
                  <c:v>-0.50100686021687957</c:v>
                </c:pt>
                <c:pt idx="12">
                  <c:v>-0.50613359524305235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C-4AEE-B3D5-B547B48F3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661728"/>
        <c:axId val="722662056"/>
      </c:barChart>
      <c:catAx>
        <c:axId val="7226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2056"/>
        <c:crosses val="autoZero"/>
        <c:auto val="1"/>
        <c:lblAlgn val="ctr"/>
        <c:lblOffset val="100"/>
        <c:noMultiLvlLbl val="0"/>
      </c:catAx>
      <c:valAx>
        <c:axId val="72266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Graphs!$S$3</c:f>
          <c:strCache>
            <c:ptCount val="1"/>
            <c:pt idx="0">
              <c:v>Variation des émissions de GES totales (hors soutes internationales) liées à la combustion d'énergie + process et sols 
sans LULUCF
par rapport à 1990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Graphs!$R$6</c:f>
              <c:strCache>
                <c:ptCount val="1"/>
                <c:pt idx="0">
                  <c:v>Run2AMS_CONT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Graphs!$S$6:$AE$6</c:f>
              <c:numCache>
                <c:formatCode>General</c:formatCode>
                <c:ptCount val="13"/>
                <c:pt idx="0">
                  <c:v>-0.23525125575245659</c:v>
                </c:pt>
                <c:pt idx="1">
                  <c:v>-0.3114864393855703</c:v>
                </c:pt>
                <c:pt idx="2">
                  <c:v>-0.34460960622987252</c:v>
                </c:pt>
                <c:pt idx="3">
                  <c:v>-0.38201140431632608</c:v>
                </c:pt>
                <c:pt idx="4">
                  <c:v>-0.46726779404840357</c:v>
                </c:pt>
                <c:pt idx="5">
                  <c:v>-0.52375926865348243</c:v>
                </c:pt>
                <c:pt idx="6">
                  <c:v>-0.59237621864796242</c:v>
                </c:pt>
                <c:pt idx="7">
                  <c:v>-0.6381226141765437</c:v>
                </c:pt>
                <c:pt idx="8">
                  <c:v>-0.69885059786511694</c:v>
                </c:pt>
                <c:pt idx="9">
                  <c:v>-0.73781658361186953</c:v>
                </c:pt>
                <c:pt idx="10">
                  <c:v>-0.77553550205941635</c:v>
                </c:pt>
                <c:pt idx="11">
                  <c:v>-0.79871446307799565</c:v>
                </c:pt>
                <c:pt idx="12">
                  <c:v>-0.8453526173042315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6-4B20-94C8-B541A611E165}"/>
            </c:ext>
          </c:extLst>
        </c:ser>
        <c:ser>
          <c:idx val="1"/>
          <c:order val="1"/>
          <c:tx>
            <c:strRef>
              <c:f>Graphs!$R$8</c:f>
              <c:strCache>
                <c:ptCount val="1"/>
                <c:pt idx="0">
                  <c:v>Run2AMS_MET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Graphs!$S$8:$AE$8</c:f>
              <c:numCache>
                <c:formatCode>General</c:formatCode>
                <c:ptCount val="13"/>
                <c:pt idx="0">
                  <c:v>-0.2322620497010969</c:v>
                </c:pt>
                <c:pt idx="1">
                  <c:v>-0.30911526898431357</c:v>
                </c:pt>
                <c:pt idx="2">
                  <c:v>-0.34223719392817448</c:v>
                </c:pt>
                <c:pt idx="3">
                  <c:v>-0.37972118525852511</c:v>
                </c:pt>
                <c:pt idx="4">
                  <c:v>-0.46573671143340672</c:v>
                </c:pt>
                <c:pt idx="5">
                  <c:v>-0.52272969945372361</c:v>
                </c:pt>
                <c:pt idx="6">
                  <c:v>-0.59158127329547638</c:v>
                </c:pt>
                <c:pt idx="7">
                  <c:v>-0.63747710249505007</c:v>
                </c:pt>
                <c:pt idx="8">
                  <c:v>-0.6983809214538359</c:v>
                </c:pt>
                <c:pt idx="9">
                  <c:v>-0.73746148063842898</c:v>
                </c:pt>
                <c:pt idx="10">
                  <c:v>-0.7752678058723157</c:v>
                </c:pt>
                <c:pt idx="11">
                  <c:v>-0.79850448294468301</c:v>
                </c:pt>
                <c:pt idx="12">
                  <c:v>-0.84530316440998288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6-4B20-94C8-B541A611E165}"/>
            </c:ext>
          </c:extLst>
        </c:ser>
        <c:ser>
          <c:idx val="2"/>
          <c:order val="2"/>
          <c:tx>
            <c:strRef>
              <c:f>Graphs!$R$10</c:f>
              <c:strCache>
                <c:ptCount val="1"/>
                <c:pt idx="0">
                  <c:v>Run2AMS_KYO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Graphs!$C$4:$O$4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2023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2033</c:v>
                </c:pt>
                <c:pt idx="7">
                  <c:v>2035</c:v>
                </c:pt>
                <c:pt idx="8">
                  <c:v>2038</c:v>
                </c:pt>
                <c:pt idx="9">
                  <c:v>2040</c:v>
                </c:pt>
                <c:pt idx="10">
                  <c:v>2043</c:v>
                </c:pt>
                <c:pt idx="11">
                  <c:v>2045</c:v>
                </c:pt>
                <c:pt idx="12">
                  <c:v>2050</c:v>
                </c:pt>
              </c:numCache>
            </c:numRef>
          </c:cat>
          <c:val>
            <c:numRef>
              <c:f>Graphs!$S$10:$AE$10</c:f>
              <c:numCache>
                <c:formatCode>General</c:formatCode>
                <c:ptCount val="13"/>
                <c:pt idx="0">
                  <c:v>-0.2169718584978535</c:v>
                </c:pt>
                <c:pt idx="1">
                  <c:v>-0.296668984106506</c:v>
                </c:pt>
                <c:pt idx="2">
                  <c:v>-0.33127191943033768</c:v>
                </c:pt>
                <c:pt idx="3">
                  <c:v>-0.36909227124643729</c:v>
                </c:pt>
                <c:pt idx="4">
                  <c:v>-0.45469452325502102</c:v>
                </c:pt>
                <c:pt idx="5">
                  <c:v>-0.51048125468846828</c:v>
                </c:pt>
                <c:pt idx="6">
                  <c:v>-0.57904615763066558</c:v>
                </c:pt>
                <c:pt idx="7">
                  <c:v>-0.62433300304093653</c:v>
                </c:pt>
                <c:pt idx="8">
                  <c:v>-0.68490043178935234</c:v>
                </c:pt>
                <c:pt idx="9">
                  <c:v>-0.72386213309902137</c:v>
                </c:pt>
                <c:pt idx="10">
                  <c:v>-0.76087076261536424</c:v>
                </c:pt>
                <c:pt idx="11">
                  <c:v>-0.78430270414608927</c:v>
                </c:pt>
                <c:pt idx="12">
                  <c:v>-0.83063519610589742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56-4B20-94C8-B541A611E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661728"/>
        <c:axId val="722662056"/>
      </c:barChart>
      <c:catAx>
        <c:axId val="7226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2056"/>
        <c:crosses val="autoZero"/>
        <c:auto val="1"/>
        <c:lblAlgn val="ctr"/>
        <c:lblOffset val="100"/>
        <c:noMultiLvlLbl val="0"/>
      </c:catAx>
      <c:valAx>
        <c:axId val="72266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6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518159</xdr:colOff>
      <xdr:row>13</xdr:row>
      <xdr:rowOff>73342</xdr:rowOff>
    </xdr:from>
    <xdr:to>
      <xdr:col>7</xdr:col>
      <xdr:colOff>685800</xdr:colOff>
      <xdr:row>32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58ACC36-F1E7-115E-3EE7-49C08CFFF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238126</xdr:colOff>
      <xdr:row>13</xdr:row>
      <xdr:rowOff>97155</xdr:rowOff>
    </xdr:from>
    <xdr:to>
      <xdr:col>14</xdr:col>
      <xdr:colOff>600076</xdr:colOff>
      <xdr:row>31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E1F3681-C12E-4DA3-8C53-7FE11A73C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518159</xdr:colOff>
      <xdr:row>13</xdr:row>
      <xdr:rowOff>73342</xdr:rowOff>
    </xdr:from>
    <xdr:to>
      <xdr:col>23</xdr:col>
      <xdr:colOff>685800</xdr:colOff>
      <xdr:row>32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3107956-9272-4637-9802-9DFC84A01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238126</xdr:colOff>
      <xdr:row>13</xdr:row>
      <xdr:rowOff>97155</xdr:rowOff>
    </xdr:from>
    <xdr:to>
      <xdr:col>30</xdr:col>
      <xdr:colOff>600076</xdr:colOff>
      <xdr:row>31</xdr:row>
      <xdr:rowOff>114300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63E30A-1D86-49C2-B3C9-FD4D04FE63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O74"/>
  <sheetViews>
    <sheetView workbookViewId="0">
      <selection activeCell="C2" sqref="C2:O77"/>
    </sheetView>
  </sheetViews>
  <sheetFormatPr baseColWidth="10" defaultColWidth="8.88671875" defaultRowHeight="14.4" x14ac:dyDescent="0.3"/>
  <sheetData>
    <row r="1" spans="1:15" x14ac:dyDescent="0.3">
      <c r="A1" s="10" t="s">
        <v>0</v>
      </c>
      <c r="B1" s="10" t="s">
        <v>1</v>
      </c>
      <c r="C1" s="1">
        <v>2019</v>
      </c>
      <c r="D1" s="1">
        <v>2020</v>
      </c>
      <c r="E1" s="1">
        <v>2023</v>
      </c>
      <c r="F1" s="1">
        <v>2025</v>
      </c>
      <c r="G1" s="1">
        <v>2028</v>
      </c>
      <c r="H1" s="1">
        <v>2030</v>
      </c>
      <c r="I1" s="1">
        <v>2033</v>
      </c>
      <c r="J1" s="1">
        <v>2035</v>
      </c>
      <c r="K1" s="1">
        <v>2038</v>
      </c>
      <c r="L1" s="1">
        <v>2040</v>
      </c>
      <c r="M1" s="1">
        <v>2043</v>
      </c>
      <c r="N1" s="1">
        <v>2045</v>
      </c>
      <c r="O1" s="1">
        <v>2050</v>
      </c>
    </row>
    <row r="2" spans="1:15" x14ac:dyDescent="0.3">
      <c r="A2" s="10" t="s">
        <v>2</v>
      </c>
      <c r="B2" t="s">
        <v>3</v>
      </c>
      <c r="C2">
        <v>110.73989180324401</v>
      </c>
      <c r="D2">
        <v>110.73989180324401</v>
      </c>
      <c r="E2">
        <v>110.73989180324401</v>
      </c>
      <c r="F2">
        <v>110.73989180324401</v>
      </c>
      <c r="G2">
        <v>110.73989180324401</v>
      </c>
      <c r="H2">
        <v>110.73989180324401</v>
      </c>
      <c r="I2">
        <v>110.73989180324401</v>
      </c>
      <c r="J2">
        <v>110.73989180324401</v>
      </c>
      <c r="K2">
        <v>110.73989180324401</v>
      </c>
      <c r="L2">
        <v>110.73989180324401</v>
      </c>
      <c r="M2">
        <v>110.73989180324401</v>
      </c>
      <c r="N2">
        <v>110.73989180324401</v>
      </c>
      <c r="O2">
        <v>110.73989180324401</v>
      </c>
    </row>
    <row r="3" spans="1:15" x14ac:dyDescent="0.3">
      <c r="A3" s="10" t="s">
        <v>4</v>
      </c>
      <c r="B3" t="s">
        <v>5</v>
      </c>
      <c r="C3">
        <v>-0.2171905996143845</v>
      </c>
      <c r="D3">
        <v>-0.3246236773707859</v>
      </c>
      <c r="E3">
        <v>-0.3390988197382111</v>
      </c>
      <c r="F3">
        <v>-0.34775979301352639</v>
      </c>
      <c r="G3">
        <v>-0.39420145588440642</v>
      </c>
      <c r="H3">
        <v>-0.42516335907208758</v>
      </c>
      <c r="I3">
        <v>-0.45906188858938679</v>
      </c>
      <c r="J3">
        <v>-0.48176630294196149</v>
      </c>
      <c r="K3">
        <v>-0.5081301628207251</v>
      </c>
      <c r="L3">
        <v>-0.52575250046239541</v>
      </c>
      <c r="M3">
        <v>-0.54527913198780498</v>
      </c>
      <c r="N3">
        <v>-0.55826723276583401</v>
      </c>
      <c r="O3">
        <v>-0.56176384390942047</v>
      </c>
    </row>
    <row r="4" spans="1:15" x14ac:dyDescent="0.3">
      <c r="A4" s="10" t="s">
        <v>6</v>
      </c>
      <c r="B4" t="s">
        <v>7</v>
      </c>
      <c r="C4">
        <v>-0.22431313744276959</v>
      </c>
      <c r="D4">
        <v>-0.30584407650755002</v>
      </c>
      <c r="E4">
        <v>-0.32393347016439228</v>
      </c>
      <c r="F4">
        <v>-0.336753281364079</v>
      </c>
      <c r="G4">
        <v>-0.37473216659596958</v>
      </c>
      <c r="H4">
        <v>-0.40052285474402421</v>
      </c>
      <c r="I4">
        <v>-0.42917870904934979</v>
      </c>
      <c r="J4">
        <v>-0.44847506725463698</v>
      </c>
      <c r="K4">
        <v>-0.47150234999574381</v>
      </c>
      <c r="L4">
        <v>-0.48684949101220132</v>
      </c>
      <c r="M4">
        <v>-0.50397381774421368</v>
      </c>
      <c r="N4">
        <v>-0.51496905083513744</v>
      </c>
      <c r="O4">
        <v>-0.5203119243498816</v>
      </c>
    </row>
    <row r="5" spans="1:15" x14ac:dyDescent="0.3">
      <c r="A5" s="10" t="s">
        <v>8</v>
      </c>
      <c r="B5" t="s">
        <v>9</v>
      </c>
      <c r="C5">
        <v>-0.25348091027010738</v>
      </c>
      <c r="D5">
        <v>-0.33746857164685512</v>
      </c>
      <c r="E5">
        <v>-0.35481696065738821</v>
      </c>
      <c r="F5">
        <v>-0.36715320582756028</v>
      </c>
      <c r="G5">
        <v>-0.40418047643902671</v>
      </c>
      <c r="H5">
        <v>-0.42943430212130318</v>
      </c>
      <c r="I5">
        <v>-0.45501748306636453</v>
      </c>
      <c r="J5">
        <v>-0.47236338886917473</v>
      </c>
      <c r="K5">
        <v>-0.49468619604122821</v>
      </c>
      <c r="L5">
        <v>-0.50963890437898129</v>
      </c>
      <c r="M5">
        <v>-0.52623203401761121</v>
      </c>
      <c r="N5">
        <v>-0.53685856652443287</v>
      </c>
      <c r="O5">
        <v>-0.54106888293028588</v>
      </c>
    </row>
    <row r="6" spans="1:15" x14ac:dyDescent="0.3">
      <c r="A6" s="10" t="s">
        <v>10</v>
      </c>
      <c r="B6" t="s">
        <v>11</v>
      </c>
      <c r="C6">
        <v>-0.25348091027010738</v>
      </c>
      <c r="D6">
        <v>-0.33746857164685512</v>
      </c>
      <c r="E6">
        <v>-0.35481696065738821</v>
      </c>
      <c r="F6">
        <v>-0.36715320582756028</v>
      </c>
      <c r="G6">
        <v>-0.40418047643902671</v>
      </c>
      <c r="H6">
        <v>-0.42943430212130318</v>
      </c>
      <c r="I6">
        <v>-0.45501748306636453</v>
      </c>
      <c r="J6">
        <v>-0.47236338886917473</v>
      </c>
      <c r="K6">
        <v>-0.49468619604122821</v>
      </c>
      <c r="L6">
        <v>-0.50963890437898129</v>
      </c>
      <c r="M6">
        <v>-0.52623203401761121</v>
      </c>
      <c r="N6">
        <v>-0.53685856652443287</v>
      </c>
      <c r="O6">
        <v>-0.54106888293028588</v>
      </c>
    </row>
    <row r="7" spans="1:15" x14ac:dyDescent="0.3">
      <c r="A7" s="10" t="s">
        <v>12</v>
      </c>
      <c r="B7" t="s">
        <v>13</v>
      </c>
      <c r="C7">
        <v>-0.20218633767048261</v>
      </c>
      <c r="D7">
        <v>-0.30087873649836211</v>
      </c>
      <c r="E7">
        <v>-0.30689869036763279</v>
      </c>
      <c r="F7">
        <v>-0.31163841378474111</v>
      </c>
      <c r="G7">
        <v>-0.34843247810476491</v>
      </c>
      <c r="H7">
        <v>-0.37341918987475359</v>
      </c>
      <c r="I7">
        <v>-0.40046947687841228</v>
      </c>
      <c r="J7">
        <v>-0.4186896798095594</v>
      </c>
      <c r="K7">
        <v>-0.44017674384732058</v>
      </c>
      <c r="L7">
        <v>-0.45449722798605929</v>
      </c>
      <c r="M7">
        <v>-0.47022426808431428</v>
      </c>
      <c r="N7">
        <v>-0.48030070893700799</v>
      </c>
      <c r="O7">
        <v>-0.48478357242869857</v>
      </c>
    </row>
    <row r="8" spans="1:15" x14ac:dyDescent="0.3">
      <c r="A8" s="10" t="s">
        <v>14</v>
      </c>
      <c r="B8" t="s">
        <v>15</v>
      </c>
      <c r="C8">
        <v>-0.23047304164054969</v>
      </c>
      <c r="D8">
        <v>-0.3315479527427343</v>
      </c>
      <c r="E8">
        <v>-0.33684928544080112</v>
      </c>
      <c r="F8">
        <v>-0.34112004987335381</v>
      </c>
      <c r="G8">
        <v>-0.37699124492869718</v>
      </c>
      <c r="H8">
        <v>-0.40145731119955919</v>
      </c>
      <c r="I8">
        <v>-0.42552774087050271</v>
      </c>
      <c r="J8">
        <v>-0.44185640857737452</v>
      </c>
      <c r="K8">
        <v>-0.46266027708992652</v>
      </c>
      <c r="L8">
        <v>-0.47659824315007632</v>
      </c>
      <c r="M8">
        <v>-0.49181013198809559</v>
      </c>
      <c r="N8">
        <v>-0.50152900956923552</v>
      </c>
      <c r="O8">
        <v>-0.50491352702477021</v>
      </c>
    </row>
    <row r="9" spans="1:15" x14ac:dyDescent="0.3">
      <c r="A9" s="10" t="s">
        <v>16</v>
      </c>
      <c r="B9" t="s">
        <v>17</v>
      </c>
      <c r="C9">
        <v>-0.23047304164054969</v>
      </c>
      <c r="D9">
        <v>-0.3315479527427343</v>
      </c>
      <c r="E9">
        <v>-0.33684928544080112</v>
      </c>
      <c r="F9">
        <v>-0.34112004987335381</v>
      </c>
      <c r="G9">
        <v>-0.37699124492869718</v>
      </c>
      <c r="H9">
        <v>-0.40145731119955919</v>
      </c>
      <c r="I9">
        <v>-0.42552774087050271</v>
      </c>
      <c r="J9">
        <v>-0.44185640857737452</v>
      </c>
      <c r="K9">
        <v>-0.46266027708992652</v>
      </c>
      <c r="L9">
        <v>-0.47659824315007632</v>
      </c>
      <c r="M9">
        <v>-0.49181013198809559</v>
      </c>
      <c r="N9">
        <v>-0.50152900956923552</v>
      </c>
      <c r="O9">
        <v>-0.50491352702477021</v>
      </c>
    </row>
    <row r="10" spans="1:15" x14ac:dyDescent="0.3">
      <c r="A10" s="10" t="s">
        <v>18</v>
      </c>
      <c r="B10" t="s">
        <v>19</v>
      </c>
      <c r="C10">
        <v>1.8951599157071271</v>
      </c>
      <c r="D10">
        <v>0.96557854674633492</v>
      </c>
      <c r="E10">
        <v>1.195421837136988</v>
      </c>
      <c r="F10">
        <v>1.4116965232334879</v>
      </c>
      <c r="G10">
        <v>1.4834993816578259</v>
      </c>
      <c r="H10">
        <v>1.5303252954576909</v>
      </c>
      <c r="I10">
        <v>1.559645490995861</v>
      </c>
      <c r="J10">
        <v>1.5781286489007831</v>
      </c>
      <c r="K10">
        <v>1.5865456783553611</v>
      </c>
      <c r="L10">
        <v>1.591538643761029</v>
      </c>
      <c r="M10">
        <v>1.569863108446053</v>
      </c>
      <c r="N10">
        <v>1.5554111646255699</v>
      </c>
      <c r="O10">
        <v>1.518110026974528</v>
      </c>
    </row>
    <row r="11" spans="1:15" x14ac:dyDescent="0.3">
      <c r="A11" s="10" t="s">
        <v>20</v>
      </c>
      <c r="B11" t="s">
        <v>22</v>
      </c>
      <c r="C11">
        <v>85.319982868427502</v>
      </c>
      <c r="D11">
        <v>67.942791622521696</v>
      </c>
      <c r="E11">
        <v>67.557422126729051</v>
      </c>
      <c r="F11">
        <v>64.549826014992846</v>
      </c>
      <c r="G11">
        <v>61.465585240119751</v>
      </c>
      <c r="H11">
        <v>59.448881888495777</v>
      </c>
      <c r="I11">
        <v>56.923364710240868</v>
      </c>
      <c r="J11">
        <v>55.25144369295456</v>
      </c>
      <c r="K11">
        <v>53.353441812249159</v>
      </c>
      <c r="L11">
        <v>52.089445781476378</v>
      </c>
      <c r="M11">
        <v>50.202410490815787</v>
      </c>
      <c r="N11">
        <v>48.943064135021963</v>
      </c>
      <c r="O11">
        <v>50.675594310821367</v>
      </c>
    </row>
    <row r="12" spans="1:15" x14ac:dyDescent="0.3">
      <c r="A12" s="10" t="s">
        <v>21</v>
      </c>
      <c r="B12" t="s">
        <v>23</v>
      </c>
      <c r="C12">
        <v>86.874013999307351</v>
      </c>
      <c r="D12">
        <v>68.734566030853685</v>
      </c>
      <c r="E12">
        <v>68.537668033181376</v>
      </c>
      <c r="F12">
        <v>65.707417164044301</v>
      </c>
      <c r="G12">
        <v>62.68205473307917</v>
      </c>
      <c r="H12">
        <v>60.703748630771081</v>
      </c>
      <c r="I12">
        <v>58.202274012857472</v>
      </c>
      <c r="J12">
        <v>56.545509185053199</v>
      </c>
      <c r="K12">
        <v>54.654409268500558</v>
      </c>
      <c r="L12">
        <v>53.39450746936042</v>
      </c>
      <c r="M12">
        <v>51.48969823974155</v>
      </c>
      <c r="N12">
        <v>50.21850129001492</v>
      </c>
      <c r="O12">
        <v>51.920444532940479</v>
      </c>
    </row>
    <row r="13" spans="1:15" x14ac:dyDescent="0.3">
      <c r="A13" s="10" t="s">
        <v>24</v>
      </c>
      <c r="B13" t="s">
        <v>25</v>
      </c>
      <c r="C13">
        <v>-0.44653377782310028</v>
      </c>
      <c r="D13">
        <v>-0.55925869955390373</v>
      </c>
      <c r="E13">
        <v>-0.5617585711174915</v>
      </c>
      <c r="F13">
        <v>-0.58126868822995692</v>
      </c>
      <c r="G13">
        <v>-0.60127599522374031</v>
      </c>
      <c r="H13">
        <v>-0.61435824334134803</v>
      </c>
      <c r="I13">
        <v>-0.63074113987623304</v>
      </c>
      <c r="J13">
        <v>-0.6415868032027553</v>
      </c>
      <c r="K13">
        <v>-0.65389904114844999</v>
      </c>
      <c r="L13">
        <v>-0.66209851663448271</v>
      </c>
      <c r="M13">
        <v>-0.67433961488982341</v>
      </c>
      <c r="N13">
        <v>-0.68250892817986841</v>
      </c>
      <c r="O13">
        <v>-0.67127009644351066</v>
      </c>
    </row>
    <row r="14" spans="1:15" x14ac:dyDescent="0.3">
      <c r="A14" s="10" t="s">
        <v>26</v>
      </c>
      <c r="B14" t="s">
        <v>27</v>
      </c>
      <c r="C14">
        <v>330.27304814720702</v>
      </c>
      <c r="D14">
        <v>304.56697887588621</v>
      </c>
      <c r="E14">
        <v>295.03580516806812</v>
      </c>
      <c r="F14">
        <v>290.97184802961789</v>
      </c>
      <c r="G14">
        <v>273.57301461194709</v>
      </c>
      <c r="H14">
        <v>261.68166491496788</v>
      </c>
      <c r="I14">
        <v>248.7726613956639</v>
      </c>
      <c r="J14">
        <v>240.05227595315731</v>
      </c>
      <c r="K14">
        <v>229.55981775064859</v>
      </c>
      <c r="L14">
        <v>222.5663700393203</v>
      </c>
      <c r="M14">
        <v>215.2620989914335</v>
      </c>
      <c r="N14">
        <v>210.62030527070581</v>
      </c>
      <c r="O14">
        <v>206.0450840367771</v>
      </c>
    </row>
    <row r="15" spans="1:15" x14ac:dyDescent="0.3">
      <c r="A15" s="10" t="s">
        <v>28</v>
      </c>
      <c r="B15" t="s">
        <v>29</v>
      </c>
      <c r="C15">
        <v>-0.1609729729658822</v>
      </c>
      <c r="D15">
        <v>-0.22627677840336441</v>
      </c>
      <c r="E15">
        <v>-0.25048981178613078</v>
      </c>
      <c r="F15">
        <v>-0.2608139054262153</v>
      </c>
      <c r="G15">
        <v>-0.30501397430311522</v>
      </c>
      <c r="H15">
        <v>-0.33522280859840592</v>
      </c>
      <c r="I15">
        <v>-0.36801689490225431</v>
      </c>
      <c r="J15">
        <v>-0.39017019839905309</v>
      </c>
      <c r="K15">
        <v>-0.41682528291568871</v>
      </c>
      <c r="L15">
        <v>-0.43459146660785303</v>
      </c>
      <c r="M15">
        <v>-0.45314726719872728</v>
      </c>
      <c r="N15">
        <v>-0.46493929929900318</v>
      </c>
      <c r="O15">
        <v>-0.47656221037655377</v>
      </c>
    </row>
    <row r="16" spans="1:15" x14ac:dyDescent="0.3">
      <c r="A16" s="10" t="s">
        <v>148</v>
      </c>
      <c r="B16" t="s">
        <v>149</v>
      </c>
      <c r="C16">
        <v>51.575451904565682</v>
      </c>
      <c r="D16">
        <v>51.408185348234909</v>
      </c>
      <c r="E16">
        <v>50.372020899616487</v>
      </c>
      <c r="F16">
        <v>49.595023469401063</v>
      </c>
      <c r="G16">
        <v>48.792513155044347</v>
      </c>
      <c r="H16">
        <v>48.167519364475048</v>
      </c>
      <c r="I16">
        <v>47.350496782603081</v>
      </c>
      <c r="J16">
        <v>46.749834912787577</v>
      </c>
      <c r="K16">
        <v>45.866358694646841</v>
      </c>
      <c r="L16">
        <v>45.290640408966539</v>
      </c>
      <c r="M16">
        <v>44.550541550631692</v>
      </c>
      <c r="N16">
        <v>44.157084298800306</v>
      </c>
      <c r="O16">
        <v>43.731683486273887</v>
      </c>
    </row>
    <row r="17" spans="1:15" x14ac:dyDescent="0.3">
      <c r="A17" s="10" t="s">
        <v>30</v>
      </c>
      <c r="B17" t="s">
        <v>31</v>
      </c>
      <c r="C17">
        <v>-5.6336490364110037E-2</v>
      </c>
      <c r="D17">
        <v>-5.9396925896189827E-2</v>
      </c>
      <c r="E17">
        <v>-7.8355375003964611E-2</v>
      </c>
      <c r="F17">
        <v>-9.2571908158766703E-2</v>
      </c>
      <c r="G17">
        <v>-0.107255244354563</v>
      </c>
      <c r="H17">
        <v>-0.1186906038546713</v>
      </c>
      <c r="I17">
        <v>-0.13363946748242431</v>
      </c>
      <c r="J17">
        <v>-0.1446296317416419</v>
      </c>
      <c r="K17">
        <v>-0.16079438140264729</v>
      </c>
      <c r="L17">
        <v>-0.17132815896473089</v>
      </c>
      <c r="M17">
        <v>-0.18486956791692191</v>
      </c>
      <c r="N17">
        <v>-0.19206855963573249</v>
      </c>
      <c r="O17">
        <v>-0.19985201492165919</v>
      </c>
    </row>
    <row r="18" spans="1:15" x14ac:dyDescent="0.3">
      <c r="A18" s="10" t="s">
        <v>150</v>
      </c>
      <c r="B18" t="s">
        <v>151</v>
      </c>
      <c r="C18">
        <v>32.947985560867728</v>
      </c>
      <c r="D18">
        <v>32.954198077293007</v>
      </c>
      <c r="E18">
        <v>32.677394687063128</v>
      </c>
      <c r="F18">
        <v>32.382125545260308</v>
      </c>
      <c r="G18">
        <v>31.771943491560751</v>
      </c>
      <c r="H18">
        <v>31.24958552302402</v>
      </c>
      <c r="I18">
        <v>30.327872205890799</v>
      </c>
      <c r="J18">
        <v>29.6415015189069</v>
      </c>
      <c r="K18">
        <v>28.558166939024279</v>
      </c>
      <c r="L18">
        <v>27.852981190915528</v>
      </c>
      <c r="M18">
        <v>26.908702502283639</v>
      </c>
      <c r="N18">
        <v>26.40753858025802</v>
      </c>
      <c r="O18">
        <v>25.8325381191055</v>
      </c>
    </row>
    <row r="19" spans="1:15" x14ac:dyDescent="0.3">
      <c r="A19" s="10" t="s">
        <v>32</v>
      </c>
      <c r="B19" t="s">
        <v>33</v>
      </c>
      <c r="C19">
        <v>-0.46157757164038782</v>
      </c>
      <c r="D19">
        <v>-0.46147604925220581</v>
      </c>
      <c r="E19">
        <v>-0.4659994564046831</v>
      </c>
      <c r="F19">
        <v>-0.47082462327430658</v>
      </c>
      <c r="G19">
        <v>-0.48079596742484482</v>
      </c>
      <c r="H19">
        <v>-0.48933212649815022</v>
      </c>
      <c r="I19">
        <v>-0.50439438642130874</v>
      </c>
      <c r="J19">
        <v>-0.51561077388020227</v>
      </c>
      <c r="K19">
        <v>-0.53331418200355407</v>
      </c>
      <c r="L19">
        <v>-0.5448380374526185</v>
      </c>
      <c r="M19">
        <v>-0.56026905139555483</v>
      </c>
      <c r="N19">
        <v>-0.56845886607799612</v>
      </c>
      <c r="O19">
        <v>-0.57785528711350076</v>
      </c>
    </row>
    <row r="20" spans="1:15" x14ac:dyDescent="0.3">
      <c r="A20" s="10" t="s">
        <v>152</v>
      </c>
      <c r="B20" t="s">
        <v>153</v>
      </c>
      <c r="C20">
        <v>14.54855432764387</v>
      </c>
      <c r="D20">
        <v>12.95802173594071</v>
      </c>
      <c r="E20">
        <v>9.9718377663674076</v>
      </c>
      <c r="F20">
        <v>7.9810484533185377</v>
      </c>
      <c r="G20">
        <v>6.3270795287523089</v>
      </c>
      <c r="H20">
        <v>5.224433579041488</v>
      </c>
      <c r="I20">
        <v>4.2439543333053784</v>
      </c>
      <c r="J20">
        <v>3.5903015028146368</v>
      </c>
      <c r="K20">
        <v>2.949837878586008</v>
      </c>
      <c r="L20">
        <v>2.5228621291002562</v>
      </c>
      <c r="M20">
        <v>2.289292364693249</v>
      </c>
      <c r="N20">
        <v>2.133579188421912</v>
      </c>
      <c r="O20">
        <v>1.9595602090676789</v>
      </c>
    </row>
    <row r="21" spans="1:15" x14ac:dyDescent="0.3">
      <c r="A21" s="10" t="s">
        <v>34</v>
      </c>
      <c r="B21" t="s">
        <v>35</v>
      </c>
      <c r="C21">
        <v>0.2364841335964554</v>
      </c>
      <c r="D21">
        <v>0.1013044951720299</v>
      </c>
      <c r="E21">
        <v>-0.15249179380780081</v>
      </c>
      <c r="F21">
        <v>-0.32168931979435461</v>
      </c>
      <c r="G21">
        <v>-0.46226042305523352</v>
      </c>
      <c r="H21">
        <v>-0.5559744918958196</v>
      </c>
      <c r="I21">
        <v>-0.63930559156183431</v>
      </c>
      <c r="J21">
        <v>-0.69485965800584415</v>
      </c>
      <c r="K21">
        <v>-0.74929277154205576</v>
      </c>
      <c r="L21">
        <v>-0.78558151389953013</v>
      </c>
      <c r="M21">
        <v>-0.80543264833344175</v>
      </c>
      <c r="N21">
        <v>-0.8186667379560495</v>
      </c>
      <c r="O21">
        <v>-0.83345664092993521</v>
      </c>
    </row>
    <row r="22" spans="1:15" x14ac:dyDescent="0.3">
      <c r="A22" s="10" t="s">
        <v>36</v>
      </c>
      <c r="B22" t="s">
        <v>37</v>
      </c>
      <c r="C22">
        <v>0.70599973864922028</v>
      </c>
      <c r="D22">
        <v>0.69750800613754582</v>
      </c>
      <c r="E22">
        <v>0.69948118955193905</v>
      </c>
      <c r="F22">
        <v>0.69363457546697238</v>
      </c>
      <c r="G22">
        <v>0.67074624100441282</v>
      </c>
      <c r="H22">
        <v>0.65952369844811154</v>
      </c>
      <c r="I22">
        <v>0.61914487622657732</v>
      </c>
      <c r="J22">
        <v>0.59236010565175357</v>
      </c>
      <c r="K22">
        <v>0.55238300945255236</v>
      </c>
      <c r="L22">
        <v>0.525864057170919</v>
      </c>
      <c r="M22">
        <v>0.48628272156140101</v>
      </c>
      <c r="N22">
        <v>0.46002565005428181</v>
      </c>
      <c r="O22">
        <v>0.38941373564139647</v>
      </c>
    </row>
    <row r="23" spans="1:15" x14ac:dyDescent="0.3">
      <c r="A23" s="10" t="s">
        <v>38</v>
      </c>
      <c r="B23" t="s">
        <v>39</v>
      </c>
      <c r="C23">
        <v>0.26992125436911518</v>
      </c>
      <c r="D23">
        <v>0.33120040594145839</v>
      </c>
      <c r="E23">
        <v>0.33313640948188061</v>
      </c>
      <c r="F23">
        <v>0.33350777018993982</v>
      </c>
      <c r="G23">
        <v>0.35041519529832221</v>
      </c>
      <c r="H23">
        <v>0.35829411676005601</v>
      </c>
      <c r="I23">
        <v>0.39623295156348448</v>
      </c>
      <c r="J23">
        <v>0.42151164746597419</v>
      </c>
      <c r="K23">
        <v>0.4593696167540588</v>
      </c>
      <c r="L23">
        <v>0.48457459175150708</v>
      </c>
      <c r="M23">
        <v>0.52231127212371287</v>
      </c>
      <c r="N23">
        <v>0.5474197084480299</v>
      </c>
      <c r="O23">
        <v>0.58635179743741328</v>
      </c>
    </row>
    <row r="24" spans="1:15" x14ac:dyDescent="0.3">
      <c r="A24" s="10" t="s">
        <v>40</v>
      </c>
      <c r="B24" t="s">
        <v>154</v>
      </c>
      <c r="C24">
        <v>0.26861176380663188</v>
      </c>
      <c r="D24">
        <v>0.27709839127248531</v>
      </c>
      <c r="E24">
        <v>0.28558686639975989</v>
      </c>
      <c r="F24">
        <v>0.28959346486275789</v>
      </c>
      <c r="G24">
        <v>0.30622903339970031</v>
      </c>
      <c r="H24">
        <v>0.31781929339699211</v>
      </c>
      <c r="I24">
        <v>0.33430868830927413</v>
      </c>
      <c r="J24">
        <v>0.34555870785117188</v>
      </c>
      <c r="K24">
        <v>0.3606963082015317</v>
      </c>
      <c r="L24">
        <v>0.37098288312700578</v>
      </c>
      <c r="M24">
        <v>0.38253828641043108</v>
      </c>
      <c r="N24">
        <v>0.39032456835895118</v>
      </c>
      <c r="O24">
        <v>0.40473667924957318</v>
      </c>
    </row>
    <row r="25" spans="1:15" x14ac:dyDescent="0.3">
      <c r="A25" s="10" t="s">
        <v>41</v>
      </c>
      <c r="B25" t="s">
        <v>42</v>
      </c>
      <c r="C25">
        <v>98.172718560414907</v>
      </c>
      <c r="D25">
        <v>90.448604923956196</v>
      </c>
      <c r="E25">
        <v>100.5437337178375</v>
      </c>
      <c r="F25">
        <v>102.25957120307049</v>
      </c>
      <c r="G25">
        <v>106.2304794275194</v>
      </c>
      <c r="H25">
        <v>108.9507788456749</v>
      </c>
      <c r="I25">
        <v>114.27291000424449</v>
      </c>
      <c r="J25">
        <v>117.8530983939807</v>
      </c>
      <c r="K25">
        <v>119.62239193225081</v>
      </c>
      <c r="L25">
        <v>120.75806468264101</v>
      </c>
      <c r="M25">
        <v>122.7500478696597</v>
      </c>
      <c r="N25">
        <v>123.94569669557001</v>
      </c>
      <c r="O25">
        <v>122.9174589854826</v>
      </c>
    </row>
    <row r="26" spans="1:15" x14ac:dyDescent="0.3">
      <c r="A26" s="10" t="s">
        <v>43</v>
      </c>
      <c r="B26" t="s">
        <v>44</v>
      </c>
      <c r="C26">
        <v>0.53672356708306368</v>
      </c>
      <c r="D26">
        <v>0.4939034277020331</v>
      </c>
      <c r="E26">
        <v>0.55250191756784239</v>
      </c>
      <c r="F26">
        <v>0.56039109281023169</v>
      </c>
      <c r="G26">
        <v>0.57463135285893108</v>
      </c>
      <c r="H26">
        <v>0.58412485955806404</v>
      </c>
      <c r="I26">
        <v>0.59776498446965687</v>
      </c>
      <c r="J26">
        <v>0.60685840107738542</v>
      </c>
      <c r="K26">
        <v>0.6204997411199763</v>
      </c>
      <c r="L26">
        <v>0.62959396781503696</v>
      </c>
      <c r="M26">
        <v>0.64190676048100792</v>
      </c>
      <c r="N26">
        <v>0.6501152889249886</v>
      </c>
      <c r="O26">
        <v>0.66937713729205039</v>
      </c>
    </row>
    <row r="27" spans="1:15" x14ac:dyDescent="0.3">
      <c r="A27" s="10" t="s">
        <v>45</v>
      </c>
      <c r="B27" t="s">
        <v>46</v>
      </c>
      <c r="C27">
        <v>98.709442127497965</v>
      </c>
      <c r="D27">
        <v>90.942508351658233</v>
      </c>
      <c r="E27">
        <v>101.09623563540529</v>
      </c>
      <c r="F27">
        <v>102.8199622958807</v>
      </c>
      <c r="G27">
        <v>106.8051107803783</v>
      </c>
      <c r="H27">
        <v>109.53490370523301</v>
      </c>
      <c r="I27">
        <v>114.8706749887142</v>
      </c>
      <c r="J27">
        <v>118.4599567950581</v>
      </c>
      <c r="K27">
        <v>120.24289167337081</v>
      </c>
      <c r="L27">
        <v>121.387658650456</v>
      </c>
      <c r="M27">
        <v>123.3919546301407</v>
      </c>
      <c r="N27">
        <v>124.595811984495</v>
      </c>
      <c r="O27">
        <v>123.5868361227746</v>
      </c>
    </row>
    <row r="28" spans="1:15" x14ac:dyDescent="0.3">
      <c r="A28" s="10" t="s">
        <v>47</v>
      </c>
      <c r="B28" t="s">
        <v>48</v>
      </c>
      <c r="C28">
        <v>5.5480755080062553E-2</v>
      </c>
      <c r="D28">
        <v>5.452298610451059E-2</v>
      </c>
      <c r="E28">
        <v>5.4803086252899813E-2</v>
      </c>
      <c r="F28">
        <v>5.4848334446610678E-2</v>
      </c>
      <c r="G28">
        <v>5.4607637416910479E-2</v>
      </c>
      <c r="H28">
        <v>5.4439666262782072E-2</v>
      </c>
      <c r="I28">
        <v>5.4355088580013318E-2</v>
      </c>
      <c r="J28">
        <v>5.4298006024443742E-2</v>
      </c>
      <c r="K28">
        <v>5.4253362693246349E-2</v>
      </c>
      <c r="L28">
        <v>5.4223164764270422E-2</v>
      </c>
      <c r="M28">
        <v>5.4191816641423543E-2</v>
      </c>
      <c r="N28">
        <v>5.4170187213123749E-2</v>
      </c>
      <c r="O28">
        <v>5.4145212134976188E-2</v>
      </c>
    </row>
    <row r="29" spans="1:15" x14ac:dyDescent="0.3">
      <c r="A29" s="10" t="s">
        <v>49</v>
      </c>
      <c r="B29" t="s">
        <v>50</v>
      </c>
      <c r="C29">
        <v>0.27010843140150947</v>
      </c>
      <c r="D29">
        <v>0.28217363074390528</v>
      </c>
      <c r="E29">
        <v>0.28831506199536028</v>
      </c>
      <c r="F29">
        <v>0.29608108975116582</v>
      </c>
      <c r="G29">
        <v>0.30177557616767459</v>
      </c>
      <c r="H29">
        <v>0.30556033373721803</v>
      </c>
      <c r="I29">
        <v>0.30564491141998662</v>
      </c>
      <c r="J29">
        <v>0.30570199397555631</v>
      </c>
      <c r="K29">
        <v>0.30574663730675372</v>
      </c>
      <c r="L29">
        <v>0.30577683523572963</v>
      </c>
      <c r="M29">
        <v>0.30580818335857651</v>
      </c>
      <c r="N29">
        <v>0.30582981278687621</v>
      </c>
      <c r="O29">
        <v>0.30585478786502368</v>
      </c>
    </row>
    <row r="30" spans="1:15" x14ac:dyDescent="0.3">
      <c r="A30" s="10" t="s">
        <v>51</v>
      </c>
      <c r="B30" t="s">
        <v>48</v>
      </c>
      <c r="C30">
        <v>0.25360709598693931</v>
      </c>
      <c r="D30">
        <v>0.24722308050110381</v>
      </c>
      <c r="E30">
        <v>0.25519691374710018</v>
      </c>
      <c r="F30">
        <v>0.26069042940406251</v>
      </c>
      <c r="G30">
        <v>0.26301640852001651</v>
      </c>
      <c r="H30">
        <v>0.26443966626278209</v>
      </c>
      <c r="I30">
        <v>0.26435508858001328</v>
      </c>
      <c r="J30">
        <v>0.26429800602444381</v>
      </c>
      <c r="K30">
        <v>0.2642533626932464</v>
      </c>
      <c r="L30">
        <v>0.26422316476427038</v>
      </c>
      <c r="M30">
        <v>0.26419181664142349</v>
      </c>
      <c r="N30">
        <v>0.2641701872131238</v>
      </c>
      <c r="O30">
        <v>0.26414521213497621</v>
      </c>
    </row>
    <row r="31" spans="1:15" x14ac:dyDescent="0.3">
      <c r="A31" s="10" t="s">
        <v>52</v>
      </c>
      <c r="B31" t="s">
        <v>53</v>
      </c>
      <c r="C31">
        <v>3.7452629693074618E-4</v>
      </c>
      <c r="D31">
        <v>3.80624437277258E-4</v>
      </c>
      <c r="E31">
        <v>4.6524417304640419E-3</v>
      </c>
      <c r="F31">
        <v>7.5258705913560072E-3</v>
      </c>
      <c r="G31">
        <v>7.4079939340243222E-3</v>
      </c>
      <c r="H31">
        <v>7.3336200242330764E-3</v>
      </c>
      <c r="I31">
        <v>7.3386946851991992E-3</v>
      </c>
      <c r="J31">
        <v>7.3421196385333757E-3</v>
      </c>
      <c r="K31">
        <v>7.3447982384052214E-3</v>
      </c>
      <c r="L31">
        <v>7.346610114143776E-3</v>
      </c>
      <c r="M31">
        <v>7.3484910015145892E-3</v>
      </c>
      <c r="N31">
        <v>7.349788767212575E-3</v>
      </c>
      <c r="O31">
        <v>7.3512872719014282E-3</v>
      </c>
    </row>
    <row r="32" spans="1:15" x14ac:dyDescent="0.3">
      <c r="A32" s="10" t="s">
        <v>54</v>
      </c>
      <c r="B32" t="s">
        <v>55</v>
      </c>
      <c r="C32">
        <v>18.92205443123704</v>
      </c>
      <c r="D32">
        <v>18.2473966503747</v>
      </c>
      <c r="E32">
        <v>17.61285553893989</v>
      </c>
      <c r="F32">
        <v>17.785304468875811</v>
      </c>
      <c r="G32">
        <v>17.43051804968005</v>
      </c>
      <c r="H32">
        <v>17.185843336847451</v>
      </c>
      <c r="I32">
        <v>16.92404361202134</v>
      </c>
      <c r="J32">
        <v>16.751741374755341</v>
      </c>
      <c r="K32">
        <v>16.619372022017561</v>
      </c>
      <c r="L32">
        <v>16.530993896830669</v>
      </c>
      <c r="M32">
        <v>16.440221744170842</v>
      </c>
      <c r="N32">
        <v>16.378160352810401</v>
      </c>
      <c r="O32">
        <v>16.307069704088221</v>
      </c>
    </row>
    <row r="33" spans="1:15" x14ac:dyDescent="0.3">
      <c r="A33" s="10" t="s">
        <v>56</v>
      </c>
      <c r="B33" t="s">
        <v>57</v>
      </c>
      <c r="C33">
        <v>0.49750465939174532</v>
      </c>
      <c r="D33">
        <v>0.46427858411076067</v>
      </c>
      <c r="E33">
        <v>0.51462132892763868</v>
      </c>
      <c r="F33">
        <v>0.52317966369558755</v>
      </c>
      <c r="G33">
        <v>0.53647503052338408</v>
      </c>
      <c r="H33">
        <v>0.54533860840858206</v>
      </c>
      <c r="I33">
        <v>0.55807373702303698</v>
      </c>
      <c r="J33">
        <v>0.5665638227660087</v>
      </c>
      <c r="K33">
        <v>0.5793000861696288</v>
      </c>
      <c r="L33">
        <v>0.58779092843870806</v>
      </c>
      <c r="M33">
        <v>0.5992868534559197</v>
      </c>
      <c r="N33">
        <v>0.60695080346739327</v>
      </c>
      <c r="O33">
        <v>0.62493485884707989</v>
      </c>
    </row>
    <row r="34" spans="1:15" x14ac:dyDescent="0.3">
      <c r="A34" s="10" t="s">
        <v>58</v>
      </c>
      <c r="B34" t="s">
        <v>59</v>
      </c>
      <c r="C34">
        <v>19.41955909062878</v>
      </c>
      <c r="D34">
        <v>18.711675234485462</v>
      </c>
      <c r="E34">
        <v>18.127476867867529</v>
      </c>
      <c r="F34">
        <v>18.308484132571401</v>
      </c>
      <c r="G34">
        <v>17.96699308020343</v>
      </c>
      <c r="H34">
        <v>17.731181945256029</v>
      </c>
      <c r="I34">
        <v>17.482117349044369</v>
      </c>
      <c r="J34">
        <v>17.318305197521351</v>
      </c>
      <c r="K34">
        <v>17.198672108187189</v>
      </c>
      <c r="L34">
        <v>17.11878482526938</v>
      </c>
      <c r="M34">
        <v>17.03950859762676</v>
      </c>
      <c r="N34">
        <v>16.985111156277789</v>
      </c>
      <c r="O34">
        <v>16.932004562935301</v>
      </c>
    </row>
    <row r="35" spans="1:15" x14ac:dyDescent="0.3">
      <c r="A35" s="10" t="s">
        <v>60</v>
      </c>
      <c r="B35" t="s">
        <v>61</v>
      </c>
      <c r="C35">
        <v>31.43908444444444</v>
      </c>
      <c r="D35">
        <v>32.65154555555555</v>
      </c>
      <c r="E35">
        <v>36.268790995995289</v>
      </c>
      <c r="F35">
        <v>39.046093176529737</v>
      </c>
      <c r="G35">
        <v>44.981042337890692</v>
      </c>
      <c r="H35">
        <v>49.134513259265773</v>
      </c>
      <c r="I35">
        <v>53.974694512103042</v>
      </c>
      <c r="J35">
        <v>57.35279268420436</v>
      </c>
      <c r="K35">
        <v>60.324847543036462</v>
      </c>
      <c r="L35">
        <v>62.366094059281018</v>
      </c>
      <c r="M35">
        <v>65.330168598032429</v>
      </c>
      <c r="N35">
        <v>67.370601695662913</v>
      </c>
      <c r="O35">
        <v>74.408632071170516</v>
      </c>
    </row>
    <row r="36" spans="1:15" x14ac:dyDescent="0.3">
      <c r="A36" s="10" t="s">
        <v>62</v>
      </c>
      <c r="B36" t="s">
        <v>63</v>
      </c>
      <c r="C36">
        <v>148.53385743609641</v>
      </c>
      <c r="D36">
        <v>141.34754712988641</v>
      </c>
      <c r="E36">
        <v>154.42538025277261</v>
      </c>
      <c r="F36">
        <v>159.090968848476</v>
      </c>
      <c r="G36">
        <v>168.6420398150901</v>
      </c>
      <c r="H36">
        <v>175.27113544178809</v>
      </c>
      <c r="I36">
        <v>185.1716481283689</v>
      </c>
      <c r="J36">
        <v>191.9576324529404</v>
      </c>
      <c r="K36">
        <v>196.56661149730479</v>
      </c>
      <c r="L36">
        <v>199.65515263875261</v>
      </c>
      <c r="M36">
        <v>204.52043821186291</v>
      </c>
      <c r="N36">
        <v>207.69445874404329</v>
      </c>
      <c r="O36">
        <v>213.6331607607413</v>
      </c>
    </row>
    <row r="37" spans="1:15" x14ac:dyDescent="0.3">
      <c r="A37" s="10" t="s">
        <v>64</v>
      </c>
      <c r="B37" t="s">
        <v>65</v>
      </c>
      <c r="C37">
        <v>1.0342282264748091</v>
      </c>
      <c r="D37">
        <v>0.95818201181279383</v>
      </c>
      <c r="E37">
        <v>1.067123246495481</v>
      </c>
      <c r="F37">
        <v>1.083570756505819</v>
      </c>
      <c r="G37">
        <v>1.1111063833823149</v>
      </c>
      <c r="H37">
        <v>1.129463467966646</v>
      </c>
      <c r="I37">
        <v>1.155838721492694</v>
      </c>
      <c r="J37">
        <v>1.173422223843394</v>
      </c>
      <c r="K37">
        <v>1.1997998272896051</v>
      </c>
      <c r="L37">
        <v>1.217384896253745</v>
      </c>
      <c r="M37">
        <v>1.241193613936928</v>
      </c>
      <c r="N37">
        <v>1.257066092392382</v>
      </c>
      <c r="O37">
        <v>1.2943119961391301</v>
      </c>
    </row>
    <row r="38" spans="1:15" x14ac:dyDescent="0.3">
      <c r="A38" s="10" t="s">
        <v>66</v>
      </c>
      <c r="B38" t="s">
        <v>67</v>
      </c>
      <c r="C38">
        <v>149.56808566257121</v>
      </c>
      <c r="D38">
        <v>142.3057291416992</v>
      </c>
      <c r="E38">
        <v>155.49250349926811</v>
      </c>
      <c r="F38">
        <v>160.17453960498179</v>
      </c>
      <c r="G38">
        <v>169.75314619847239</v>
      </c>
      <c r="H38">
        <v>176.40059890975479</v>
      </c>
      <c r="I38">
        <v>186.3274868498616</v>
      </c>
      <c r="J38">
        <v>193.1310546767838</v>
      </c>
      <c r="K38">
        <v>197.76641132459449</v>
      </c>
      <c r="L38">
        <v>200.87253753500639</v>
      </c>
      <c r="M38">
        <v>205.76163182579981</v>
      </c>
      <c r="N38">
        <v>208.95152483643571</v>
      </c>
      <c r="O38">
        <v>214.92747275688041</v>
      </c>
    </row>
    <row r="39" spans="1:15" x14ac:dyDescent="0.3">
      <c r="A39" s="10" t="s">
        <v>68</v>
      </c>
      <c r="B39" t="s">
        <v>69</v>
      </c>
      <c r="C39">
        <v>40.963239324760004</v>
      </c>
      <c r="D39">
        <v>32.819802151025002</v>
      </c>
      <c r="E39">
        <v>35.352625820667669</v>
      </c>
      <c r="F39">
        <v>34.470749946028569</v>
      </c>
      <c r="G39">
        <v>33.3079153002043</v>
      </c>
      <c r="H39">
        <v>32.544987044535283</v>
      </c>
      <c r="I39">
        <v>32.373375286691193</v>
      </c>
      <c r="J39">
        <v>32.213665547829017</v>
      </c>
      <c r="K39">
        <v>31.769371562612189</v>
      </c>
      <c r="L39">
        <v>31.443143525774289</v>
      </c>
      <c r="M39">
        <v>30.942256127715162</v>
      </c>
      <c r="N39">
        <v>30.57350061633058</v>
      </c>
      <c r="O39">
        <v>29.555765137283782</v>
      </c>
    </row>
    <row r="40" spans="1:15" x14ac:dyDescent="0.3">
      <c r="A40" s="10" t="s">
        <v>70</v>
      </c>
      <c r="B40" t="s">
        <v>71</v>
      </c>
      <c r="C40">
        <v>620.20298972831108</v>
      </c>
      <c r="D40">
        <v>588.65364741449184</v>
      </c>
      <c r="E40">
        <v>580.27352465227591</v>
      </c>
      <c r="F40">
        <v>558.44256924794581</v>
      </c>
      <c r="G40">
        <v>533.45055529555725</v>
      </c>
      <c r="H40">
        <v>516.73882722036376</v>
      </c>
      <c r="I40">
        <v>501.877878207214</v>
      </c>
      <c r="J40">
        <v>491.84132809865997</v>
      </c>
      <c r="K40">
        <v>479.66590284225902</v>
      </c>
      <c r="L40">
        <v>471.41866057352331</v>
      </c>
      <c r="M40">
        <v>459.4102715468959</v>
      </c>
      <c r="N40">
        <v>451.29334081849998</v>
      </c>
      <c r="O40">
        <v>428.63389997699682</v>
      </c>
    </row>
    <row r="41" spans="1:15" x14ac:dyDescent="0.3">
      <c r="A41" s="10" t="s">
        <v>72</v>
      </c>
      <c r="B41" t="s">
        <v>73</v>
      </c>
      <c r="C41">
        <v>42.567712544220541</v>
      </c>
      <c r="D41">
        <v>41.170669739303932</v>
      </c>
      <c r="E41">
        <v>38.388127080611497</v>
      </c>
      <c r="F41">
        <v>37.75230086546177</v>
      </c>
      <c r="G41">
        <v>36.624904082239468</v>
      </c>
      <c r="H41">
        <v>35.879102726390961</v>
      </c>
      <c r="I41">
        <v>35.341526289376347</v>
      </c>
      <c r="J41">
        <v>34.987722927433872</v>
      </c>
      <c r="K41">
        <v>34.715917274994872</v>
      </c>
      <c r="L41">
        <v>34.534442685288752</v>
      </c>
      <c r="M41">
        <v>34.348052228081713</v>
      </c>
      <c r="N41">
        <v>34.220616106191677</v>
      </c>
      <c r="O41">
        <v>34.074639414770367</v>
      </c>
    </row>
    <row r="42" spans="1:15" x14ac:dyDescent="0.3">
      <c r="A42" s="10" t="s">
        <v>74</v>
      </c>
      <c r="B42" t="s">
        <v>75</v>
      </c>
      <c r="C42">
        <v>694.20978671697605</v>
      </c>
      <c r="D42">
        <v>662.4758627093513</v>
      </c>
      <c r="E42">
        <v>654.93044272888278</v>
      </c>
      <c r="F42">
        <v>635.24096328993733</v>
      </c>
      <c r="G42">
        <v>615.05650171568743</v>
      </c>
      <c r="H42">
        <v>601.75244320602053</v>
      </c>
      <c r="I42">
        <v>591.19409900869334</v>
      </c>
      <c r="J42">
        <v>584.18184371029815</v>
      </c>
      <c r="K42">
        <v>574.70666766029035</v>
      </c>
      <c r="L42">
        <v>568.31919731809307</v>
      </c>
      <c r="M42">
        <v>559.08849237301001</v>
      </c>
      <c r="N42">
        <v>552.8845586203546</v>
      </c>
      <c r="O42">
        <v>537.11717146293768</v>
      </c>
    </row>
    <row r="43" spans="1:15" x14ac:dyDescent="0.3">
      <c r="A43" s="10" t="s">
        <v>76</v>
      </c>
      <c r="B43" t="s">
        <v>77</v>
      </c>
      <c r="C43">
        <v>0.53672356708306368</v>
      </c>
      <c r="D43">
        <v>0.4939034277020331</v>
      </c>
      <c r="E43">
        <v>0.55250191756784239</v>
      </c>
      <c r="F43">
        <v>0.56039109281023169</v>
      </c>
      <c r="G43">
        <v>0.57463135285893108</v>
      </c>
      <c r="H43">
        <v>0.58412485955806404</v>
      </c>
      <c r="I43">
        <v>0.59776498446965687</v>
      </c>
      <c r="J43">
        <v>0.60685840107738542</v>
      </c>
      <c r="K43">
        <v>0.6204997411199763</v>
      </c>
      <c r="L43">
        <v>0.62959396781503696</v>
      </c>
      <c r="M43">
        <v>0.64190676048100792</v>
      </c>
      <c r="N43">
        <v>0.6501152889249886</v>
      </c>
      <c r="O43">
        <v>0.66937713729205039</v>
      </c>
    </row>
    <row r="44" spans="1:15" x14ac:dyDescent="0.3">
      <c r="A44" s="10" t="s">
        <v>78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3">
      <c r="A45" s="10" t="s">
        <v>80</v>
      </c>
      <c r="B45" t="s">
        <v>81</v>
      </c>
      <c r="C45">
        <v>0.53672356708306368</v>
      </c>
      <c r="D45">
        <v>0.4939034277020331</v>
      </c>
      <c r="E45">
        <v>0.55250191756784239</v>
      </c>
      <c r="F45">
        <v>0.56039109281023169</v>
      </c>
      <c r="G45">
        <v>0.57463135285893108</v>
      </c>
      <c r="H45">
        <v>0.58412485955806404</v>
      </c>
      <c r="I45">
        <v>0.59776498446965687</v>
      </c>
      <c r="J45">
        <v>0.60685840107738542</v>
      </c>
      <c r="K45">
        <v>0.6204997411199763</v>
      </c>
      <c r="L45">
        <v>0.62959396781503696</v>
      </c>
      <c r="M45">
        <v>0.64190676048100792</v>
      </c>
      <c r="N45">
        <v>0.6501152889249886</v>
      </c>
      <c r="O45">
        <v>0.66937713729205039</v>
      </c>
    </row>
    <row r="46" spans="1:15" x14ac:dyDescent="0.3">
      <c r="A46" s="10" t="s">
        <v>82</v>
      </c>
      <c r="B46" t="s">
        <v>83</v>
      </c>
      <c r="C46">
        <v>694.74651028405913</v>
      </c>
      <c r="D46">
        <v>662.96976613705328</v>
      </c>
      <c r="E46">
        <v>655.48294464645062</v>
      </c>
      <c r="F46">
        <v>635.8013543827476</v>
      </c>
      <c r="G46">
        <v>615.63113306854632</v>
      </c>
      <c r="H46">
        <v>602.3365680655786</v>
      </c>
      <c r="I46">
        <v>591.79186399316302</v>
      </c>
      <c r="J46">
        <v>584.78870211137553</v>
      </c>
      <c r="K46">
        <v>575.32716740141029</v>
      </c>
      <c r="L46">
        <v>568.9487912859081</v>
      </c>
      <c r="M46">
        <v>559.73039913349101</v>
      </c>
      <c r="N46">
        <v>553.5346739092796</v>
      </c>
      <c r="O46">
        <v>537.78654860022971</v>
      </c>
    </row>
    <row r="47" spans="1:15" x14ac:dyDescent="0.3">
      <c r="A47" s="10" t="s">
        <v>84</v>
      </c>
      <c r="B47" t="s">
        <v>85</v>
      </c>
      <c r="C47">
        <v>0.213961053673034</v>
      </c>
      <c r="D47">
        <v>0.21336256169668169</v>
      </c>
      <c r="E47">
        <v>0.2357889787644199</v>
      </c>
      <c r="F47">
        <v>0.25044192368284601</v>
      </c>
      <c r="G47">
        <v>0.27418950835356848</v>
      </c>
      <c r="H47">
        <v>0.29126784181876758</v>
      </c>
      <c r="I47">
        <v>0.31321633358462542</v>
      </c>
      <c r="J47">
        <v>0.32859226030334182</v>
      </c>
      <c r="K47">
        <v>0.34202946052036332</v>
      </c>
      <c r="L47">
        <v>0.35130812680783668</v>
      </c>
      <c r="M47">
        <v>0.36581049512178471</v>
      </c>
      <c r="N47">
        <v>0.37565610307930369</v>
      </c>
      <c r="O47">
        <v>0.39774032950551919</v>
      </c>
    </row>
    <row r="48" spans="1:15" x14ac:dyDescent="0.3">
      <c r="A48" s="10" t="s">
        <v>86</v>
      </c>
      <c r="B48" t="s">
        <v>87</v>
      </c>
      <c r="C48">
        <v>0.21528440006329461</v>
      </c>
      <c r="D48">
        <v>0.21464889714485241</v>
      </c>
      <c r="E48">
        <v>0.23721822935169801</v>
      </c>
      <c r="F48">
        <v>0.25192544574001963</v>
      </c>
      <c r="G48">
        <v>0.27573840418426587</v>
      </c>
      <c r="H48">
        <v>0.29286051729562163</v>
      </c>
      <c r="I48">
        <v>0.31485307282293812</v>
      </c>
      <c r="J48">
        <v>0.3302578418144631</v>
      </c>
      <c r="K48">
        <v>0.34374599798206867</v>
      </c>
      <c r="L48">
        <v>0.35305908125932539</v>
      </c>
      <c r="M48">
        <v>0.36760846318930662</v>
      </c>
      <c r="N48">
        <v>0.37748588243034142</v>
      </c>
      <c r="O48">
        <v>0.3996520056448073</v>
      </c>
    </row>
    <row r="49" spans="1:15" x14ac:dyDescent="0.3">
      <c r="A49" s="10" t="s">
        <v>88</v>
      </c>
      <c r="B49" t="s">
        <v>89</v>
      </c>
      <c r="C49">
        <v>-6.6454445072049451E-2</v>
      </c>
      <c r="D49">
        <v>-0.16277990279061161</v>
      </c>
      <c r="E49">
        <v>-0.13417088452387091</v>
      </c>
      <c r="F49">
        <v>-0.1149456473337435</v>
      </c>
      <c r="G49">
        <v>-0.13322342577000321</v>
      </c>
      <c r="H49">
        <v>-0.14523570684575149</v>
      </c>
      <c r="I49">
        <v>-0.17062580522703</v>
      </c>
      <c r="J49">
        <v>-0.18754897803851761</v>
      </c>
      <c r="K49">
        <v>-0.21126595129118519</v>
      </c>
      <c r="L49">
        <v>-0.2271261283324342</v>
      </c>
      <c r="M49">
        <v>-0.2485426838460004</v>
      </c>
      <c r="N49">
        <v>-0.2628587027043352</v>
      </c>
      <c r="O49">
        <v>-0.2903287481348974</v>
      </c>
    </row>
    <row r="50" spans="1:15" x14ac:dyDescent="0.3">
      <c r="A50" s="10" t="s">
        <v>90</v>
      </c>
      <c r="B50" t="s">
        <v>91</v>
      </c>
      <c r="C50">
        <v>-1.436144731951405E-2</v>
      </c>
      <c r="D50">
        <v>-0.12974419863548309</v>
      </c>
      <c r="E50">
        <v>-9.188969559056126E-2</v>
      </c>
      <c r="F50">
        <v>-6.668612215365155E-2</v>
      </c>
      <c r="G50">
        <v>-8.7402803596058232E-2</v>
      </c>
      <c r="H50">
        <v>-0.10110335387474791</v>
      </c>
      <c r="I50">
        <v>-0.1285777071661329</v>
      </c>
      <c r="J50">
        <v>-0.14694337759670709</v>
      </c>
      <c r="K50">
        <v>-0.17190150742986721</v>
      </c>
      <c r="L50">
        <v>-0.18861206559115931</v>
      </c>
      <c r="M50">
        <v>-0.2111067542422371</v>
      </c>
      <c r="N50">
        <v>-0.22616564836203151</v>
      </c>
      <c r="O50">
        <v>-0.25633473814630697</v>
      </c>
    </row>
    <row r="51" spans="1:15" x14ac:dyDescent="0.3">
      <c r="A51" s="10" t="s">
        <v>92</v>
      </c>
      <c r="B51" t="s">
        <v>93</v>
      </c>
      <c r="C51">
        <v>-0.2278390311908349</v>
      </c>
      <c r="D51">
        <v>-0.53777138520927059</v>
      </c>
      <c r="E51">
        <v>-0.34895570839381429</v>
      </c>
      <c r="F51">
        <v>-0.24312236462102149</v>
      </c>
      <c r="G51">
        <v>-0.2565491368145536</v>
      </c>
      <c r="H51">
        <v>-0.26549254503081471</v>
      </c>
      <c r="I51">
        <v>-0.27997767460370188</v>
      </c>
      <c r="J51">
        <v>-0.2896216028377725</v>
      </c>
      <c r="K51">
        <v>-0.30475334978145979</v>
      </c>
      <c r="L51">
        <v>-0.31481911273489332</v>
      </c>
      <c r="M51">
        <v>-0.33025606953537773</v>
      </c>
      <c r="N51">
        <v>-0.34052088233285999</v>
      </c>
      <c r="O51">
        <v>-0.36605764011526137</v>
      </c>
    </row>
    <row r="52" spans="1:15" x14ac:dyDescent="0.3">
      <c r="A52" s="10" t="s">
        <v>94</v>
      </c>
      <c r="B52" t="s">
        <v>95</v>
      </c>
      <c r="C52">
        <v>-1.003612645179908E-2</v>
      </c>
      <c r="D52">
        <v>-8.1206745845185502E-2</v>
      </c>
      <c r="E52">
        <v>-0.1501386367882809</v>
      </c>
      <c r="F52">
        <v>-0.17837658214582869</v>
      </c>
      <c r="G52">
        <v>-0.2055042837088232</v>
      </c>
      <c r="H52">
        <v>-0.22361913194195551</v>
      </c>
      <c r="I52">
        <v>-0.23546339692675419</v>
      </c>
      <c r="J52">
        <v>-0.24350893647675181</v>
      </c>
      <c r="K52">
        <v>-0.24610017430678299</v>
      </c>
      <c r="L52">
        <v>-0.24801087041071571</v>
      </c>
      <c r="M52">
        <v>-0.25721407166176669</v>
      </c>
      <c r="N52">
        <v>-0.26350655526443911</v>
      </c>
      <c r="O52">
        <v>-0.21722336657923419</v>
      </c>
    </row>
    <row r="53" spans="1:15" x14ac:dyDescent="0.3">
      <c r="A53" s="10" t="s">
        <v>96</v>
      </c>
      <c r="B53" t="s">
        <v>97</v>
      </c>
      <c r="C53">
        <v>-7.6204660933696045E-2</v>
      </c>
      <c r="D53">
        <v>-0.20732432597287179</v>
      </c>
      <c r="E53">
        <v>0.25567736657056889</v>
      </c>
      <c r="F53">
        <v>0.27703029411203151</v>
      </c>
      <c r="G53">
        <v>0.25871709390322151</v>
      </c>
      <c r="H53">
        <v>0.24949237967034921</v>
      </c>
      <c r="I53">
        <v>0.25547333136958977</v>
      </c>
      <c r="J53">
        <v>0.26008143895781499</v>
      </c>
      <c r="K53">
        <v>0.247310937783354</v>
      </c>
      <c r="L53">
        <v>0.23881175768846941</v>
      </c>
      <c r="M53">
        <v>0.23566226448379141</v>
      </c>
      <c r="N53">
        <v>0.23291777333713129</v>
      </c>
      <c r="O53">
        <v>0.21389950187699</v>
      </c>
    </row>
    <row r="54" spans="1:15" x14ac:dyDescent="0.3">
      <c r="A54" s="10" t="s">
        <v>98</v>
      </c>
      <c r="B54" t="s">
        <v>99</v>
      </c>
      <c r="C54">
        <v>134.54763946217579</v>
      </c>
      <c r="D54">
        <v>115.45050758454239</v>
      </c>
      <c r="E54">
        <v>182.88512450053099</v>
      </c>
      <c r="F54">
        <v>185.9951055480804</v>
      </c>
      <c r="G54">
        <v>183.3278504160248</v>
      </c>
      <c r="H54">
        <v>181.98430225956781</v>
      </c>
      <c r="I54">
        <v>182.85540746960649</v>
      </c>
      <c r="J54">
        <v>183.52656261854901</v>
      </c>
      <c r="K54">
        <v>181.66658269105841</v>
      </c>
      <c r="L54">
        <v>180.42870610652571</v>
      </c>
      <c r="M54">
        <v>179.96999316625491</v>
      </c>
      <c r="N54">
        <v>179.57026739400629</v>
      </c>
      <c r="O54">
        <v>176.80032103965561</v>
      </c>
    </row>
    <row r="55" spans="1:15" x14ac:dyDescent="0.3">
      <c r="A55" s="10" t="s">
        <v>100</v>
      </c>
      <c r="B55" t="s">
        <v>101</v>
      </c>
      <c r="C55">
        <v>-2.8493057263943359E-2</v>
      </c>
      <c r="D55">
        <v>-0.13849347222414429</v>
      </c>
      <c r="E55">
        <v>-0.1161734854251523</v>
      </c>
      <c r="F55">
        <v>-4.3129971823925313E-2</v>
      </c>
      <c r="G55">
        <v>-4.3129971823925313E-2</v>
      </c>
      <c r="H55">
        <v>-4.3129971823925313E-2</v>
      </c>
      <c r="I55">
        <v>-9.9008259728863957E-2</v>
      </c>
      <c r="J55">
        <v>-0.1362604516654897</v>
      </c>
      <c r="K55">
        <v>-0.19213873957042851</v>
      </c>
      <c r="L55">
        <v>-0.22939093150705431</v>
      </c>
      <c r="M55">
        <v>-0.28526921941199301</v>
      </c>
      <c r="N55">
        <v>-0.32252141134861889</v>
      </c>
      <c r="O55">
        <v>-0.41565189119018331</v>
      </c>
    </row>
    <row r="56" spans="1:15" x14ac:dyDescent="0.3">
      <c r="A56" s="10" t="s">
        <v>102</v>
      </c>
      <c r="B56" t="s">
        <v>103</v>
      </c>
      <c r="C56">
        <v>0.57102601788773</v>
      </c>
      <c r="D56">
        <v>0.67343000940859898</v>
      </c>
      <c r="E56">
        <v>0.7665745400561097</v>
      </c>
      <c r="F56">
        <v>0.94798372257911856</v>
      </c>
      <c r="G56">
        <v>1.167692856584146</v>
      </c>
      <c r="H56">
        <v>1.2904412395595319</v>
      </c>
      <c r="I56">
        <v>1.5522979195152431</v>
      </c>
      <c r="J56">
        <v>1.728395272969929</v>
      </c>
      <c r="K56">
        <v>1.97483226890527</v>
      </c>
      <c r="L56">
        <v>2.1397736500407221</v>
      </c>
      <c r="M56">
        <v>2.3867829874793851</v>
      </c>
      <c r="N56">
        <v>2.552110998936679</v>
      </c>
      <c r="O56">
        <v>2.8932366344394689</v>
      </c>
    </row>
    <row r="57" spans="1:15" x14ac:dyDescent="0.3">
      <c r="A57" s="10" t="s">
        <v>104</v>
      </c>
      <c r="B57" t="s">
        <v>105</v>
      </c>
      <c r="C57">
        <v>0.20335085737421379</v>
      </c>
      <c r="D57">
        <v>0.17309604467126841</v>
      </c>
      <c r="E57">
        <v>0.47634694977986869</v>
      </c>
      <c r="F57">
        <v>0.56683227599141084</v>
      </c>
      <c r="G57">
        <v>0.65132702229585138</v>
      </c>
      <c r="H57">
        <v>0.69910487113668318</v>
      </c>
      <c r="I57">
        <v>0.81560510780771556</v>
      </c>
      <c r="J57">
        <v>0.89428381584975192</v>
      </c>
      <c r="K57">
        <v>0.9934716760060267</v>
      </c>
      <c r="L57">
        <v>1.0598859194816259</v>
      </c>
      <c r="M57">
        <v>1.1647864366490539</v>
      </c>
      <c r="N57">
        <v>1.2346367669720959</v>
      </c>
      <c r="O57">
        <v>1.371173879196472</v>
      </c>
    </row>
    <row r="58" spans="1:15" x14ac:dyDescent="0.3">
      <c r="A58" s="10" t="s">
        <v>106</v>
      </c>
      <c r="B58" t="s">
        <v>107</v>
      </c>
      <c r="C58">
        <v>-9.5815947704178006E-2</v>
      </c>
      <c r="D58">
        <v>-0.20203069545609451</v>
      </c>
      <c r="E58">
        <v>-0.23077415712229199</v>
      </c>
      <c r="F58">
        <v>-0.2429658304612643</v>
      </c>
      <c r="G58">
        <v>-0.29032767422905692</v>
      </c>
      <c r="H58">
        <v>-0.32196952884975011</v>
      </c>
      <c r="I58">
        <v>-0.35601265215742361</v>
      </c>
      <c r="J58">
        <v>-0.37882824876745058</v>
      </c>
      <c r="K58">
        <v>-0.40518025556437443</v>
      </c>
      <c r="L58">
        <v>-0.4228213327288336</v>
      </c>
      <c r="M58">
        <v>-0.44316736971467419</v>
      </c>
      <c r="N58">
        <v>-0.45673157237096002</v>
      </c>
      <c r="O58">
        <v>-0.45965523191095631</v>
      </c>
    </row>
    <row r="59" spans="1:15" x14ac:dyDescent="0.3">
      <c r="A59" s="10" t="s">
        <v>108</v>
      </c>
      <c r="B59" t="s">
        <v>109</v>
      </c>
      <c r="C59">
        <v>0.45370425017592969</v>
      </c>
      <c r="D59">
        <v>0.46032798666704838</v>
      </c>
      <c r="E59">
        <v>0.47116842211393101</v>
      </c>
      <c r="F59">
        <v>0.487257646577267</v>
      </c>
      <c r="G59">
        <v>0.50215371131193032</v>
      </c>
      <c r="H59">
        <v>0.51228661719969737</v>
      </c>
      <c r="I59">
        <v>0.51525597943146884</v>
      </c>
      <c r="J59">
        <v>0.5173048844368292</v>
      </c>
      <c r="K59">
        <v>0.51876642390716754</v>
      </c>
      <c r="L59">
        <v>0.51977389112237316</v>
      </c>
      <c r="M59">
        <v>0.51830538934090609</v>
      </c>
      <c r="N59">
        <v>0.51726380916798365</v>
      </c>
      <c r="O59">
        <v>0.49878566289739679</v>
      </c>
    </row>
    <row r="60" spans="1:15" x14ac:dyDescent="0.3">
      <c r="A60" s="10" t="s">
        <v>110</v>
      </c>
      <c r="B60" t="s">
        <v>111</v>
      </c>
      <c r="C60">
        <v>0.47162535826927948</v>
      </c>
      <c r="D60">
        <v>0.46411153393242871</v>
      </c>
      <c r="E60">
        <v>0.43261094335447392</v>
      </c>
      <c r="F60">
        <v>0.41650609463218552</v>
      </c>
      <c r="G60">
        <v>0.39868190537878778</v>
      </c>
      <c r="H60">
        <v>0.38625904358147939</v>
      </c>
      <c r="I60">
        <v>0.37809648259933831</v>
      </c>
      <c r="J60">
        <v>0.37229767895663068</v>
      </c>
      <c r="K60">
        <v>0.36722362007266851</v>
      </c>
      <c r="L60">
        <v>0.36364487081992752</v>
      </c>
      <c r="M60">
        <v>0.36082463463951742</v>
      </c>
      <c r="N60">
        <v>0.35887197483201733</v>
      </c>
      <c r="O60">
        <v>0.37075717018588422</v>
      </c>
    </row>
    <row r="61" spans="1:15" x14ac:dyDescent="0.3">
      <c r="A61" s="10" t="s">
        <v>112</v>
      </c>
      <c r="B61" t="s">
        <v>113</v>
      </c>
      <c r="C61">
        <v>-4.9961570336471077E-2</v>
      </c>
      <c r="D61">
        <v>-0.1231379415757077</v>
      </c>
      <c r="E61">
        <v>-0.1083304747646785</v>
      </c>
      <c r="F61">
        <v>-0.1099131738707705</v>
      </c>
      <c r="G61">
        <v>-0.136803346103886</v>
      </c>
      <c r="H61">
        <v>-0.15470852239825411</v>
      </c>
      <c r="I61">
        <v>-0.16821629516640979</v>
      </c>
      <c r="J61">
        <v>-0.17725382808152809</v>
      </c>
      <c r="K61">
        <v>-0.18819650863928389</v>
      </c>
      <c r="L61">
        <v>-0.1956032847876209</v>
      </c>
      <c r="M61">
        <v>-0.20248716181827939</v>
      </c>
      <c r="N61">
        <v>-0.20716182859518351</v>
      </c>
      <c r="O61">
        <v>-0.2120850352313868</v>
      </c>
    </row>
    <row r="62" spans="1:15" x14ac:dyDescent="0.3">
      <c r="A62" s="10" t="s">
        <v>114</v>
      </c>
      <c r="B62" t="s">
        <v>115</v>
      </c>
      <c r="C62">
        <v>2.9626694395471938E-2</v>
      </c>
      <c r="D62">
        <v>-7.5171537637167107E-2</v>
      </c>
      <c r="E62">
        <v>-4.5020003036927991E-2</v>
      </c>
      <c r="F62">
        <v>-3.7231645698368121E-2</v>
      </c>
      <c r="G62">
        <v>-6.8695353193828912E-2</v>
      </c>
      <c r="H62">
        <v>-8.9773538326205604E-2</v>
      </c>
      <c r="I62">
        <v>-0.1059814646434856</v>
      </c>
      <c r="J62">
        <v>-0.1169170564239399</v>
      </c>
      <c r="K62">
        <v>-0.12901335130814409</v>
      </c>
      <c r="L62">
        <v>-0.1372333217781844</v>
      </c>
      <c r="M62">
        <v>-0.1449192348525824</v>
      </c>
      <c r="N62">
        <v>-0.15017416806106679</v>
      </c>
      <c r="O62">
        <v>-0.1582973624152294</v>
      </c>
    </row>
    <row r="63" spans="1:15" x14ac:dyDescent="0.3">
      <c r="A63" s="10" t="s">
        <v>116</v>
      </c>
      <c r="B63" t="s">
        <v>117</v>
      </c>
      <c r="C63">
        <v>132.7615363268238</v>
      </c>
      <c r="D63">
        <v>122.0735818283423</v>
      </c>
      <c r="E63">
        <v>136.20416861590991</v>
      </c>
      <c r="F63">
        <v>140.04655778529499</v>
      </c>
      <c r="G63">
        <v>140.25138676986791</v>
      </c>
      <c r="H63">
        <v>140.4610527729472</v>
      </c>
      <c r="I63">
        <v>142.84125705325661</v>
      </c>
      <c r="J63">
        <v>144.46035426498321</v>
      </c>
      <c r="K63">
        <v>143.85327245430429</v>
      </c>
      <c r="L63">
        <v>143.40491346239591</v>
      </c>
      <c r="M63">
        <v>144.04806436967311</v>
      </c>
      <c r="N63">
        <v>144.3447399887404</v>
      </c>
      <c r="O63">
        <v>142.5119605764329</v>
      </c>
    </row>
    <row r="64" spans="1:15" x14ac:dyDescent="0.3">
      <c r="A64" s="10" t="s">
        <v>118</v>
      </c>
      <c r="B64" t="s">
        <v>155</v>
      </c>
      <c r="C64">
        <v>8.4301055780565598E-2</v>
      </c>
      <c r="D64">
        <v>8.398318218683623E-2</v>
      </c>
      <c r="E64">
        <v>9.2148526096028902E-2</v>
      </c>
      <c r="F64">
        <v>9.4916558455344233E-2</v>
      </c>
      <c r="G64">
        <v>9.8016532235978601E-2</v>
      </c>
      <c r="H64">
        <v>0.1002423746719967</v>
      </c>
      <c r="I64">
        <v>0.1035965214287672</v>
      </c>
      <c r="J64">
        <v>0.1059216464142434</v>
      </c>
      <c r="K64">
        <v>0.106898287656992</v>
      </c>
      <c r="L64">
        <v>0.1075463463312244</v>
      </c>
      <c r="M64">
        <v>0.1089611457573197</v>
      </c>
      <c r="N64">
        <v>0.1098293286101171</v>
      </c>
      <c r="O64">
        <v>0.1091123433979312</v>
      </c>
    </row>
    <row r="65" spans="1:15" x14ac:dyDescent="0.3">
      <c r="A65" s="10" t="s">
        <v>119</v>
      </c>
      <c r="B65" t="s">
        <v>120</v>
      </c>
      <c r="C65">
        <v>1E-3</v>
      </c>
      <c r="D65">
        <v>1E-3</v>
      </c>
      <c r="E65">
        <v>1.24E-2</v>
      </c>
      <c r="F65">
        <v>0.02</v>
      </c>
      <c r="G65">
        <v>0.02</v>
      </c>
      <c r="H65">
        <v>0.02</v>
      </c>
      <c r="I65">
        <v>0.02</v>
      </c>
      <c r="J65">
        <v>0.02</v>
      </c>
      <c r="K65">
        <v>0.02</v>
      </c>
      <c r="L65">
        <v>0.02</v>
      </c>
      <c r="M65">
        <v>0.02</v>
      </c>
      <c r="N65">
        <v>0.02</v>
      </c>
      <c r="O65">
        <v>0.02</v>
      </c>
    </row>
    <row r="66" spans="1:15" x14ac:dyDescent="0.3">
      <c r="A66" s="10" t="s">
        <v>121</v>
      </c>
      <c r="B66" t="s">
        <v>156</v>
      </c>
      <c r="C66">
        <v>0.2104158751700238</v>
      </c>
      <c r="D66">
        <v>0.21374857147480511</v>
      </c>
      <c r="E66">
        <v>0.21733313398207649</v>
      </c>
      <c r="F66">
        <v>0.21115935266041011</v>
      </c>
      <c r="G66">
        <v>0.2103189151130874</v>
      </c>
      <c r="H66">
        <v>0.2096943369387097</v>
      </c>
      <c r="I66">
        <v>0.2089401519927869</v>
      </c>
      <c r="J66">
        <v>0.2083808216143582</v>
      </c>
      <c r="K66">
        <v>0.20972219010179111</v>
      </c>
      <c r="L66">
        <v>0.21060038505777501</v>
      </c>
      <c r="M66">
        <v>0.20882836741108909</v>
      </c>
      <c r="N66">
        <v>0.2075944198737682</v>
      </c>
      <c r="O66">
        <v>0.19983987140276671</v>
      </c>
    </row>
    <row r="67" spans="1:15" x14ac:dyDescent="0.3">
      <c r="A67" s="10" t="s">
        <v>122</v>
      </c>
      <c r="B67" t="s">
        <v>123</v>
      </c>
      <c r="C67">
        <v>0</v>
      </c>
      <c r="D67">
        <v>9.6078082493373324E-2</v>
      </c>
      <c r="E67">
        <v>0.37344129486083988</v>
      </c>
      <c r="F67">
        <v>0.52347101593017586</v>
      </c>
      <c r="G67">
        <v>0.76570048417679426</v>
      </c>
      <c r="H67">
        <v>0.92465890737085055</v>
      </c>
      <c r="I67">
        <v>2.1515117209898502</v>
      </c>
      <c r="J67">
        <v>2.969062824896417</v>
      </c>
      <c r="K67">
        <v>4.2975958571517587</v>
      </c>
      <c r="L67">
        <v>5.1885323977522679</v>
      </c>
      <c r="M67">
        <v>6.3946365684694744</v>
      </c>
      <c r="N67">
        <v>7.2053169248053104</v>
      </c>
      <c r="O67">
        <v>8.7644412686418303</v>
      </c>
    </row>
    <row r="68" spans="1:15" x14ac:dyDescent="0.3">
      <c r="A68" s="10" t="s">
        <v>124</v>
      </c>
      <c r="B68" t="s">
        <v>125</v>
      </c>
      <c r="C68">
        <v>0</v>
      </c>
      <c r="D68">
        <v>1.8890114872989229E-2</v>
      </c>
      <c r="E68">
        <v>3.2891010459589552E-2</v>
      </c>
      <c r="F68">
        <v>4.2055823028437973E-2</v>
      </c>
      <c r="G68">
        <v>4.6445468350514649E-2</v>
      </c>
      <c r="H68">
        <v>4.9257869557626448E-2</v>
      </c>
      <c r="I68">
        <v>5.4458389397895858E-2</v>
      </c>
      <c r="J68">
        <v>5.8109580098465348E-2</v>
      </c>
      <c r="K68">
        <v>6.3850044622671659E-2</v>
      </c>
      <c r="L68">
        <v>6.7848482928868525E-2</v>
      </c>
      <c r="M68">
        <v>7.4093332856685998E-2</v>
      </c>
      <c r="N68">
        <v>7.8416739859750131E-2</v>
      </c>
      <c r="O68">
        <v>8.6967273345640084E-2</v>
      </c>
    </row>
    <row r="69" spans="1:15" x14ac:dyDescent="0.3">
      <c r="A69" s="10" t="s">
        <v>126</v>
      </c>
      <c r="B69" t="s">
        <v>127</v>
      </c>
      <c r="C69">
        <v>0</v>
      </c>
      <c r="D69">
        <v>0</v>
      </c>
      <c r="E69">
        <v>9.2352342370756006E-3</v>
      </c>
      <c r="F69">
        <v>1.6660003334630569E-2</v>
      </c>
      <c r="G69">
        <v>2.7177207775835072E-2</v>
      </c>
      <c r="H69">
        <v>3.5035944495823652E-2</v>
      </c>
      <c r="I69">
        <v>6.2373519322726237E-2</v>
      </c>
      <c r="J69">
        <v>8.3374530851740819E-2</v>
      </c>
      <c r="K69">
        <v>0.1235012386552663</v>
      </c>
      <c r="L69">
        <v>0.15383088470763381</v>
      </c>
      <c r="M69">
        <v>0.19617699786030299</v>
      </c>
      <c r="N69">
        <v>0.22751686257576259</v>
      </c>
      <c r="O69">
        <v>0.27276541923368081</v>
      </c>
    </row>
    <row r="70" spans="1:15" x14ac:dyDescent="0.3">
      <c r="A70" s="10" t="s">
        <v>128</v>
      </c>
      <c r="B70" t="s">
        <v>129</v>
      </c>
      <c r="C70">
        <v>0</v>
      </c>
      <c r="D70">
        <v>5.6680796320069893E-2</v>
      </c>
      <c r="E70">
        <v>7.7579034480774606E-2</v>
      </c>
      <c r="F70">
        <v>9.0854235372848063E-2</v>
      </c>
      <c r="G70">
        <v>0.1001300407918443</v>
      </c>
      <c r="H70">
        <v>0.1062977569909766</v>
      </c>
      <c r="I70">
        <v>0.11116457409030039</v>
      </c>
      <c r="J70">
        <v>0.11433359012642839</v>
      </c>
      <c r="K70">
        <v>0.1189790719601686</v>
      </c>
      <c r="L70">
        <v>0.12200942459290789</v>
      </c>
      <c r="M70">
        <v>0.12646056922919069</v>
      </c>
      <c r="N70">
        <v>0.12936894793538259</v>
      </c>
      <c r="O70">
        <v>0.13301281641134571</v>
      </c>
    </row>
    <row r="71" spans="1:15" x14ac:dyDescent="0.3">
      <c r="A71" s="10" t="s">
        <v>130</v>
      </c>
      <c r="B71" t="s">
        <v>131</v>
      </c>
      <c r="C71">
        <v>0</v>
      </c>
      <c r="D71">
        <v>0</v>
      </c>
      <c r="E71">
        <v>2.1782868489138501E-2</v>
      </c>
      <c r="F71">
        <v>3.59910175400312E-2</v>
      </c>
      <c r="G71">
        <v>5.8590321507063482E-2</v>
      </c>
      <c r="H71">
        <v>7.5607052180960477E-2</v>
      </c>
      <c r="I71">
        <v>0.12732153460072559</v>
      </c>
      <c r="J71">
        <v>0.16404368128686481</v>
      </c>
      <c r="K71">
        <v>0.23013394662401501</v>
      </c>
      <c r="L71">
        <v>0.27662840667304728</v>
      </c>
      <c r="M71">
        <v>0.33482978646774392</v>
      </c>
      <c r="N71">
        <v>0.37534864624094322</v>
      </c>
      <c r="O71">
        <v>0.41718332927028828</v>
      </c>
    </row>
    <row r="72" spans="1:15" x14ac:dyDescent="0.3">
      <c r="A72" s="10" t="s">
        <v>132</v>
      </c>
      <c r="B72" t="s">
        <v>133</v>
      </c>
      <c r="C72">
        <v>0</v>
      </c>
      <c r="D72">
        <v>8.765785135469524E-2</v>
      </c>
      <c r="E72">
        <v>9.4889315568555538E-2</v>
      </c>
      <c r="F72">
        <v>9.9290204443066063E-2</v>
      </c>
      <c r="G72">
        <v>0.104202264152229</v>
      </c>
      <c r="H72">
        <v>0.10794978192959161</v>
      </c>
      <c r="I72">
        <v>0.1179407040083696</v>
      </c>
      <c r="J72">
        <v>0.12619893623754769</v>
      </c>
      <c r="K72">
        <v>0.14051245486707309</v>
      </c>
      <c r="L72">
        <v>0.15173797971288511</v>
      </c>
      <c r="M72">
        <v>0.1668827667029282</v>
      </c>
      <c r="N72">
        <v>0.17808304244343931</v>
      </c>
      <c r="O72">
        <v>0.19707531030236261</v>
      </c>
    </row>
    <row r="73" spans="1:15" x14ac:dyDescent="0.3">
      <c r="A73" s="10" t="s">
        <v>134</v>
      </c>
      <c r="B73" t="s">
        <v>135</v>
      </c>
      <c r="C73">
        <v>0.55112084064066902</v>
      </c>
      <c r="D73">
        <v>0.55690033942522599</v>
      </c>
      <c r="E73">
        <v>0.58121244412582629</v>
      </c>
      <c r="F73">
        <v>0.61228534461984907</v>
      </c>
      <c r="G73">
        <v>0.63364865927277769</v>
      </c>
      <c r="H73">
        <v>0.64740044903782723</v>
      </c>
      <c r="I73">
        <v>0.65006767124959397</v>
      </c>
      <c r="J73">
        <v>0.6520435170968959</v>
      </c>
      <c r="K73">
        <v>0.65123880015134139</v>
      </c>
      <c r="L73">
        <v>0.65074843330635013</v>
      </c>
      <c r="M73">
        <v>0.65012172815161051</v>
      </c>
      <c r="N73">
        <v>0.64970766608496366</v>
      </c>
      <c r="O73">
        <v>0.63634334456276587</v>
      </c>
    </row>
    <row r="74" spans="1:15" x14ac:dyDescent="0.3">
      <c r="A74" s="10" t="s">
        <v>136</v>
      </c>
      <c r="B74" t="s">
        <v>137</v>
      </c>
      <c r="C74">
        <v>0</v>
      </c>
      <c r="D74">
        <v>0.1919711468504294</v>
      </c>
      <c r="E74">
        <v>0.2033383957650311</v>
      </c>
      <c r="F74">
        <v>0.20868570743631029</v>
      </c>
      <c r="G74">
        <v>0.2262975574079637</v>
      </c>
      <c r="H74">
        <v>0.2379141110146713</v>
      </c>
      <c r="I74">
        <v>0.26234484190365331</v>
      </c>
      <c r="J74">
        <v>0.27963189912029029</v>
      </c>
      <c r="K74">
        <v>0.30187712076600159</v>
      </c>
      <c r="L74">
        <v>0.31745977766118211</v>
      </c>
      <c r="M74">
        <v>0.34018158809484139</v>
      </c>
      <c r="N74">
        <v>0.35582327972394928</v>
      </c>
      <c r="O74">
        <v>0.38297204662536799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74"/>
  <sheetViews>
    <sheetView workbookViewId="0">
      <selection activeCell="C2" sqref="C2:O77"/>
    </sheetView>
  </sheetViews>
  <sheetFormatPr baseColWidth="10" defaultColWidth="8.88671875" defaultRowHeight="14.4" x14ac:dyDescent="0.3"/>
  <sheetData>
    <row r="1" spans="1:15" x14ac:dyDescent="0.3">
      <c r="A1" s="10" t="s">
        <v>0</v>
      </c>
      <c r="B1" s="10" t="s">
        <v>1</v>
      </c>
      <c r="C1" s="1">
        <v>2019</v>
      </c>
      <c r="D1" s="1">
        <v>2020</v>
      </c>
      <c r="E1" s="1">
        <v>2023</v>
      </c>
      <c r="F1" s="1">
        <v>2025</v>
      </c>
      <c r="G1" s="1">
        <v>2028</v>
      </c>
      <c r="H1" s="1">
        <v>2030</v>
      </c>
      <c r="I1" s="1">
        <v>2033</v>
      </c>
      <c r="J1" s="1">
        <v>2035</v>
      </c>
      <c r="K1" s="1">
        <v>2038</v>
      </c>
      <c r="L1" s="1">
        <v>2040</v>
      </c>
      <c r="M1" s="1">
        <v>2043</v>
      </c>
      <c r="N1" s="1">
        <v>2045</v>
      </c>
      <c r="O1" s="1">
        <v>2050</v>
      </c>
    </row>
    <row r="2" spans="1:15" x14ac:dyDescent="0.3">
      <c r="A2" s="10" t="s">
        <v>2</v>
      </c>
      <c r="B2" t="s">
        <v>3</v>
      </c>
      <c r="C2">
        <v>110.73989180324401</v>
      </c>
      <c r="D2">
        <v>110.73989180324401</v>
      </c>
      <c r="E2">
        <v>110.73989180324401</v>
      </c>
      <c r="F2">
        <v>110.73989180324401</v>
      </c>
      <c r="G2">
        <v>110.73989180324401</v>
      </c>
      <c r="H2">
        <v>110.73989180324401</v>
      </c>
      <c r="I2">
        <v>110.73989180324401</v>
      </c>
      <c r="J2">
        <v>110.73989180324401</v>
      </c>
      <c r="K2">
        <v>110.73989180324401</v>
      </c>
      <c r="L2">
        <v>110.73989180324401</v>
      </c>
      <c r="M2">
        <v>110.73989180324401</v>
      </c>
      <c r="N2">
        <v>110.73989180324401</v>
      </c>
      <c r="O2">
        <v>110.73989180324401</v>
      </c>
    </row>
    <row r="3" spans="1:15" x14ac:dyDescent="0.3">
      <c r="A3" s="10" t="s">
        <v>4</v>
      </c>
      <c r="B3" t="s">
        <v>5</v>
      </c>
      <c r="C3">
        <v>-0.23019807749293569</v>
      </c>
      <c r="D3">
        <v>-0.3225068838271985</v>
      </c>
      <c r="E3">
        <v>-0.36211249105644722</v>
      </c>
      <c r="F3">
        <v>-0.39732023693726659</v>
      </c>
      <c r="G3">
        <v>-0.50510074540365379</v>
      </c>
      <c r="H3">
        <v>-0.57603268473685354</v>
      </c>
      <c r="I3">
        <v>-0.66271884187932006</v>
      </c>
      <c r="J3">
        <v>-0.71978071334896176</v>
      </c>
      <c r="K3">
        <v>-0.79448292533258091</v>
      </c>
      <c r="L3">
        <v>-0.84223131244027083</v>
      </c>
      <c r="M3">
        <v>-0.88545420210617809</v>
      </c>
      <c r="N3">
        <v>-0.91248590805618779</v>
      </c>
      <c r="O3">
        <v>-0.96994942734817102</v>
      </c>
    </row>
    <row r="4" spans="1:15" x14ac:dyDescent="0.3">
      <c r="A4" s="10" t="s">
        <v>6</v>
      </c>
      <c r="B4" t="s">
        <v>7</v>
      </c>
      <c r="C4">
        <v>-0.23525125575245659</v>
      </c>
      <c r="D4">
        <v>-0.3114864393855703</v>
      </c>
      <c r="E4">
        <v>-0.34460960622987252</v>
      </c>
      <c r="F4">
        <v>-0.38201140431632608</v>
      </c>
      <c r="G4">
        <v>-0.46726779404840357</v>
      </c>
      <c r="H4">
        <v>-0.52375926865348243</v>
      </c>
      <c r="I4">
        <v>-0.59237621864796242</v>
      </c>
      <c r="J4">
        <v>-0.6381226141765437</v>
      </c>
      <c r="K4">
        <v>-0.69885059786511694</v>
      </c>
      <c r="L4">
        <v>-0.73781658361186953</v>
      </c>
      <c r="M4">
        <v>-0.77553550205941635</v>
      </c>
      <c r="N4">
        <v>-0.79871446307799565</v>
      </c>
      <c r="O4">
        <v>-0.8453526173042315</v>
      </c>
    </row>
    <row r="5" spans="1:15" x14ac:dyDescent="0.3">
      <c r="A5" s="10" t="s">
        <v>8</v>
      </c>
      <c r="B5" t="s">
        <v>9</v>
      </c>
      <c r="C5">
        <v>-0.26441902857979449</v>
      </c>
      <c r="D5">
        <v>-0.34495837949296793</v>
      </c>
      <c r="E5">
        <v>-0.38250485200207912</v>
      </c>
      <c r="F5">
        <v>-0.42289991101490743</v>
      </c>
      <c r="G5">
        <v>-0.51637719376264068</v>
      </c>
      <c r="H5">
        <v>-0.57839382306827725</v>
      </c>
      <c r="I5">
        <v>-0.65080371466739773</v>
      </c>
      <c r="J5">
        <v>-0.69910269710408723</v>
      </c>
      <c r="K5">
        <v>-0.76367509045773729</v>
      </c>
      <c r="L5">
        <v>-0.80520208676926475</v>
      </c>
      <c r="M5">
        <v>-0.84716552268179135</v>
      </c>
      <c r="N5">
        <v>-0.87309780256780112</v>
      </c>
      <c r="O5">
        <v>-0.92633994314016843</v>
      </c>
    </row>
    <row r="6" spans="1:15" x14ac:dyDescent="0.3">
      <c r="A6" s="10" t="s">
        <v>10</v>
      </c>
      <c r="B6" t="s">
        <v>11</v>
      </c>
      <c r="C6">
        <v>-0.26441902857979449</v>
      </c>
      <c r="D6">
        <v>-0.34495837949296793</v>
      </c>
      <c r="E6">
        <v>-0.38250485200207912</v>
      </c>
      <c r="F6">
        <v>-0.42289991101490743</v>
      </c>
      <c r="G6">
        <v>-0.51414578829551616</v>
      </c>
      <c r="H6">
        <v>-0.57467481395640296</v>
      </c>
      <c r="I6">
        <v>-0.64485330008839892</v>
      </c>
      <c r="J6">
        <v>-0.69166467888033889</v>
      </c>
      <c r="K6">
        <v>-0.75288996403330199</v>
      </c>
      <c r="L6">
        <v>-0.79218555487770492</v>
      </c>
      <c r="M6">
        <v>-0.82968617985598236</v>
      </c>
      <c r="N6">
        <v>-0.85264325245249273</v>
      </c>
      <c r="O6">
        <v>-0.89193910885533156</v>
      </c>
    </row>
    <row r="7" spans="1:15" x14ac:dyDescent="0.3">
      <c r="A7" s="10" t="s">
        <v>12</v>
      </c>
      <c r="B7" t="s">
        <v>13</v>
      </c>
      <c r="C7">
        <v>-0.212694030033835</v>
      </c>
      <c r="D7">
        <v>-0.31143703256881139</v>
      </c>
      <c r="E7">
        <v>-0.32884690965330632</v>
      </c>
      <c r="F7">
        <v>-0.35540678607872173</v>
      </c>
      <c r="G7">
        <v>-0.43864970439518358</v>
      </c>
      <c r="H7">
        <v>-0.4938047268685104</v>
      </c>
      <c r="I7">
        <v>-0.56409598375774872</v>
      </c>
      <c r="J7">
        <v>-0.61095213007426863</v>
      </c>
      <c r="K7">
        <v>-0.67303303169636297</v>
      </c>
      <c r="L7">
        <v>-0.71294491720586517</v>
      </c>
      <c r="M7">
        <v>-0.75160431223993718</v>
      </c>
      <c r="N7">
        <v>-0.77546977666795336</v>
      </c>
      <c r="O7">
        <v>-0.83086934291963488</v>
      </c>
    </row>
    <row r="8" spans="1:15" x14ac:dyDescent="0.3">
      <c r="A8" s="10" t="s">
        <v>14</v>
      </c>
      <c r="B8" t="s">
        <v>15</v>
      </c>
      <c r="C8">
        <v>-0.24098073400390219</v>
      </c>
      <c r="D8">
        <v>-0.34389788814138239</v>
      </c>
      <c r="E8">
        <v>-0.36559745640834229</v>
      </c>
      <c r="F8">
        <v>-0.39506017653837439</v>
      </c>
      <c r="G8">
        <v>-0.48627565993479671</v>
      </c>
      <c r="H8">
        <v>-0.54678893915020199</v>
      </c>
      <c r="I8">
        <v>-0.62075856452445743</v>
      </c>
      <c r="J8">
        <v>-0.67009019193632713</v>
      </c>
      <c r="K8">
        <v>-0.73589937541180195</v>
      </c>
      <c r="L8">
        <v>-0.77829491122051753</v>
      </c>
      <c r="M8">
        <v>-0.82107060987977176</v>
      </c>
      <c r="N8">
        <v>-0.84760622386631745</v>
      </c>
      <c r="O8">
        <v>-0.9094102903141984</v>
      </c>
    </row>
    <row r="9" spans="1:15" x14ac:dyDescent="0.3">
      <c r="A9" s="10" t="s">
        <v>16</v>
      </c>
      <c r="B9" t="s">
        <v>17</v>
      </c>
      <c r="C9">
        <v>-0.24098073400390219</v>
      </c>
      <c r="D9">
        <v>-0.34389788814138239</v>
      </c>
      <c r="E9">
        <v>-0.36559745640834229</v>
      </c>
      <c r="F9">
        <v>-0.39506017653837439</v>
      </c>
      <c r="G9">
        <v>-0.48411165837528852</v>
      </c>
      <c r="H9">
        <v>-0.54318226988435492</v>
      </c>
      <c r="I9">
        <v>-0.61498789369910201</v>
      </c>
      <c r="J9">
        <v>-0.66287685340463287</v>
      </c>
      <c r="K9">
        <v>-0.72544003454084538</v>
      </c>
      <c r="L9">
        <v>-0.7656715687900526</v>
      </c>
      <c r="M9">
        <v>-0.80411926433029035</v>
      </c>
      <c r="N9">
        <v>-0.82776954290415838</v>
      </c>
      <c r="O9">
        <v>-0.87604859960511283</v>
      </c>
    </row>
    <row r="10" spans="1:15" x14ac:dyDescent="0.3">
      <c r="A10" s="10" t="s">
        <v>18</v>
      </c>
      <c r="B10" t="s">
        <v>19</v>
      </c>
      <c r="C10">
        <v>2.3061273435116658</v>
      </c>
      <c r="D10">
        <v>0.90314775625758359</v>
      </c>
      <c r="E10">
        <v>1.465006591101526</v>
      </c>
      <c r="F10">
        <v>1.907589995822849</v>
      </c>
      <c r="G10">
        <v>1.728304466502711</v>
      </c>
      <c r="H10">
        <v>1.6059099710919049</v>
      </c>
      <c r="I10">
        <v>1.422631829480524</v>
      </c>
      <c r="J10">
        <v>1.296192075444121</v>
      </c>
      <c r="K10">
        <v>1.149510858499899</v>
      </c>
      <c r="L10">
        <v>1.0484408258589979</v>
      </c>
      <c r="M10">
        <v>0.96289834546029085</v>
      </c>
      <c r="N10">
        <v>0.89413230324871529</v>
      </c>
      <c r="O10">
        <v>0.52980684654450194</v>
      </c>
    </row>
    <row r="11" spans="1:15" x14ac:dyDescent="0.3">
      <c r="A11" s="10" t="s">
        <v>20</v>
      </c>
      <c r="B11" t="s">
        <v>22</v>
      </c>
      <c r="C11">
        <v>86.049624398564362</v>
      </c>
      <c r="D11">
        <v>75.462333964294743</v>
      </c>
      <c r="E11">
        <v>73.447068281113062</v>
      </c>
      <c r="F11">
        <v>66.311399603195682</v>
      </c>
      <c r="G11">
        <v>55.940400269040254</v>
      </c>
      <c r="H11">
        <v>49.45034115778423</v>
      </c>
      <c r="I11">
        <v>41.873083327849969</v>
      </c>
      <c r="J11">
        <v>37.09414359867877</v>
      </c>
      <c r="K11">
        <v>30.515337372625261</v>
      </c>
      <c r="L11">
        <v>26.51920164087381</v>
      </c>
      <c r="M11">
        <v>21.596354386268722</v>
      </c>
      <c r="N11">
        <v>18.556547476518311</v>
      </c>
      <c r="O11">
        <v>11.83215549059612</v>
      </c>
    </row>
    <row r="12" spans="1:15" x14ac:dyDescent="0.3">
      <c r="A12" s="10" t="s">
        <v>21</v>
      </c>
      <c r="B12" t="s">
        <v>23</v>
      </c>
      <c r="C12">
        <v>87.940648820243922</v>
      </c>
      <c r="D12">
        <v>76.202915124425957</v>
      </c>
      <c r="E12">
        <v>74.64837368581631</v>
      </c>
      <c r="F12">
        <v>67.875623399770419</v>
      </c>
      <c r="G12">
        <v>57.357609931572483</v>
      </c>
      <c r="H12">
        <v>50.767187334079587</v>
      </c>
      <c r="I12">
        <v>43.039641428023998</v>
      </c>
      <c r="J12">
        <v>38.157021100542948</v>
      </c>
      <c r="K12">
        <v>31.457936276595181</v>
      </c>
      <c r="L12">
        <v>27.378923118078191</v>
      </c>
      <c r="M12">
        <v>22.38593102954616</v>
      </c>
      <c r="N12">
        <v>19.28973596518226</v>
      </c>
      <c r="O12">
        <v>12.26659710476261</v>
      </c>
    </row>
    <row r="13" spans="1:15" x14ac:dyDescent="0.3">
      <c r="A13" s="10" t="s">
        <v>24</v>
      </c>
      <c r="B13" t="s">
        <v>25</v>
      </c>
      <c r="C13">
        <v>-0.44180063175752998</v>
      </c>
      <c r="D13">
        <v>-0.51047982557290061</v>
      </c>
      <c r="E13">
        <v>-0.52355274761126247</v>
      </c>
      <c r="F13">
        <v>-0.56984145341144155</v>
      </c>
      <c r="G13">
        <v>-0.63711757828509319</v>
      </c>
      <c r="H13">
        <v>-0.67921824892811156</v>
      </c>
      <c r="I13">
        <v>-0.72837152023222407</v>
      </c>
      <c r="J13">
        <v>-0.75937224982677076</v>
      </c>
      <c r="K13">
        <v>-0.80204861831576524</v>
      </c>
      <c r="L13">
        <v>-0.82797133972757464</v>
      </c>
      <c r="M13">
        <v>-0.85990558983826526</v>
      </c>
      <c r="N13">
        <v>-0.87962465669604084</v>
      </c>
      <c r="O13">
        <v>-0.92324543231931155</v>
      </c>
    </row>
    <row r="14" spans="1:15" x14ac:dyDescent="0.3">
      <c r="A14" s="10" t="s">
        <v>26</v>
      </c>
      <c r="B14" t="s">
        <v>27</v>
      </c>
      <c r="C14">
        <v>323.32413770894891</v>
      </c>
      <c r="D14">
        <v>294.06429310375881</v>
      </c>
      <c r="E14">
        <v>277.80593554271559</v>
      </c>
      <c r="F14">
        <v>264.46483455206788</v>
      </c>
      <c r="G14">
        <v>229.13386665592</v>
      </c>
      <c r="H14">
        <v>205.34443649924239</v>
      </c>
      <c r="I14">
        <v>176.17131992754491</v>
      </c>
      <c r="J14">
        <v>156.4525509319831</v>
      </c>
      <c r="K14">
        <v>130.49348308043579</v>
      </c>
      <c r="L14">
        <v>113.6174597899482</v>
      </c>
      <c r="M14">
        <v>98.326060357569034</v>
      </c>
      <c r="N14">
        <v>88.957128114461526</v>
      </c>
      <c r="O14">
        <v>70.899309750373675</v>
      </c>
    </row>
    <row r="15" spans="1:15" x14ac:dyDescent="0.3">
      <c r="A15" s="10" t="s">
        <v>28</v>
      </c>
      <c r="B15" t="s">
        <v>29</v>
      </c>
      <c r="C15">
        <v>-0.1786260139840502</v>
      </c>
      <c r="D15">
        <v>-0.25295784508045482</v>
      </c>
      <c r="E15">
        <v>-0.29426064434132482</v>
      </c>
      <c r="F15">
        <v>-0.32815243286097417</v>
      </c>
      <c r="G15">
        <v>-0.41790737085073792</v>
      </c>
      <c r="H15">
        <v>-0.47834213829896322</v>
      </c>
      <c r="I15">
        <v>-0.55245364513787831</v>
      </c>
      <c r="J15">
        <v>-0.60254728801891866</v>
      </c>
      <c r="K15">
        <v>-0.66849381210329639</v>
      </c>
      <c r="L15">
        <v>-0.71136573195570074</v>
      </c>
      <c r="M15">
        <v>-0.75021206675932617</v>
      </c>
      <c r="N15">
        <v>-0.77401294124943876</v>
      </c>
      <c r="O15">
        <v>-0.81988709822875649</v>
      </c>
    </row>
    <row r="16" spans="1:15" x14ac:dyDescent="0.3">
      <c r="A16" s="10" t="s">
        <v>148</v>
      </c>
      <c r="B16" t="s">
        <v>149</v>
      </c>
      <c r="C16">
        <v>51.501700098369398</v>
      </c>
      <c r="D16">
        <v>51.334433542038617</v>
      </c>
      <c r="E16">
        <v>48.21704182363959</v>
      </c>
      <c r="F16">
        <v>45.979948980249993</v>
      </c>
      <c r="G16">
        <v>44.319251737037973</v>
      </c>
      <c r="H16">
        <v>43.046351430672267</v>
      </c>
      <c r="I16">
        <v>41.042184249900409</v>
      </c>
      <c r="J16">
        <v>39.60294932826298</v>
      </c>
      <c r="K16">
        <v>37.391268778574997</v>
      </c>
      <c r="L16">
        <v>35.941252696319083</v>
      </c>
      <c r="M16">
        <v>33.944403805859743</v>
      </c>
      <c r="N16">
        <v>32.797278695801083</v>
      </c>
      <c r="O16">
        <v>30.942299656853379</v>
      </c>
    </row>
    <row r="17" spans="1:15" x14ac:dyDescent="0.3">
      <c r="A17" s="10" t="s">
        <v>30</v>
      </c>
      <c r="B17" t="s">
        <v>31</v>
      </c>
      <c r="C17">
        <v>-5.7685909238925803E-2</v>
      </c>
      <c r="D17">
        <v>-6.07463447710056E-2</v>
      </c>
      <c r="E17">
        <v>-0.11778450345428169</v>
      </c>
      <c r="F17">
        <v>-0.1587160475516681</v>
      </c>
      <c r="G17">
        <v>-0.18910142142821529</v>
      </c>
      <c r="H17">
        <v>-0.21239136899366401</v>
      </c>
      <c r="I17">
        <v>-0.2490611288477084</v>
      </c>
      <c r="J17">
        <v>-0.27539446044615978</v>
      </c>
      <c r="K17">
        <v>-0.31586104198138099</v>
      </c>
      <c r="L17">
        <v>-0.3423916338556322</v>
      </c>
      <c r="M17">
        <v>-0.37892749273031889</v>
      </c>
      <c r="N17">
        <v>-0.39991616209481512</v>
      </c>
      <c r="O17">
        <v>-0.43385626277359252</v>
      </c>
    </row>
    <row r="18" spans="1:15" x14ac:dyDescent="0.3">
      <c r="A18" s="10" t="s">
        <v>150</v>
      </c>
      <c r="B18" t="s">
        <v>151</v>
      </c>
      <c r="C18">
        <v>32.874928189574852</v>
      </c>
      <c r="D18">
        <v>32.881140706000139</v>
      </c>
      <c r="E18">
        <v>32.494157018991963</v>
      </c>
      <c r="F18">
        <v>32.053507468529013</v>
      </c>
      <c r="G18">
        <v>31.047339343063179</v>
      </c>
      <c r="H18">
        <v>30.18592231335715</v>
      </c>
      <c r="I18">
        <v>28.643694536013921</v>
      </c>
      <c r="J18">
        <v>27.496948116758261</v>
      </c>
      <c r="K18">
        <v>25.70129751402137</v>
      </c>
      <c r="L18">
        <v>24.532300983694419</v>
      </c>
      <c r="M18">
        <v>22.961480413707442</v>
      </c>
      <c r="N18">
        <v>22.125994912131649</v>
      </c>
      <c r="O18">
        <v>21.142542402552301</v>
      </c>
    </row>
    <row r="19" spans="1:15" x14ac:dyDescent="0.3">
      <c r="A19" s="10" t="s">
        <v>32</v>
      </c>
      <c r="B19" t="s">
        <v>33</v>
      </c>
      <c r="C19">
        <v>-0.46277144515318303</v>
      </c>
      <c r="D19">
        <v>-0.46266992276500107</v>
      </c>
      <c r="E19">
        <v>-0.46899385100970592</v>
      </c>
      <c r="F19">
        <v>-0.47619476472194272</v>
      </c>
      <c r="G19">
        <v>-0.49263715038617528</v>
      </c>
      <c r="H19">
        <v>-0.50671407318037187</v>
      </c>
      <c r="I19">
        <v>-0.53191652519149024</v>
      </c>
      <c r="J19">
        <v>-0.55065618351226031</v>
      </c>
      <c r="K19">
        <v>-0.57999996710184898</v>
      </c>
      <c r="L19">
        <v>-0.59910322758616075</v>
      </c>
      <c r="M19">
        <v>-0.62477293125430045</v>
      </c>
      <c r="N19">
        <v>-0.63842609168156383</v>
      </c>
      <c r="O19">
        <v>-0.65449726809402931</v>
      </c>
    </row>
    <row r="20" spans="1:15" x14ac:dyDescent="0.3">
      <c r="A20" s="10" t="s">
        <v>152</v>
      </c>
      <c r="B20" t="s">
        <v>153</v>
      </c>
      <c r="C20">
        <v>14.54855432764387</v>
      </c>
      <c r="D20">
        <v>12.95802173594071</v>
      </c>
      <c r="E20">
        <v>9.9718377663674076</v>
      </c>
      <c r="F20">
        <v>7.9810484533185377</v>
      </c>
      <c r="G20">
        <v>6.3270795287523089</v>
      </c>
      <c r="H20">
        <v>5.224433579041488</v>
      </c>
      <c r="I20">
        <v>4.2439543333053784</v>
      </c>
      <c r="J20">
        <v>3.5903015028146368</v>
      </c>
      <c r="K20">
        <v>2.949837878586008</v>
      </c>
      <c r="L20">
        <v>2.5228621291002562</v>
      </c>
      <c r="M20">
        <v>2.289292364693249</v>
      </c>
      <c r="N20">
        <v>2.133579188421912</v>
      </c>
      <c r="O20">
        <v>1.9595602090676789</v>
      </c>
    </row>
    <row r="21" spans="1:15" x14ac:dyDescent="0.3">
      <c r="A21" s="10" t="s">
        <v>34</v>
      </c>
      <c r="B21" t="s">
        <v>35</v>
      </c>
      <c r="C21">
        <v>0.2364841335964554</v>
      </c>
      <c r="D21">
        <v>0.1013044951720299</v>
      </c>
      <c r="E21">
        <v>-0.15249179380780081</v>
      </c>
      <c r="F21">
        <v>-0.32168931979435461</v>
      </c>
      <c r="G21">
        <v>-0.46226042305523352</v>
      </c>
      <c r="H21">
        <v>-0.5559744918958196</v>
      </c>
      <c r="I21">
        <v>-0.63930559156183431</v>
      </c>
      <c r="J21">
        <v>-0.69485965800584415</v>
      </c>
      <c r="K21">
        <v>-0.74929277154205576</v>
      </c>
      <c r="L21">
        <v>-0.78558151389953013</v>
      </c>
      <c r="M21">
        <v>-0.80543264833344175</v>
      </c>
      <c r="N21">
        <v>-0.8186667379560495</v>
      </c>
      <c r="O21">
        <v>-0.83345664092993521</v>
      </c>
    </row>
    <row r="22" spans="1:15" x14ac:dyDescent="0.3">
      <c r="A22" s="10" t="s">
        <v>36</v>
      </c>
      <c r="B22" t="s">
        <v>37</v>
      </c>
      <c r="C22">
        <v>0.70599973864922017</v>
      </c>
      <c r="D22">
        <v>0.66911200891123335</v>
      </c>
      <c r="E22">
        <v>0.66645694453933924</v>
      </c>
      <c r="F22">
        <v>0.64758696533975957</v>
      </c>
      <c r="G22">
        <v>0.62036555172145735</v>
      </c>
      <c r="H22">
        <v>0.60290218192129896</v>
      </c>
      <c r="I22">
        <v>0.56821342315583279</v>
      </c>
      <c r="J22">
        <v>0.54570287169095311</v>
      </c>
      <c r="K22">
        <v>0.51282130446917407</v>
      </c>
      <c r="L22">
        <v>0.49146837714856029</v>
      </c>
      <c r="M22">
        <v>0.45209618278782898</v>
      </c>
      <c r="N22">
        <v>0.42718763081018468</v>
      </c>
      <c r="O22">
        <v>0.36914945092575852</v>
      </c>
    </row>
    <row r="23" spans="1:15" x14ac:dyDescent="0.3">
      <c r="A23" s="10" t="s">
        <v>38</v>
      </c>
      <c r="B23" t="s">
        <v>39</v>
      </c>
      <c r="C23">
        <v>0.26979087972612831</v>
      </c>
      <c r="D23">
        <v>0.31803704728339061</v>
      </c>
      <c r="E23">
        <v>0.31678208500568927</v>
      </c>
      <c r="F23">
        <v>0.33742254040083208</v>
      </c>
      <c r="G23">
        <v>0.36733156549007739</v>
      </c>
      <c r="H23">
        <v>0.38678034878980178</v>
      </c>
      <c r="I23">
        <v>0.43092198328678932</v>
      </c>
      <c r="J23">
        <v>0.45906574414213069</v>
      </c>
      <c r="K23">
        <v>0.5014161117830559</v>
      </c>
      <c r="L23">
        <v>0.52713465909276525</v>
      </c>
      <c r="M23">
        <v>0.5662131064123348</v>
      </c>
      <c r="N23">
        <v>0.59052004023543414</v>
      </c>
      <c r="O23">
        <v>0.64580380356464473</v>
      </c>
    </row>
    <row r="24" spans="1:15" x14ac:dyDescent="0.3">
      <c r="A24" s="10" t="s">
        <v>40</v>
      </c>
      <c r="B24" t="s">
        <v>154</v>
      </c>
      <c r="C24">
        <v>0.26861176380663188</v>
      </c>
      <c r="D24">
        <v>0.27709839127248531</v>
      </c>
      <c r="E24">
        <v>0.29389906913638941</v>
      </c>
      <c r="F24">
        <v>0.29956035011943222</v>
      </c>
      <c r="G24">
        <v>0.33152419522574211</v>
      </c>
      <c r="H24">
        <v>0.35543441613091431</v>
      </c>
      <c r="I24">
        <v>0.38606225252233239</v>
      </c>
      <c r="J24">
        <v>0.4081004219610983</v>
      </c>
      <c r="K24">
        <v>0.43863062074108877</v>
      </c>
      <c r="L24">
        <v>0.46084180206451031</v>
      </c>
      <c r="M24">
        <v>0.48433726624785722</v>
      </c>
      <c r="N24">
        <v>0.50099206433782251</v>
      </c>
      <c r="O24">
        <v>0.51638122883665438</v>
      </c>
    </row>
    <row r="25" spans="1:15" x14ac:dyDescent="0.3">
      <c r="A25" s="10" t="s">
        <v>41</v>
      </c>
      <c r="B25" t="s">
        <v>42</v>
      </c>
      <c r="C25">
        <v>98.175320427810462</v>
      </c>
      <c r="D25">
        <v>90.445069748712825</v>
      </c>
      <c r="E25">
        <v>111.6255249722492</v>
      </c>
      <c r="F25">
        <v>121.4144067088759</v>
      </c>
      <c r="G25">
        <v>127.2988424100071</v>
      </c>
      <c r="H25">
        <v>130.23276669193481</v>
      </c>
      <c r="I25">
        <v>140.26444084159951</v>
      </c>
      <c r="J25">
        <v>146.13366094323899</v>
      </c>
      <c r="K25">
        <v>152.77116058580509</v>
      </c>
      <c r="L25">
        <v>154.97849931581541</v>
      </c>
      <c r="M25">
        <v>165.79161460932471</v>
      </c>
      <c r="N25">
        <v>170.47252832955601</v>
      </c>
      <c r="O25">
        <v>205.5059210272986</v>
      </c>
    </row>
    <row r="26" spans="1:15" x14ac:dyDescent="0.3">
      <c r="A26" s="10" t="s">
        <v>43</v>
      </c>
      <c r="B26" t="s">
        <v>44</v>
      </c>
      <c r="C26">
        <v>0.53672356708306368</v>
      </c>
      <c r="D26">
        <v>0.4939034277020331</v>
      </c>
      <c r="E26">
        <v>0.55250191756784239</v>
      </c>
      <c r="F26">
        <v>0.56039109281023169</v>
      </c>
      <c r="G26">
        <v>0.57463135285893108</v>
      </c>
      <c r="H26">
        <v>0.58412485955806404</v>
      </c>
      <c r="I26">
        <v>0.59776498446965687</v>
      </c>
      <c r="J26">
        <v>0.60685840107738542</v>
      </c>
      <c r="K26">
        <v>0.6204997411199763</v>
      </c>
      <c r="L26">
        <v>0.62959396781503696</v>
      </c>
      <c r="M26">
        <v>0.64190676048100792</v>
      </c>
      <c r="N26">
        <v>0.6501152889249886</v>
      </c>
      <c r="O26">
        <v>0.66937713729205039</v>
      </c>
    </row>
    <row r="27" spans="1:15" x14ac:dyDescent="0.3">
      <c r="A27" s="10" t="s">
        <v>45</v>
      </c>
      <c r="B27" t="s">
        <v>46</v>
      </c>
      <c r="C27">
        <v>98.71204399489352</v>
      </c>
      <c r="D27">
        <v>90.938973176414862</v>
      </c>
      <c r="E27">
        <v>112.178026889817</v>
      </c>
      <c r="F27">
        <v>121.97479780168619</v>
      </c>
      <c r="G27">
        <v>127.873473762866</v>
      </c>
      <c r="H27">
        <v>130.8168915514928</v>
      </c>
      <c r="I27">
        <v>140.8622058260691</v>
      </c>
      <c r="J27">
        <v>146.7405193443164</v>
      </c>
      <c r="K27">
        <v>153.39166032692509</v>
      </c>
      <c r="L27">
        <v>155.60809328363041</v>
      </c>
      <c r="M27">
        <v>166.43352136980579</v>
      </c>
      <c r="N27">
        <v>171.12264361848099</v>
      </c>
      <c r="O27">
        <v>206.1752981645906</v>
      </c>
    </row>
    <row r="28" spans="1:15" x14ac:dyDescent="0.3">
      <c r="A28" s="10" t="s">
        <v>47</v>
      </c>
      <c r="B28" t="s">
        <v>48</v>
      </c>
      <c r="C28">
        <v>5.5482944584103078E-2</v>
      </c>
      <c r="D28">
        <v>5.4472911852289627E-2</v>
      </c>
      <c r="E28">
        <v>6.1390297446380873E-2</v>
      </c>
      <c r="F28">
        <v>6.8557846480683748E-2</v>
      </c>
      <c r="G28">
        <v>7.7451336681122196E-2</v>
      </c>
      <c r="H28">
        <v>8.3668195334900913E-2</v>
      </c>
      <c r="I28">
        <v>0.1011804475204062</v>
      </c>
      <c r="J28">
        <v>0.11322671136126231</v>
      </c>
      <c r="K28">
        <v>0.13061135401723789</v>
      </c>
      <c r="L28">
        <v>0.14231220931876601</v>
      </c>
      <c r="M28">
        <v>0.1589401347503952</v>
      </c>
      <c r="N28">
        <v>0.1699170035274038</v>
      </c>
      <c r="O28">
        <v>0.1910863908151868</v>
      </c>
    </row>
    <row r="29" spans="1:15" x14ac:dyDescent="0.3">
      <c r="A29" s="10" t="s">
        <v>49</v>
      </c>
      <c r="B29" t="s">
        <v>50</v>
      </c>
      <c r="C29">
        <v>0.27012775054474791</v>
      </c>
      <c r="D29">
        <v>0.28261972941046482</v>
      </c>
      <c r="E29">
        <v>0.2979983627273266</v>
      </c>
      <c r="F29">
        <v>0.30762810234621091</v>
      </c>
      <c r="G29">
        <v>0.32077117396550048</v>
      </c>
      <c r="H29">
        <v>0.33</v>
      </c>
      <c r="I29">
        <v>0.33206342622439489</v>
      </c>
      <c r="J29">
        <v>0.33331924985729688</v>
      </c>
      <c r="K29">
        <v>0.33471770733015471</v>
      </c>
      <c r="L29">
        <v>0.3356256909343821</v>
      </c>
      <c r="M29">
        <v>0.33775410125903799</v>
      </c>
      <c r="N29">
        <v>0.33920193692574491</v>
      </c>
      <c r="O29">
        <v>0.34159654993267791</v>
      </c>
    </row>
    <row r="30" spans="1:15" x14ac:dyDescent="0.3">
      <c r="A30" s="10" t="s">
        <v>51</v>
      </c>
      <c r="B30" t="s">
        <v>48</v>
      </c>
      <c r="C30">
        <v>0.25362078835458302</v>
      </c>
      <c r="D30">
        <v>0.24185406989020189</v>
      </c>
      <c r="E30">
        <v>0.26804930771285101</v>
      </c>
      <c r="F30">
        <v>0.29618594882689447</v>
      </c>
      <c r="G30">
        <v>0.30277117396550057</v>
      </c>
      <c r="H30">
        <v>0.30653272186603958</v>
      </c>
      <c r="I30">
        <v>0.31238030391106669</v>
      </c>
      <c r="J30">
        <v>0.3162896296094726</v>
      </c>
      <c r="K30">
        <v>0.31515817095862009</v>
      </c>
      <c r="L30">
        <v>0.31431731111835048</v>
      </c>
      <c r="M30">
        <v>0.31653582093149152</v>
      </c>
      <c r="N30">
        <v>0.31804881519197542</v>
      </c>
      <c r="O30">
        <v>0.3233694732483624</v>
      </c>
    </row>
    <row r="31" spans="1:15" x14ac:dyDescent="0.3">
      <c r="A31" s="10" t="s">
        <v>52</v>
      </c>
      <c r="B31" t="s">
        <v>53</v>
      </c>
      <c r="C31">
        <v>0</v>
      </c>
      <c r="D31">
        <v>3.8622058468526993E-4</v>
      </c>
      <c r="E31">
        <v>1.062193151180069E-2</v>
      </c>
      <c r="F31">
        <v>1.5572107675965809E-2</v>
      </c>
      <c r="G31">
        <v>2.276389306551023E-2</v>
      </c>
      <c r="H31">
        <v>2.663318046650991E-2</v>
      </c>
      <c r="I31">
        <v>3.1271713534789518E-2</v>
      </c>
      <c r="J31">
        <v>3.3468765616634678E-2</v>
      </c>
      <c r="K31">
        <v>4.9289111310684343E-2</v>
      </c>
      <c r="L31">
        <v>5.8061760625344058E-2</v>
      </c>
      <c r="M31">
        <v>7.2502257593098612E-2</v>
      </c>
      <c r="N31">
        <v>7.9365081599514872E-2</v>
      </c>
      <c r="O31">
        <v>0.12983649729193461</v>
      </c>
    </row>
    <row r="32" spans="1:15" x14ac:dyDescent="0.3">
      <c r="A32" s="10" t="s">
        <v>54</v>
      </c>
      <c r="B32" t="s">
        <v>55</v>
      </c>
      <c r="C32">
        <v>18.907198944402481</v>
      </c>
      <c r="D32">
        <v>18.033702787642159</v>
      </c>
      <c r="E32">
        <v>22.890290480692482</v>
      </c>
      <c r="F32">
        <v>27.938484925163849</v>
      </c>
      <c r="G32">
        <v>32.446202978354627</v>
      </c>
      <c r="H32">
        <v>35.536727255379162</v>
      </c>
      <c r="I32">
        <v>39.465939047237377</v>
      </c>
      <c r="J32">
        <v>42.147430818586649</v>
      </c>
      <c r="K32">
        <v>45.114443325653603</v>
      </c>
      <c r="L32">
        <v>46.996793645475726</v>
      </c>
      <c r="M32">
        <v>48.855740086434288</v>
      </c>
      <c r="N32">
        <v>49.854110754933039</v>
      </c>
      <c r="O32">
        <v>55.225965897779638</v>
      </c>
    </row>
    <row r="33" spans="1:15" x14ac:dyDescent="0.3">
      <c r="A33" s="10" t="s">
        <v>56</v>
      </c>
      <c r="B33" t="s">
        <v>57</v>
      </c>
      <c r="C33">
        <v>0.49750465939174532</v>
      </c>
      <c r="D33">
        <v>0.46427858411076228</v>
      </c>
      <c r="E33">
        <v>0.51462132892763723</v>
      </c>
      <c r="F33">
        <v>0.52317966369558455</v>
      </c>
      <c r="G33">
        <v>0.53647503052338108</v>
      </c>
      <c r="H33">
        <v>0.54533860840858184</v>
      </c>
      <c r="I33">
        <v>0.55807373702303853</v>
      </c>
      <c r="J33">
        <v>0.5665638227660067</v>
      </c>
      <c r="K33">
        <v>0.57930008616962703</v>
      </c>
      <c r="L33">
        <v>0.58779092843870806</v>
      </c>
      <c r="M33">
        <v>0.59928685345591792</v>
      </c>
      <c r="N33">
        <v>0.60695080346739405</v>
      </c>
      <c r="O33">
        <v>0.62493485884707645</v>
      </c>
    </row>
    <row r="34" spans="1:15" x14ac:dyDescent="0.3">
      <c r="A34" s="10" t="s">
        <v>58</v>
      </c>
      <c r="B34" t="s">
        <v>59</v>
      </c>
      <c r="C34">
        <v>19.404703603794221</v>
      </c>
      <c r="D34">
        <v>18.497981371752921</v>
      </c>
      <c r="E34">
        <v>23.404911809620121</v>
      </c>
      <c r="F34">
        <v>28.461664588859431</v>
      </c>
      <c r="G34">
        <v>32.982678008878011</v>
      </c>
      <c r="H34">
        <v>36.082065863787747</v>
      </c>
      <c r="I34">
        <v>40.024012784260407</v>
      </c>
      <c r="J34">
        <v>42.713994641352663</v>
      </c>
      <c r="K34">
        <v>45.69374341182322</v>
      </c>
      <c r="L34">
        <v>47.584584573914427</v>
      </c>
      <c r="M34">
        <v>49.455026939890203</v>
      </c>
      <c r="N34">
        <v>50.461061558400431</v>
      </c>
      <c r="O34">
        <v>55.850900756626707</v>
      </c>
    </row>
    <row r="35" spans="1:15" x14ac:dyDescent="0.3">
      <c r="A35" s="10" t="s">
        <v>60</v>
      </c>
      <c r="B35" t="s">
        <v>61</v>
      </c>
      <c r="C35">
        <v>31.43908444444444</v>
      </c>
      <c r="D35">
        <v>32.65154555555555</v>
      </c>
      <c r="E35">
        <v>40.689995442549453</v>
      </c>
      <c r="F35">
        <v>46.619285106886622</v>
      </c>
      <c r="G35">
        <v>54.907841960144133</v>
      </c>
      <c r="H35">
        <v>60.624930232291362</v>
      </c>
      <c r="I35">
        <v>69.923213898201851</v>
      </c>
      <c r="J35">
        <v>76.342143728029612</v>
      </c>
      <c r="K35">
        <v>85.715988622292315</v>
      </c>
      <c r="L35">
        <v>92.065880835626828</v>
      </c>
      <c r="M35">
        <v>102.0720131573504</v>
      </c>
      <c r="N35">
        <v>108.8200961888824</v>
      </c>
      <c r="O35">
        <v>121.9823176627512</v>
      </c>
    </row>
    <row r="36" spans="1:15" x14ac:dyDescent="0.3">
      <c r="A36" s="10" t="s">
        <v>62</v>
      </c>
      <c r="B36" t="s">
        <v>63</v>
      </c>
      <c r="C36">
        <v>148.5216038166574</v>
      </c>
      <c r="D36">
        <v>141.13031809191051</v>
      </c>
      <c r="E36">
        <v>175.20581089549111</v>
      </c>
      <c r="F36">
        <v>195.97217674092639</v>
      </c>
      <c r="G36">
        <v>214.65288734850591</v>
      </c>
      <c r="H36">
        <v>226.39442417960529</v>
      </c>
      <c r="I36">
        <v>249.65359378703869</v>
      </c>
      <c r="J36">
        <v>264.62323548985518</v>
      </c>
      <c r="K36">
        <v>283.60159253375099</v>
      </c>
      <c r="L36">
        <v>294.04117379691792</v>
      </c>
      <c r="M36">
        <v>316.71936785310942</v>
      </c>
      <c r="N36">
        <v>329.14673527337152</v>
      </c>
      <c r="O36">
        <v>382.71420458782939</v>
      </c>
    </row>
    <row r="37" spans="1:15" x14ac:dyDescent="0.3">
      <c r="A37" s="10" t="s">
        <v>64</v>
      </c>
      <c r="B37" t="s">
        <v>65</v>
      </c>
      <c r="C37">
        <v>1.0342282264748091</v>
      </c>
      <c r="D37">
        <v>0.95818201181279539</v>
      </c>
      <c r="E37">
        <v>1.0671232464954801</v>
      </c>
      <c r="F37">
        <v>1.0835707565058159</v>
      </c>
      <c r="G37">
        <v>1.111106383382312</v>
      </c>
      <c r="H37">
        <v>1.129463467966646</v>
      </c>
      <c r="I37">
        <v>1.155838721492696</v>
      </c>
      <c r="J37">
        <v>1.173422223843392</v>
      </c>
      <c r="K37">
        <v>1.1997998272896031</v>
      </c>
      <c r="L37">
        <v>1.217384896253745</v>
      </c>
      <c r="M37">
        <v>1.241193613936926</v>
      </c>
      <c r="N37">
        <v>1.2570660923923831</v>
      </c>
      <c r="O37">
        <v>1.294311996139127</v>
      </c>
    </row>
    <row r="38" spans="1:15" x14ac:dyDescent="0.3">
      <c r="A38" s="10" t="s">
        <v>66</v>
      </c>
      <c r="B38" t="s">
        <v>67</v>
      </c>
      <c r="C38">
        <v>149.5558320431322</v>
      </c>
      <c r="D38">
        <v>142.08850010372331</v>
      </c>
      <c r="E38">
        <v>176.27293414198661</v>
      </c>
      <c r="F38">
        <v>197.05574749743221</v>
      </c>
      <c r="G38">
        <v>215.76399373188821</v>
      </c>
      <c r="H38">
        <v>227.52388764757191</v>
      </c>
      <c r="I38">
        <v>250.80943250853139</v>
      </c>
      <c r="J38">
        <v>265.79665771369861</v>
      </c>
      <c r="K38">
        <v>284.80139236104071</v>
      </c>
      <c r="L38">
        <v>295.25855869317172</v>
      </c>
      <c r="M38">
        <v>317.96056146704632</v>
      </c>
      <c r="N38">
        <v>330.40380136576391</v>
      </c>
      <c r="O38">
        <v>384.00851658396851</v>
      </c>
    </row>
    <row r="39" spans="1:15" x14ac:dyDescent="0.3">
      <c r="A39" s="10" t="s">
        <v>68</v>
      </c>
      <c r="B39" t="s">
        <v>69</v>
      </c>
      <c r="C39">
        <v>36.202041934525631</v>
      </c>
      <c r="D39">
        <v>28.772993390478131</v>
      </c>
      <c r="E39">
        <v>26.965216382660021</v>
      </c>
      <c r="F39">
        <v>19.126295731813592</v>
      </c>
      <c r="G39">
        <v>12.25380549209545</v>
      </c>
      <c r="H39">
        <v>8.102613049573506</v>
      </c>
      <c r="I39">
        <v>7.0161521210543381</v>
      </c>
      <c r="J39">
        <v>6.3348987823779392</v>
      </c>
      <c r="K39">
        <v>5.4476450151793419</v>
      </c>
      <c r="L39">
        <v>4.8860593105227803</v>
      </c>
      <c r="M39">
        <v>4.2769338976147084</v>
      </c>
      <c r="N39">
        <v>3.869929367797571</v>
      </c>
      <c r="O39">
        <v>3.108388878906204</v>
      </c>
    </row>
    <row r="40" spans="1:15" x14ac:dyDescent="0.3">
      <c r="A40" s="10" t="s">
        <v>70</v>
      </c>
      <c r="B40" t="s">
        <v>71</v>
      </c>
      <c r="C40">
        <v>613.89538129268442</v>
      </c>
      <c r="D40">
        <v>584.81079268766837</v>
      </c>
      <c r="E40">
        <v>546.56990877678345</v>
      </c>
      <c r="F40">
        <v>511.25562273983019</v>
      </c>
      <c r="G40">
        <v>431.51853405934668</v>
      </c>
      <c r="H40">
        <v>378.95632565606093</v>
      </c>
      <c r="I40">
        <v>345.37649601915069</v>
      </c>
      <c r="J40">
        <v>323.09174979737708</v>
      </c>
      <c r="K40">
        <v>291.51707400089441</v>
      </c>
      <c r="L40">
        <v>270.42181196843319</v>
      </c>
      <c r="M40">
        <v>250.49692063788359</v>
      </c>
      <c r="N40">
        <v>237.1209138990028</v>
      </c>
      <c r="O40">
        <v>212.66658145392469</v>
      </c>
    </row>
    <row r="41" spans="1:15" x14ac:dyDescent="0.3">
      <c r="A41" s="10" t="s">
        <v>72</v>
      </c>
      <c r="B41" t="s">
        <v>73</v>
      </c>
      <c r="C41">
        <v>42.567712544220541</v>
      </c>
      <c r="D41">
        <v>41.170669739303932</v>
      </c>
      <c r="E41">
        <v>46.804598358824947</v>
      </c>
      <c r="F41">
        <v>52.306530850299502</v>
      </c>
      <c r="G41">
        <v>57.59285785282708</v>
      </c>
      <c r="H41">
        <v>61.077079184331893</v>
      </c>
      <c r="I41">
        <v>64.606733318987239</v>
      </c>
      <c r="J41">
        <v>66.938431640818749</v>
      </c>
      <c r="K41">
        <v>68.105755071395478</v>
      </c>
      <c r="L41">
        <v>68.859354571878825</v>
      </c>
      <c r="M41">
        <v>68.152865085109568</v>
      </c>
      <c r="N41">
        <v>67.650908946776383</v>
      </c>
      <c r="O41">
        <v>67.754386367376611</v>
      </c>
    </row>
    <row r="42" spans="1:15" x14ac:dyDescent="0.3">
      <c r="A42" s="10" t="s">
        <v>74</v>
      </c>
      <c r="B42" t="s">
        <v>75</v>
      </c>
      <c r="C42">
        <v>687.90217828134939</v>
      </c>
      <c r="D42">
        <v>658.63300798252783</v>
      </c>
      <c r="E42">
        <v>634.06450257815789</v>
      </c>
      <c r="F42">
        <v>610.18143869701635</v>
      </c>
      <c r="G42">
        <v>544.01923387231784</v>
      </c>
      <c r="H42">
        <v>500.65833507268422</v>
      </c>
      <c r="I42">
        <v>479.90644323633978</v>
      </c>
      <c r="J42">
        <v>466.37232516622538</v>
      </c>
      <c r="K42">
        <v>445.33881769458219</v>
      </c>
      <c r="L42">
        <v>431.34704737593893</v>
      </c>
      <c r="M42">
        <v>420.72179888034361</v>
      </c>
      <c r="N42">
        <v>413.5919190346616</v>
      </c>
      <c r="O42">
        <v>402.40328548405262</v>
      </c>
    </row>
    <row r="43" spans="1:15" x14ac:dyDescent="0.3">
      <c r="A43" s="10" t="s">
        <v>76</v>
      </c>
      <c r="B43" t="s">
        <v>77</v>
      </c>
      <c r="C43">
        <v>0.53672356708306368</v>
      </c>
      <c r="D43">
        <v>0.4939034277020331</v>
      </c>
      <c r="E43">
        <v>0.55250191756784239</v>
      </c>
      <c r="F43">
        <v>0.56039109281023169</v>
      </c>
      <c r="G43">
        <v>0.57463135285893108</v>
      </c>
      <c r="H43">
        <v>0.58412485955806404</v>
      </c>
      <c r="I43">
        <v>0.59776498446965687</v>
      </c>
      <c r="J43">
        <v>0.60685840107738542</v>
      </c>
      <c r="K43">
        <v>0.6204997411199763</v>
      </c>
      <c r="L43">
        <v>0.62959396781503696</v>
      </c>
      <c r="M43">
        <v>0.64190676048100792</v>
      </c>
      <c r="N43">
        <v>0.6501152889249886</v>
      </c>
      <c r="O43">
        <v>0.66937713729205039</v>
      </c>
    </row>
    <row r="44" spans="1:15" x14ac:dyDescent="0.3">
      <c r="A44" s="10" t="s">
        <v>78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3">
      <c r="A45" s="10" t="s">
        <v>80</v>
      </c>
      <c r="B45" t="s">
        <v>81</v>
      </c>
      <c r="C45">
        <v>0.53672356708306368</v>
      </c>
      <c r="D45">
        <v>0.4939034277020331</v>
      </c>
      <c r="E45">
        <v>0.55250191756784239</v>
      </c>
      <c r="F45">
        <v>0.56039109281023169</v>
      </c>
      <c r="G45">
        <v>0.57463135285893108</v>
      </c>
      <c r="H45">
        <v>0.58412485955806404</v>
      </c>
      <c r="I45">
        <v>0.59776498446965687</v>
      </c>
      <c r="J45">
        <v>0.60685840107738542</v>
      </c>
      <c r="K45">
        <v>0.6204997411199763</v>
      </c>
      <c r="L45">
        <v>0.62959396781503696</v>
      </c>
      <c r="M45">
        <v>0.64190676048100792</v>
      </c>
      <c r="N45">
        <v>0.6501152889249886</v>
      </c>
      <c r="O45">
        <v>0.66937713729205039</v>
      </c>
    </row>
    <row r="46" spans="1:15" x14ac:dyDescent="0.3">
      <c r="A46" s="10" t="s">
        <v>82</v>
      </c>
      <c r="B46" t="s">
        <v>83</v>
      </c>
      <c r="C46">
        <v>688.43890184843247</v>
      </c>
      <c r="D46">
        <v>659.12691141022981</v>
      </c>
      <c r="E46">
        <v>634.61700449572572</v>
      </c>
      <c r="F46">
        <v>610.74182978982662</v>
      </c>
      <c r="G46">
        <v>544.59386522517673</v>
      </c>
      <c r="H46">
        <v>501.24245993224218</v>
      </c>
      <c r="I46">
        <v>480.50420822080952</v>
      </c>
      <c r="J46">
        <v>466.97918356730281</v>
      </c>
      <c r="K46">
        <v>445.95931743570219</v>
      </c>
      <c r="L46">
        <v>431.97664134375401</v>
      </c>
      <c r="M46">
        <v>421.36370564082461</v>
      </c>
      <c r="N46">
        <v>414.24203432358661</v>
      </c>
      <c r="O46">
        <v>403.07266262134459</v>
      </c>
    </row>
    <row r="47" spans="1:15" x14ac:dyDescent="0.3">
      <c r="A47" s="10" t="s">
        <v>84</v>
      </c>
      <c r="B47" t="s">
        <v>85</v>
      </c>
      <c r="C47">
        <v>0.2159051221319328</v>
      </c>
      <c r="D47">
        <v>0.21427762711773229</v>
      </c>
      <c r="E47">
        <v>0.27632174673568699</v>
      </c>
      <c r="F47">
        <v>0.32117033444905518</v>
      </c>
      <c r="G47">
        <v>0.39456856299107479</v>
      </c>
      <c r="H47">
        <v>0.45219345873216699</v>
      </c>
      <c r="I47">
        <v>0.52021304840887839</v>
      </c>
      <c r="J47">
        <v>0.56740767239037537</v>
      </c>
      <c r="K47">
        <v>0.63682208077412161</v>
      </c>
      <c r="L47">
        <v>0.68168120214498051</v>
      </c>
      <c r="M47">
        <v>0.75279999442859091</v>
      </c>
      <c r="N47">
        <v>0.79582487018027759</v>
      </c>
      <c r="O47">
        <v>0.95107127201374819</v>
      </c>
    </row>
    <row r="48" spans="1:15" x14ac:dyDescent="0.3">
      <c r="A48" s="10" t="s">
        <v>86</v>
      </c>
      <c r="B48" t="s">
        <v>87</v>
      </c>
      <c r="C48">
        <v>0.21723907763140701</v>
      </c>
      <c r="D48">
        <v>0.2155707764984425</v>
      </c>
      <c r="E48">
        <v>0.27776270237519901</v>
      </c>
      <c r="F48">
        <v>0.32264982990479729</v>
      </c>
      <c r="G48">
        <v>0.39619247940421598</v>
      </c>
      <c r="H48">
        <v>0.45391982091526822</v>
      </c>
      <c r="I48">
        <v>0.52197135470929146</v>
      </c>
      <c r="J48">
        <v>0.56918309652102728</v>
      </c>
      <c r="K48">
        <v>0.63862639757964679</v>
      </c>
      <c r="L48">
        <v>0.68350584368337142</v>
      </c>
      <c r="M48">
        <v>0.75459883518795434</v>
      </c>
      <c r="N48">
        <v>0.79761051266870653</v>
      </c>
      <c r="O48">
        <v>0.95270295456557563</v>
      </c>
    </row>
    <row r="49" spans="1:15" x14ac:dyDescent="0.3">
      <c r="A49" s="10" t="s">
        <v>88</v>
      </c>
      <c r="B49" t="s">
        <v>89</v>
      </c>
      <c r="C49">
        <v>-6.6454445072049451E-2</v>
      </c>
      <c r="D49">
        <v>-0.16277990279061161</v>
      </c>
      <c r="E49">
        <v>-0.1400818625127791</v>
      </c>
      <c r="F49">
        <v>-0.15154682228355459</v>
      </c>
      <c r="G49">
        <v>-0.20102341313977601</v>
      </c>
      <c r="H49">
        <v>-0.2333492515066368</v>
      </c>
      <c r="I49">
        <v>-0.26886315716716691</v>
      </c>
      <c r="J49">
        <v>-0.29233942833786553</v>
      </c>
      <c r="K49">
        <v>-0.3251684372270941</v>
      </c>
      <c r="L49">
        <v>-0.34732390047234551</v>
      </c>
      <c r="M49">
        <v>-0.37184113053739332</v>
      </c>
      <c r="N49">
        <v>-0.3885563887045923</v>
      </c>
      <c r="O49">
        <v>-0.42495260946089258</v>
      </c>
    </row>
    <row r="50" spans="1:15" x14ac:dyDescent="0.3">
      <c r="A50" s="10" t="s">
        <v>90</v>
      </c>
      <c r="B50" t="s">
        <v>91</v>
      </c>
      <c r="C50">
        <v>-1.428603606433365E-2</v>
      </c>
      <c r="D50">
        <v>-0.1334313158619137</v>
      </c>
      <c r="E50">
        <v>-0.10080141493756579</v>
      </c>
      <c r="F50">
        <v>-0.1070352797933504</v>
      </c>
      <c r="G50">
        <v>-0.16088379924933149</v>
      </c>
      <c r="H50">
        <v>-0.19616259177747361</v>
      </c>
      <c r="I50">
        <v>-0.23627550107243661</v>
      </c>
      <c r="J50">
        <v>-0.26288078314336921</v>
      </c>
      <c r="K50">
        <v>-0.30025080930040521</v>
      </c>
      <c r="L50">
        <v>-0.32547806146300262</v>
      </c>
      <c r="M50">
        <v>-0.35450029768555291</v>
      </c>
      <c r="N50">
        <v>-0.3742599291724692</v>
      </c>
      <c r="O50">
        <v>-0.41638259185297571</v>
      </c>
    </row>
    <row r="51" spans="1:15" x14ac:dyDescent="0.3">
      <c r="A51" s="10" t="s">
        <v>92</v>
      </c>
      <c r="B51" t="s">
        <v>93</v>
      </c>
      <c r="C51">
        <v>-0.21116621192548929</v>
      </c>
      <c r="D51">
        <v>-0.51398522967352211</v>
      </c>
      <c r="E51">
        <v>-0.40858419391164169</v>
      </c>
      <c r="F51">
        <v>-0.36356367256499972</v>
      </c>
      <c r="G51">
        <v>-0.43095949663843158</v>
      </c>
      <c r="H51">
        <v>-0.47588487210212471</v>
      </c>
      <c r="I51">
        <v>-0.53682171006359747</v>
      </c>
      <c r="J51">
        <v>-0.57795464295269972</v>
      </c>
      <c r="K51">
        <v>-0.64076262920503702</v>
      </c>
      <c r="L51">
        <v>-0.68312949494151054</v>
      </c>
      <c r="M51">
        <v>-0.74768400241559485</v>
      </c>
      <c r="N51">
        <v>-0.7912068191948507</v>
      </c>
      <c r="O51">
        <v>-0.90175604951838506</v>
      </c>
    </row>
    <row r="52" spans="1:15" x14ac:dyDescent="0.3">
      <c r="A52" s="10" t="s">
        <v>94</v>
      </c>
      <c r="B52" t="s">
        <v>95</v>
      </c>
      <c r="C52">
        <v>1.7684704499054679E-2</v>
      </c>
      <c r="D52">
        <v>-5.3629266238061968E-2</v>
      </c>
      <c r="E52">
        <v>-0.10524284311192091</v>
      </c>
      <c r="F52">
        <v>-0.1623711310389081</v>
      </c>
      <c r="G52">
        <v>-0.27913657405589343</v>
      </c>
      <c r="H52">
        <v>-0.35523375774387062</v>
      </c>
      <c r="I52">
        <v>-0.45604642960427211</v>
      </c>
      <c r="J52">
        <v>-0.52136747798015659</v>
      </c>
      <c r="K52">
        <v>-0.62563939053018358</v>
      </c>
      <c r="L52">
        <v>-0.68912854667963974</v>
      </c>
      <c r="M52">
        <v>-0.76828095603692537</v>
      </c>
      <c r="N52">
        <v>-0.81566735639687227</v>
      </c>
      <c r="O52">
        <v>-1</v>
      </c>
    </row>
    <row r="53" spans="1:15" x14ac:dyDescent="0.3">
      <c r="A53" s="10" t="s">
        <v>96</v>
      </c>
      <c r="B53" t="s">
        <v>97</v>
      </c>
      <c r="C53">
        <v>-7.6204660933696045E-2</v>
      </c>
      <c r="D53">
        <v>-0.20732432597287179</v>
      </c>
      <c r="E53">
        <v>0.35235085456837911</v>
      </c>
      <c r="F53">
        <v>0.45807909024752907</v>
      </c>
      <c r="G53">
        <v>0.48051153018861198</v>
      </c>
      <c r="H53">
        <v>0.49650343574435851</v>
      </c>
      <c r="I53">
        <v>0.61655931250172857</v>
      </c>
      <c r="J53">
        <v>0.69023873924730572</v>
      </c>
      <c r="K53">
        <v>0.79258835773903757</v>
      </c>
      <c r="L53">
        <v>0.83113651147831291</v>
      </c>
      <c r="M53">
        <v>0.87578590107919196</v>
      </c>
      <c r="N53">
        <v>0.87510368514755821</v>
      </c>
      <c r="O53">
        <v>1.0559357420979569</v>
      </c>
    </row>
    <row r="54" spans="1:15" x14ac:dyDescent="0.3">
      <c r="A54" s="10" t="s">
        <v>98</v>
      </c>
      <c r="B54" t="s">
        <v>99</v>
      </c>
      <c r="C54">
        <v>134.54763946217579</v>
      </c>
      <c r="D54">
        <v>115.4217033942015</v>
      </c>
      <c r="E54">
        <v>196.83608203165309</v>
      </c>
      <c r="F54">
        <v>212.19388428663609</v>
      </c>
      <c r="G54">
        <v>215.3565390900057</v>
      </c>
      <c r="H54">
        <v>217.6085401966638</v>
      </c>
      <c r="I54">
        <v>229.30948748463729</v>
      </c>
      <c r="J54">
        <v>236.44466650718519</v>
      </c>
      <c r="K54">
        <v>246.3394076656964</v>
      </c>
      <c r="L54">
        <v>248.870011749138</v>
      </c>
      <c r="M54">
        <v>251.12669435399431</v>
      </c>
      <c r="N54">
        <v>248.45356798938809</v>
      </c>
      <c r="O54">
        <v>269.2521593184041</v>
      </c>
    </row>
    <row r="55" spans="1:15" x14ac:dyDescent="0.3">
      <c r="A55" s="10" t="s">
        <v>100</v>
      </c>
      <c r="B55" t="s">
        <v>101</v>
      </c>
      <c r="C55">
        <v>-2.8493057263943359E-2</v>
      </c>
      <c r="D55">
        <v>-0.13849347222414429</v>
      </c>
      <c r="E55">
        <v>-0.1003252564134922</v>
      </c>
      <c r="F55">
        <v>-0.11187941220132271</v>
      </c>
      <c r="G55">
        <v>-0.12921064588306841</v>
      </c>
      <c r="H55">
        <v>-0.1407648016708988</v>
      </c>
      <c r="I55">
        <v>-0.1769213409035062</v>
      </c>
      <c r="J55">
        <v>-0.20102570039191109</v>
      </c>
      <c r="K55">
        <v>-0.2371822396245187</v>
      </c>
      <c r="L55">
        <v>-0.26128659911292351</v>
      </c>
      <c r="M55">
        <v>-0.29853879104954939</v>
      </c>
      <c r="N55">
        <v>-0.32337358567396662</v>
      </c>
      <c r="O55">
        <v>-0.38546057223500951</v>
      </c>
    </row>
    <row r="56" spans="1:15" x14ac:dyDescent="0.3">
      <c r="A56" s="10" t="s">
        <v>102</v>
      </c>
      <c r="B56" t="s">
        <v>103</v>
      </c>
      <c r="C56">
        <v>0.57102601788773</v>
      </c>
      <c r="D56">
        <v>0.67343000940859898</v>
      </c>
      <c r="E56">
        <v>0.91622050859186088</v>
      </c>
      <c r="F56">
        <v>1.1483218491405049</v>
      </c>
      <c r="G56">
        <v>1.474079557363885</v>
      </c>
      <c r="H56">
        <v>1.695403951417201</v>
      </c>
      <c r="I56">
        <v>2.0820365303763331</v>
      </c>
      <c r="J56">
        <v>2.342724837836486</v>
      </c>
      <c r="K56">
        <v>2.7210468991307528</v>
      </c>
      <c r="L56">
        <v>2.9744031443500978</v>
      </c>
      <c r="M56">
        <v>3.407301851910578</v>
      </c>
      <c r="N56">
        <v>3.6961139145247111</v>
      </c>
      <c r="O56">
        <v>4.3856751959503697</v>
      </c>
    </row>
    <row r="57" spans="1:15" x14ac:dyDescent="0.3">
      <c r="A57" s="10" t="s">
        <v>104</v>
      </c>
      <c r="B57" t="s">
        <v>105</v>
      </c>
      <c r="C57">
        <v>0.20335085737421379</v>
      </c>
      <c r="D57">
        <v>0.17309604467126841</v>
      </c>
      <c r="E57">
        <v>0.5959006097741697</v>
      </c>
      <c r="F57">
        <v>0.75621262831154623</v>
      </c>
      <c r="G57">
        <v>0.90965902566415457</v>
      </c>
      <c r="H57">
        <v>1.0143392955476189</v>
      </c>
      <c r="I57">
        <v>1.2495364821831449</v>
      </c>
      <c r="J57">
        <v>1.4039898374321469</v>
      </c>
      <c r="K57">
        <v>1.625539026974572</v>
      </c>
      <c r="L57">
        <v>1.7568683008235939</v>
      </c>
      <c r="M57">
        <v>1.9692125214428819</v>
      </c>
      <c r="N57">
        <v>2.0935703039757909</v>
      </c>
      <c r="O57">
        <v>2.4941355513947459</v>
      </c>
    </row>
    <row r="58" spans="1:15" x14ac:dyDescent="0.3">
      <c r="A58" s="10" t="s">
        <v>106</v>
      </c>
      <c r="B58" t="s">
        <v>107</v>
      </c>
      <c r="C58">
        <v>-9.5815947704178006E-2</v>
      </c>
      <c r="D58">
        <v>-0.20203069545609451</v>
      </c>
      <c r="E58">
        <v>-0.25619497283903298</v>
      </c>
      <c r="F58">
        <v>-0.2950595666517366</v>
      </c>
      <c r="G58">
        <v>-0.40933643533331521</v>
      </c>
      <c r="H58">
        <v>-0.48480852641291439</v>
      </c>
      <c r="I58">
        <v>-0.57937899012178429</v>
      </c>
      <c r="J58">
        <v>-0.64172694744098813</v>
      </c>
      <c r="K58">
        <v>-0.72549858385198873</v>
      </c>
      <c r="L58">
        <v>-0.77913016229374543</v>
      </c>
      <c r="M58">
        <v>-0.83181271262976564</v>
      </c>
      <c r="N58">
        <v>-0.86466145484688983</v>
      </c>
      <c r="O58">
        <v>-0.94253439759088387</v>
      </c>
    </row>
    <row r="59" spans="1:15" x14ac:dyDescent="0.3">
      <c r="A59" s="10" t="s">
        <v>108</v>
      </c>
      <c r="B59" t="s">
        <v>109</v>
      </c>
      <c r="C59">
        <v>0.45370425017592969</v>
      </c>
      <c r="D59">
        <v>0.46032798666704838</v>
      </c>
      <c r="E59">
        <v>0.47168889837629879</v>
      </c>
      <c r="F59">
        <v>0.47696558672584749</v>
      </c>
      <c r="G59">
        <v>0.50772063875142304</v>
      </c>
      <c r="H59">
        <v>0.53011276386866979</v>
      </c>
      <c r="I59">
        <v>0.55661248177489797</v>
      </c>
      <c r="J59">
        <v>0.57568629931382687</v>
      </c>
      <c r="K59">
        <v>0.60245226701315546</v>
      </c>
      <c r="L59">
        <v>0.62215516639920798</v>
      </c>
      <c r="M59">
        <v>0.6387426882111813</v>
      </c>
      <c r="N59">
        <v>0.65095621202987053</v>
      </c>
      <c r="O59">
        <v>0.67048832578677264</v>
      </c>
    </row>
    <row r="60" spans="1:15" x14ac:dyDescent="0.3">
      <c r="A60" s="10" t="s">
        <v>110</v>
      </c>
      <c r="B60" t="s">
        <v>111</v>
      </c>
      <c r="C60">
        <v>0.47162535826927948</v>
      </c>
      <c r="D60">
        <v>0.46411153393242871</v>
      </c>
      <c r="E60">
        <v>0.42118977622407278</v>
      </c>
      <c r="F60">
        <v>0.4045762282605142</v>
      </c>
      <c r="G60">
        <v>0.35998296505048949</v>
      </c>
      <c r="H60">
        <v>0.3272253369050368</v>
      </c>
      <c r="I60">
        <v>0.28013547766958857</v>
      </c>
      <c r="J60">
        <v>0.246527269629814</v>
      </c>
      <c r="K60">
        <v>0.19807288308739901</v>
      </c>
      <c r="L60">
        <v>0.16478380363855991</v>
      </c>
      <c r="M60">
        <v>0.13037655174765739</v>
      </c>
      <c r="N60">
        <v>0.10778067837579949</v>
      </c>
      <c r="O60">
        <v>4.8660901155596799E-2</v>
      </c>
    </row>
    <row r="61" spans="1:15" x14ac:dyDescent="0.3">
      <c r="A61" s="10" t="s">
        <v>112</v>
      </c>
      <c r="B61" t="s">
        <v>113</v>
      </c>
      <c r="C61">
        <v>-4.9961570336471077E-2</v>
      </c>
      <c r="D61">
        <v>-0.1231379415757077</v>
      </c>
      <c r="E61">
        <v>-0.1274665453415533</v>
      </c>
      <c r="F61">
        <v>-0.13569582695080859</v>
      </c>
      <c r="G61">
        <v>-0.19922106686072041</v>
      </c>
      <c r="H61">
        <v>-0.24166816155413859</v>
      </c>
      <c r="I61">
        <v>-0.2784424595433358</v>
      </c>
      <c r="J61">
        <v>-0.30293918409287912</v>
      </c>
      <c r="K61">
        <v>-0.33921058957368422</v>
      </c>
      <c r="L61">
        <v>-0.36350915373825882</v>
      </c>
      <c r="M61">
        <v>-0.38664451383165338</v>
      </c>
      <c r="N61">
        <v>-0.40220109877015958</v>
      </c>
      <c r="O61">
        <v>-0.42307116200150963</v>
      </c>
    </row>
    <row r="62" spans="1:15" x14ac:dyDescent="0.3">
      <c r="A62" s="10" t="s">
        <v>114</v>
      </c>
      <c r="B62" t="s">
        <v>115</v>
      </c>
      <c r="C62">
        <v>2.976323129857383E-2</v>
      </c>
      <c r="D62">
        <v>-8.1847299315795596E-2</v>
      </c>
      <c r="E62">
        <v>-7.0206049666886483E-2</v>
      </c>
      <c r="F62">
        <v>-6.8594800739459671E-2</v>
      </c>
      <c r="G62">
        <v>-0.1399604913904888</v>
      </c>
      <c r="H62">
        <v>-0.18775605285256089</v>
      </c>
      <c r="I62">
        <v>-0.23232484600668629</v>
      </c>
      <c r="J62">
        <v>-0.26214512622945879</v>
      </c>
      <c r="K62">
        <v>-0.30626972911024369</v>
      </c>
      <c r="L62">
        <v>-0.33587143947265868</v>
      </c>
      <c r="M62">
        <v>-0.36667385195694258</v>
      </c>
      <c r="N62">
        <v>-0.38739696782778449</v>
      </c>
      <c r="O62">
        <v>-0.41717793345349402</v>
      </c>
    </row>
    <row r="63" spans="1:15" x14ac:dyDescent="0.3">
      <c r="A63" s="10" t="s">
        <v>116</v>
      </c>
      <c r="B63" t="s">
        <v>117</v>
      </c>
      <c r="C63">
        <v>132.7615363268238</v>
      </c>
      <c r="D63">
        <v>122.0735818283423</v>
      </c>
      <c r="E63">
        <v>146.54238559922831</v>
      </c>
      <c r="F63">
        <v>158.1319300497882</v>
      </c>
      <c r="G63">
        <v>162.32696275373371</v>
      </c>
      <c r="H63">
        <v>164.13690103100521</v>
      </c>
      <c r="I63">
        <v>182.33919224299211</v>
      </c>
      <c r="J63">
        <v>193.6606828943716</v>
      </c>
      <c r="K63">
        <v>203.38776225601009</v>
      </c>
      <c r="L63">
        <v>207.65747944311721</v>
      </c>
      <c r="M63">
        <v>207.14365870212799</v>
      </c>
      <c r="N63">
        <v>204.27490799393911</v>
      </c>
      <c r="O63">
        <v>234.95483905625471</v>
      </c>
    </row>
    <row r="64" spans="1:15" x14ac:dyDescent="0.3">
      <c r="A64" s="10" t="s">
        <v>118</v>
      </c>
      <c r="B64" t="s">
        <v>155</v>
      </c>
      <c r="C64">
        <v>8.4301055780565598E-2</v>
      </c>
      <c r="D64">
        <v>8.398318218683623E-2</v>
      </c>
      <c r="E64">
        <v>0.1013171785061877</v>
      </c>
      <c r="F64">
        <v>0.1103709750376123</v>
      </c>
      <c r="G64">
        <v>0.1222869014936383</v>
      </c>
      <c r="H64">
        <v>0.13057163934371299</v>
      </c>
      <c r="I64">
        <v>0.15244422418298459</v>
      </c>
      <c r="J64">
        <v>0.1675994951377735</v>
      </c>
      <c r="K64">
        <v>0.18567937301878071</v>
      </c>
      <c r="L64">
        <v>0.1968146097589995</v>
      </c>
      <c r="M64">
        <v>0.2037329651473507</v>
      </c>
      <c r="N64">
        <v>0.20613978963589</v>
      </c>
      <c r="O64">
        <v>0.24567675299470129</v>
      </c>
    </row>
    <row r="65" spans="1:15" x14ac:dyDescent="0.3">
      <c r="A65" s="10" t="s">
        <v>119</v>
      </c>
      <c r="B65" t="s">
        <v>120</v>
      </c>
      <c r="C65">
        <v>0</v>
      </c>
      <c r="D65">
        <v>1E-3</v>
      </c>
      <c r="E65">
        <v>3.04E-2</v>
      </c>
      <c r="F65">
        <v>0.05</v>
      </c>
      <c r="G65">
        <v>8.0000000000000016E-2</v>
      </c>
      <c r="H65">
        <v>0.1</v>
      </c>
      <c r="I65">
        <v>0.13</v>
      </c>
      <c r="J65">
        <v>0.15</v>
      </c>
      <c r="K65">
        <v>0.24</v>
      </c>
      <c r="L65">
        <v>0.3</v>
      </c>
      <c r="M65">
        <v>0.42</v>
      </c>
      <c r="N65">
        <v>0.5</v>
      </c>
      <c r="O65">
        <v>1</v>
      </c>
    </row>
    <row r="66" spans="1:15" x14ac:dyDescent="0.3">
      <c r="A66" s="10" t="s">
        <v>121</v>
      </c>
      <c r="B66" t="s">
        <v>156</v>
      </c>
      <c r="C66">
        <v>0.2104158751700238</v>
      </c>
      <c r="D66">
        <v>0.21374857147480511</v>
      </c>
      <c r="E66">
        <v>0.20560189553951369</v>
      </c>
      <c r="F66">
        <v>0.19738956838979499</v>
      </c>
      <c r="G66">
        <v>0.18569261212529439</v>
      </c>
      <c r="H66">
        <v>0.17699110438250579</v>
      </c>
      <c r="I66">
        <v>0.16350129602155991</v>
      </c>
      <c r="J66">
        <v>0.15372704865072989</v>
      </c>
      <c r="K66">
        <v>0.14658762165261921</v>
      </c>
      <c r="L66">
        <v>0.1413765279250748</v>
      </c>
      <c r="M66">
        <v>0.13414984256921789</v>
      </c>
      <c r="N66">
        <v>0.12908030024829159</v>
      </c>
      <c r="O66">
        <v>0.11387728476027539</v>
      </c>
    </row>
    <row r="67" spans="1:15" x14ac:dyDescent="0.3">
      <c r="A67" s="10" t="s">
        <v>122</v>
      </c>
      <c r="B67" t="s">
        <v>123</v>
      </c>
      <c r="C67">
        <v>3.51634270804269E-3</v>
      </c>
      <c r="D67">
        <v>0.31298245076431641</v>
      </c>
      <c r="E67">
        <v>1.2634221763335081</v>
      </c>
      <c r="F67">
        <v>2.2027298269763378</v>
      </c>
      <c r="G67">
        <v>3.8882900958743298</v>
      </c>
      <c r="H67">
        <v>4.1530501341653254</v>
      </c>
      <c r="I67">
        <v>6.4526167879954448</v>
      </c>
      <c r="J67">
        <v>7.3936451450443901</v>
      </c>
      <c r="K67">
        <v>8.2142301791745922</v>
      </c>
      <c r="L67">
        <v>8.1363504680545766</v>
      </c>
      <c r="M67">
        <v>6.5285476759995236</v>
      </c>
      <c r="N67">
        <v>5.0474032587408484</v>
      </c>
      <c r="O67">
        <v>0</v>
      </c>
    </row>
    <row r="68" spans="1:15" x14ac:dyDescent="0.3">
      <c r="A68" s="10" t="s">
        <v>124</v>
      </c>
      <c r="B68" t="s">
        <v>125</v>
      </c>
      <c r="C68">
        <v>8.7838891073623165E-3</v>
      </c>
      <c r="D68">
        <v>1.8176929806375669E-2</v>
      </c>
      <c r="E68">
        <v>9.6277728381132965E-2</v>
      </c>
      <c r="F68">
        <v>0.14911122082787309</v>
      </c>
      <c r="G68">
        <v>0.2275370164118212</v>
      </c>
      <c r="H68">
        <v>0.27883852485778282</v>
      </c>
      <c r="I68">
        <v>0.33356656997365491</v>
      </c>
      <c r="J68">
        <v>0.37001424399633692</v>
      </c>
      <c r="K68">
        <v>0.44008235563739978</v>
      </c>
      <c r="L68">
        <v>0.482036907939564</v>
      </c>
      <c r="M68">
        <v>0.54565073344503545</v>
      </c>
      <c r="N68">
        <v>0.58134725577594726</v>
      </c>
      <c r="O68">
        <v>0.64580380356464473</v>
      </c>
    </row>
    <row r="69" spans="1:15" x14ac:dyDescent="0.3">
      <c r="A69" s="10" t="s">
        <v>126</v>
      </c>
      <c r="B69" t="s">
        <v>127</v>
      </c>
      <c r="C69">
        <v>0</v>
      </c>
      <c r="D69">
        <v>0</v>
      </c>
      <c r="E69">
        <v>2.957242747415691E-2</v>
      </c>
      <c r="F69">
        <v>0.1795881803948382</v>
      </c>
      <c r="G69">
        <v>0.89461676333912876</v>
      </c>
      <c r="H69">
        <v>1.599197793549928</v>
      </c>
      <c r="I69">
        <v>2.3927143252348611</v>
      </c>
      <c r="J69">
        <v>3.00739067299609</v>
      </c>
      <c r="K69">
        <v>4.537065144463746</v>
      </c>
      <c r="L69">
        <v>5.6696741781643789</v>
      </c>
      <c r="M69">
        <v>7.3335524933419984</v>
      </c>
      <c r="N69">
        <v>8.4627073754755546</v>
      </c>
      <c r="O69">
        <v>10.632567144784259</v>
      </c>
    </row>
    <row r="70" spans="1:15" x14ac:dyDescent="0.3">
      <c r="A70" s="10" t="s">
        <v>128</v>
      </c>
      <c r="B70" t="s">
        <v>129</v>
      </c>
      <c r="C70">
        <v>3.1769927109895062E-2</v>
      </c>
      <c r="D70">
        <v>5.4429128431597321E-2</v>
      </c>
      <c r="E70">
        <v>0.24958574542839401</v>
      </c>
      <c r="F70">
        <v>0.37241707094503163</v>
      </c>
      <c r="G70">
        <v>0.54607801078376705</v>
      </c>
      <c r="H70">
        <v>0.65481315946349261</v>
      </c>
      <c r="I70">
        <v>0.71794944656324899</v>
      </c>
      <c r="J70">
        <v>0.75848306345405636</v>
      </c>
      <c r="K70">
        <v>0.83258492144859841</v>
      </c>
      <c r="L70">
        <v>0.87592388266877241</v>
      </c>
      <c r="M70">
        <v>0.93416731960382093</v>
      </c>
      <c r="N70">
        <v>0.96524612919065345</v>
      </c>
      <c r="O70">
        <v>1.014953254490403</v>
      </c>
    </row>
    <row r="71" spans="1:15" x14ac:dyDescent="0.3">
      <c r="A71" s="10" t="s">
        <v>130</v>
      </c>
      <c r="B71" t="s">
        <v>131</v>
      </c>
      <c r="C71">
        <v>0</v>
      </c>
      <c r="D71">
        <v>0</v>
      </c>
      <c r="E71">
        <v>7.6662136502079745E-2</v>
      </c>
      <c r="F71">
        <v>0.4485356886467895</v>
      </c>
      <c r="G71">
        <v>2.1470376567382252</v>
      </c>
      <c r="H71">
        <v>3.7554916786895558</v>
      </c>
      <c r="I71">
        <v>5.1499403124299974</v>
      </c>
      <c r="J71">
        <v>6.1647758908433072</v>
      </c>
      <c r="K71">
        <v>8.5836025428452718</v>
      </c>
      <c r="L71">
        <v>10.30253687592583</v>
      </c>
      <c r="M71">
        <v>12.55522013619597</v>
      </c>
      <c r="N71">
        <v>14.051146634807839</v>
      </c>
      <c r="O71">
        <v>16.71027418485356</v>
      </c>
    </row>
    <row r="72" spans="1:15" x14ac:dyDescent="0.3">
      <c r="A72" s="10" t="s">
        <v>132</v>
      </c>
      <c r="B72" t="s">
        <v>133</v>
      </c>
      <c r="C72">
        <v>7.9366182879620301E-2</v>
      </c>
      <c r="D72">
        <v>8.7436082013137906E-2</v>
      </c>
      <c r="E72">
        <v>9.8654462611902777E-2</v>
      </c>
      <c r="F72">
        <v>0.1068705785451487</v>
      </c>
      <c r="G72">
        <v>0.12918803717300761</v>
      </c>
      <c r="H72">
        <v>0.1485317273920084</v>
      </c>
      <c r="I72">
        <v>0.22570042239854859</v>
      </c>
      <c r="J72">
        <v>0.29286749444738203</v>
      </c>
      <c r="K72">
        <v>0.39518105069247778</v>
      </c>
      <c r="L72">
        <v>0.4859303513707221</v>
      </c>
      <c r="M72">
        <v>0.54784937809308265</v>
      </c>
      <c r="N72">
        <v>0.60232769846026857</v>
      </c>
      <c r="O72">
        <v>0.73147306187670014</v>
      </c>
    </row>
    <row r="73" spans="1:15" x14ac:dyDescent="0.3">
      <c r="A73" s="10" t="s">
        <v>134</v>
      </c>
      <c r="B73" t="s">
        <v>135</v>
      </c>
      <c r="C73">
        <v>0.55112084064066902</v>
      </c>
      <c r="D73">
        <v>0.55690033942522599</v>
      </c>
      <c r="E73">
        <v>0.60518483214330809</v>
      </c>
      <c r="F73">
        <v>0.62425767082939632</v>
      </c>
      <c r="G73">
        <v>0.67102830062875185</v>
      </c>
      <c r="H73">
        <v>0.70522808375003998</v>
      </c>
      <c r="I73">
        <v>0.74865477285383775</v>
      </c>
      <c r="J73">
        <v>0.77951965573444271</v>
      </c>
      <c r="K73">
        <v>0.8244794395156535</v>
      </c>
      <c r="L73">
        <v>0.85514467183411569</v>
      </c>
      <c r="M73">
        <v>0.89466042387008338</v>
      </c>
      <c r="N73">
        <v>0.920885034546435</v>
      </c>
      <c r="O73">
        <v>1.0066619934891159</v>
      </c>
    </row>
    <row r="74" spans="1:15" x14ac:dyDescent="0.3">
      <c r="A74" s="10" t="s">
        <v>136</v>
      </c>
      <c r="B74" t="s">
        <v>137</v>
      </c>
      <c r="C74">
        <v>0.17121671149551321</v>
      </c>
      <c r="D74">
        <v>0.1885941265650069</v>
      </c>
      <c r="E74">
        <v>0.21553115174837331</v>
      </c>
      <c r="F74">
        <v>0.2383920379842086</v>
      </c>
      <c r="G74">
        <v>0.28199018440360329</v>
      </c>
      <c r="H74">
        <v>0.31520103008573758</v>
      </c>
      <c r="I74">
        <v>0.37612190755031938</v>
      </c>
      <c r="J74">
        <v>0.41979734747028641</v>
      </c>
      <c r="K74">
        <v>0.48244133070921191</v>
      </c>
      <c r="L74">
        <v>0.52527740800046763</v>
      </c>
      <c r="M74">
        <v>0.57761149224096087</v>
      </c>
      <c r="N74">
        <v>0.61151928980734738</v>
      </c>
      <c r="O74">
        <v>0.71115834313296156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O74"/>
  <sheetViews>
    <sheetView workbookViewId="0">
      <selection activeCell="C2" sqref="C2:O77"/>
    </sheetView>
  </sheetViews>
  <sheetFormatPr baseColWidth="10" defaultColWidth="8.88671875" defaultRowHeight="14.4" x14ac:dyDescent="0.3"/>
  <sheetData>
    <row r="1" spans="1:15" x14ac:dyDescent="0.3">
      <c r="A1" s="10" t="s">
        <v>0</v>
      </c>
      <c r="B1" s="10" t="s">
        <v>1</v>
      </c>
      <c r="C1" s="1">
        <v>2019</v>
      </c>
      <c r="D1" s="1">
        <v>2020</v>
      </c>
      <c r="E1" s="1">
        <v>2023</v>
      </c>
      <c r="F1" s="1">
        <v>2025</v>
      </c>
      <c r="G1" s="1">
        <v>2028</v>
      </c>
      <c r="H1" s="1">
        <v>2030</v>
      </c>
      <c r="I1" s="1">
        <v>2033</v>
      </c>
      <c r="J1" s="1">
        <v>2035</v>
      </c>
      <c r="K1" s="1">
        <v>2038</v>
      </c>
      <c r="L1" s="1">
        <v>2040</v>
      </c>
      <c r="M1" s="1">
        <v>2043</v>
      </c>
      <c r="N1" s="1">
        <v>2045</v>
      </c>
      <c r="O1" s="1">
        <v>2050</v>
      </c>
    </row>
    <row r="2" spans="1:15" x14ac:dyDescent="0.3">
      <c r="A2" s="10" t="s">
        <v>2</v>
      </c>
      <c r="B2" t="s">
        <v>3</v>
      </c>
      <c r="C2">
        <v>110.73989180324401</v>
      </c>
      <c r="D2">
        <v>110.73989180324401</v>
      </c>
      <c r="E2">
        <v>110.73989180324401</v>
      </c>
      <c r="F2">
        <v>110.73989180324401</v>
      </c>
      <c r="G2">
        <v>110.73989180324401</v>
      </c>
      <c r="H2">
        <v>110.73989180324401</v>
      </c>
      <c r="I2">
        <v>110.73989180324401</v>
      </c>
      <c r="J2">
        <v>110.73989180324401</v>
      </c>
      <c r="K2">
        <v>110.73989180324401</v>
      </c>
      <c r="L2">
        <v>110.73989180324401</v>
      </c>
      <c r="M2">
        <v>110.73989180324401</v>
      </c>
      <c r="N2">
        <v>110.73989180324401</v>
      </c>
      <c r="O2">
        <v>110.73989180324401</v>
      </c>
    </row>
    <row r="3" spans="1:15" x14ac:dyDescent="0.3">
      <c r="A3" s="10" t="s">
        <v>4</v>
      </c>
      <c r="B3" t="s">
        <v>5</v>
      </c>
      <c r="C3">
        <v>-0.2127547394145215</v>
      </c>
      <c r="D3">
        <v>-0.32109812473342619</v>
      </c>
      <c r="E3">
        <v>-0.29598465703047738</v>
      </c>
      <c r="F3">
        <v>-0.30578474986236148</v>
      </c>
      <c r="G3">
        <v>-0.35588899834026799</v>
      </c>
      <c r="H3">
        <v>-0.3893007756075515</v>
      </c>
      <c r="I3">
        <v>-0.42573226668667358</v>
      </c>
      <c r="J3">
        <v>-0.45012777587163932</v>
      </c>
      <c r="K3">
        <v>-0.47846461010010127</v>
      </c>
      <c r="L3">
        <v>-0.49740757086739212</v>
      </c>
      <c r="M3">
        <v>-0.51841530194934782</v>
      </c>
      <c r="N3">
        <v>-0.53239932037074889</v>
      </c>
      <c r="O3">
        <v>-0.53892218953226767</v>
      </c>
    </row>
    <row r="4" spans="1:15" x14ac:dyDescent="0.3">
      <c r="A4" s="10" t="s">
        <v>6</v>
      </c>
      <c r="B4" t="s">
        <v>7</v>
      </c>
      <c r="C4">
        <v>-0.22132949761227891</v>
      </c>
      <c r="D4">
        <v>-0.30348107872859009</v>
      </c>
      <c r="E4">
        <v>-0.32153747611625422</v>
      </c>
      <c r="F4">
        <v>-0.33432273193202477</v>
      </c>
      <c r="G4">
        <v>-0.37241150753112379</v>
      </c>
      <c r="H4">
        <v>-0.3982779972829561</v>
      </c>
      <c r="I4">
        <v>-0.42703194363486258</v>
      </c>
      <c r="J4">
        <v>-0.44639192609218847</v>
      </c>
      <c r="K4">
        <v>-0.46949665093016368</v>
      </c>
      <c r="L4">
        <v>-0.48489436390335622</v>
      </c>
      <c r="M4">
        <v>-0.50206864609225765</v>
      </c>
      <c r="N4">
        <v>-0.51309703966966735</v>
      </c>
      <c r="O4">
        <v>-0.5184752728184282</v>
      </c>
    </row>
    <row r="5" spans="1:15" x14ac:dyDescent="0.3">
      <c r="A5" s="10" t="s">
        <v>8</v>
      </c>
      <c r="B5" t="s">
        <v>9</v>
      </c>
      <c r="C5">
        <v>-0.25049727043961689</v>
      </c>
      <c r="D5">
        <v>-0.33510557386789519</v>
      </c>
      <c r="E5">
        <v>-0.35242096660924999</v>
      </c>
      <c r="F5">
        <v>-0.36472265639550611</v>
      </c>
      <c r="G5">
        <v>-0.40185981737418092</v>
      </c>
      <c r="H5">
        <v>-0.42718944466023501</v>
      </c>
      <c r="I5">
        <v>-0.45287071765187709</v>
      </c>
      <c r="J5">
        <v>-0.47028024770672622</v>
      </c>
      <c r="K5">
        <v>-0.49268049697564797</v>
      </c>
      <c r="L5">
        <v>-0.50768377727013614</v>
      </c>
      <c r="M5">
        <v>-0.52432686236565518</v>
      </c>
      <c r="N5">
        <v>-0.53498655535896278</v>
      </c>
      <c r="O5">
        <v>-0.53923223139883247</v>
      </c>
    </row>
    <row r="6" spans="1:15" x14ac:dyDescent="0.3">
      <c r="A6" s="10" t="s">
        <v>10</v>
      </c>
      <c r="B6" t="s">
        <v>11</v>
      </c>
      <c r="C6">
        <v>-0.25049727043961689</v>
      </c>
      <c r="D6">
        <v>-0.33510557386789519</v>
      </c>
      <c r="E6">
        <v>-0.35242096660924999</v>
      </c>
      <c r="F6">
        <v>-0.36472265639550611</v>
      </c>
      <c r="G6">
        <v>-0.40185981737418092</v>
      </c>
      <c r="H6">
        <v>-0.42718944466023501</v>
      </c>
      <c r="I6">
        <v>-0.45287071765187709</v>
      </c>
      <c r="J6">
        <v>-0.47028024770672622</v>
      </c>
      <c r="K6">
        <v>-0.49268049697564797</v>
      </c>
      <c r="L6">
        <v>-0.50768377727013614</v>
      </c>
      <c r="M6">
        <v>-0.52432686236565518</v>
      </c>
      <c r="N6">
        <v>-0.53498655535896278</v>
      </c>
      <c r="O6">
        <v>-0.53923223139883247</v>
      </c>
    </row>
    <row r="7" spans="1:15" x14ac:dyDescent="0.3">
      <c r="A7" s="10" t="s">
        <v>12</v>
      </c>
      <c r="B7" t="s">
        <v>13</v>
      </c>
      <c r="C7">
        <v>-0.19884967189081021</v>
      </c>
      <c r="D7">
        <v>-0.29823668462693598</v>
      </c>
      <c r="E7">
        <v>-0.30384906168640652</v>
      </c>
      <c r="F7">
        <v>-0.30831265541241898</v>
      </c>
      <c r="G7">
        <v>-0.34519953197080222</v>
      </c>
      <c r="H7">
        <v>-0.37025040562333728</v>
      </c>
      <c r="I7">
        <v>-0.39737336072343338</v>
      </c>
      <c r="J7">
        <v>-0.41564024847617481</v>
      </c>
      <c r="K7">
        <v>-0.43717447763843081</v>
      </c>
      <c r="L7">
        <v>-0.45152534624349461</v>
      </c>
      <c r="M7">
        <v>-0.46726946767032329</v>
      </c>
      <c r="N7">
        <v>-0.47735712585423579</v>
      </c>
      <c r="O7">
        <v>-0.48183948104990498</v>
      </c>
    </row>
    <row r="8" spans="1:15" x14ac:dyDescent="0.3">
      <c r="A8" s="10" t="s">
        <v>14</v>
      </c>
      <c r="B8" t="s">
        <v>15</v>
      </c>
      <c r="C8">
        <v>-0.22713637586087729</v>
      </c>
      <c r="D8">
        <v>-0.32890590087130828</v>
      </c>
      <c r="E8">
        <v>-0.33379965675957468</v>
      </c>
      <c r="F8">
        <v>-0.33779429150103157</v>
      </c>
      <c r="G8">
        <v>-0.37375829879473438</v>
      </c>
      <c r="H8">
        <v>-0.39828852694814282</v>
      </c>
      <c r="I8">
        <v>-0.42243162471552392</v>
      </c>
      <c r="J8">
        <v>-0.43880697724398993</v>
      </c>
      <c r="K8">
        <v>-0.45965801088103669</v>
      </c>
      <c r="L8">
        <v>-0.47362636140751169</v>
      </c>
      <c r="M8">
        <v>-0.48885533157410482</v>
      </c>
      <c r="N8">
        <v>-0.4985854264864632</v>
      </c>
      <c r="O8">
        <v>-0.50196943564597662</v>
      </c>
    </row>
    <row r="9" spans="1:15" x14ac:dyDescent="0.3">
      <c r="A9" s="10" t="s">
        <v>16</v>
      </c>
      <c r="B9" t="s">
        <v>17</v>
      </c>
      <c r="C9">
        <v>-0.22713637586087729</v>
      </c>
      <c r="D9">
        <v>-0.32890590087130828</v>
      </c>
      <c r="E9">
        <v>-0.33379965675957468</v>
      </c>
      <c r="F9">
        <v>-0.33779429150103157</v>
      </c>
      <c r="G9">
        <v>-0.37375829879473438</v>
      </c>
      <c r="H9">
        <v>-0.39828852694814282</v>
      </c>
      <c r="I9">
        <v>-0.42243162471552392</v>
      </c>
      <c r="J9">
        <v>-0.43880697724398993</v>
      </c>
      <c r="K9">
        <v>-0.45965801088103669</v>
      </c>
      <c r="L9">
        <v>-0.47362636140751169</v>
      </c>
      <c r="M9">
        <v>-0.48885533157410482</v>
      </c>
      <c r="N9">
        <v>-0.4985854264864632</v>
      </c>
      <c r="O9">
        <v>-0.50196943564597662</v>
      </c>
    </row>
    <row r="10" spans="1:15" x14ac:dyDescent="0.3">
      <c r="A10" s="10" t="s">
        <v>18</v>
      </c>
      <c r="B10" t="s">
        <v>19</v>
      </c>
      <c r="C10">
        <v>2.2041847749140882</v>
      </c>
      <c r="D10">
        <v>1.1722555975704649</v>
      </c>
      <c r="E10">
        <v>1.4759759818456439</v>
      </c>
      <c r="F10">
        <v>1.678456238029097</v>
      </c>
      <c r="G10">
        <v>1.7401981775921349</v>
      </c>
      <c r="H10">
        <v>1.78135947063416</v>
      </c>
      <c r="I10">
        <v>1.806047660336199</v>
      </c>
      <c r="J10">
        <v>1.8225064534708919</v>
      </c>
      <c r="K10">
        <v>1.8287220717631849</v>
      </c>
      <c r="L10">
        <v>1.8328658172913801</v>
      </c>
      <c r="M10">
        <v>1.809503016269522</v>
      </c>
      <c r="N10">
        <v>1.793927815588283</v>
      </c>
      <c r="O10">
        <v>1.749932440137975</v>
      </c>
    </row>
    <row r="11" spans="1:15" x14ac:dyDescent="0.3">
      <c r="A11" s="10" t="s">
        <v>20</v>
      </c>
      <c r="B11" t="s">
        <v>22</v>
      </c>
      <c r="C11">
        <v>85.783399417264178</v>
      </c>
      <c r="D11">
        <v>68.299486421032299</v>
      </c>
      <c r="E11">
        <v>67.872914266403342</v>
      </c>
      <c r="F11">
        <v>64.89424126827538</v>
      </c>
      <c r="G11">
        <v>61.821560140212377</v>
      </c>
      <c r="H11">
        <v>59.810807463196717</v>
      </c>
      <c r="I11">
        <v>57.286310313913162</v>
      </c>
      <c r="J11">
        <v>55.615069382813587</v>
      </c>
      <c r="K11">
        <v>53.718088832003659</v>
      </c>
      <c r="L11">
        <v>52.454773736311857</v>
      </c>
      <c r="M11">
        <v>50.568757514693111</v>
      </c>
      <c r="N11">
        <v>49.310090597462448</v>
      </c>
      <c r="O11">
        <v>51.049399500389313</v>
      </c>
    </row>
    <row r="12" spans="1:15" x14ac:dyDescent="0.3">
      <c r="A12" s="10" t="s">
        <v>21</v>
      </c>
      <c r="B12" t="s">
        <v>23</v>
      </c>
      <c r="C12">
        <v>87.590830932693734</v>
      </c>
      <c r="D12">
        <v>69.26073601104008</v>
      </c>
      <c r="E12">
        <v>69.083214571516777</v>
      </c>
      <c r="F12">
        <v>66.270575383459246</v>
      </c>
      <c r="G12">
        <v>63.248522645837937</v>
      </c>
      <c r="H12">
        <v>61.271522229116727</v>
      </c>
      <c r="I12">
        <v>58.767269395388837</v>
      </c>
      <c r="J12">
        <v>57.109524674659717</v>
      </c>
      <c r="K12">
        <v>55.21764093084947</v>
      </c>
      <c r="L12">
        <v>53.957723706490789</v>
      </c>
      <c r="M12">
        <v>52.052549988034123</v>
      </c>
      <c r="N12">
        <v>50.78111140624484</v>
      </c>
      <c r="O12">
        <v>52.484344101302447</v>
      </c>
    </row>
    <row r="13" spans="1:15" x14ac:dyDescent="0.3">
      <c r="A13" s="10" t="s">
        <v>24</v>
      </c>
      <c r="B13" t="s">
        <v>25</v>
      </c>
      <c r="C13">
        <v>-0.44352761914894279</v>
      </c>
      <c r="D13">
        <v>-0.55694483923695715</v>
      </c>
      <c r="E13">
        <v>-0.55971199027204854</v>
      </c>
      <c r="F13">
        <v>-0.57903448467428642</v>
      </c>
      <c r="G13">
        <v>-0.59896680484980536</v>
      </c>
      <c r="H13">
        <v>-0.61201045125554976</v>
      </c>
      <c r="I13">
        <v>-0.62838673091637665</v>
      </c>
      <c r="J13">
        <v>-0.63922798255972846</v>
      </c>
      <c r="K13">
        <v>-0.65153359519233889</v>
      </c>
      <c r="L13">
        <v>-0.65972865348846899</v>
      </c>
      <c r="M13">
        <v>-0.67196314109676347</v>
      </c>
      <c r="N13">
        <v>-0.68012804690473794</v>
      </c>
      <c r="O13">
        <v>-0.66884524192356387</v>
      </c>
    </row>
    <row r="14" spans="1:15" x14ac:dyDescent="0.3">
      <c r="A14" s="10" t="s">
        <v>26</v>
      </c>
      <c r="B14" t="s">
        <v>27</v>
      </c>
      <c r="C14">
        <v>331.16076604594252</v>
      </c>
      <c r="D14">
        <v>305.31157630060608</v>
      </c>
      <c r="E14">
        <v>295.77877069090948</v>
      </c>
      <c r="F14">
        <v>291.71578498471808</v>
      </c>
      <c r="G14">
        <v>274.2545452896926</v>
      </c>
      <c r="H14">
        <v>262.32112549838348</v>
      </c>
      <c r="I14">
        <v>249.36214848408579</v>
      </c>
      <c r="J14">
        <v>240.60852723342629</v>
      </c>
      <c r="K14">
        <v>230.07520622890439</v>
      </c>
      <c r="L14">
        <v>223.05457747448091</v>
      </c>
      <c r="M14">
        <v>215.7238059869596</v>
      </c>
      <c r="N14">
        <v>211.0644209296255</v>
      </c>
      <c r="O14">
        <v>206.46889462249311</v>
      </c>
    </row>
    <row r="15" spans="1:15" x14ac:dyDescent="0.3">
      <c r="A15" s="10" t="s">
        <v>28</v>
      </c>
      <c r="B15" t="s">
        <v>29</v>
      </c>
      <c r="C15">
        <v>-0.15871781071876759</v>
      </c>
      <c r="D15">
        <v>-0.2243852000045069</v>
      </c>
      <c r="E15">
        <v>-0.2486023790776023</v>
      </c>
      <c r="F15">
        <v>-0.25892400488713091</v>
      </c>
      <c r="G15">
        <v>-0.30328261093093212</v>
      </c>
      <c r="H15">
        <v>-0.33359832026907182</v>
      </c>
      <c r="I15">
        <v>-0.36651935944773179</v>
      </c>
      <c r="J15">
        <v>-0.3887570953299827</v>
      </c>
      <c r="K15">
        <v>-0.41551598787903787</v>
      </c>
      <c r="L15">
        <v>-0.4333512224062851</v>
      </c>
      <c r="M15">
        <v>-0.45197434482437582</v>
      </c>
      <c r="N15">
        <v>-0.46381106602943112</v>
      </c>
      <c r="O15">
        <v>-0.47548556019951482</v>
      </c>
    </row>
    <row r="16" spans="1:15" x14ac:dyDescent="0.3">
      <c r="A16" s="10" t="s">
        <v>148</v>
      </c>
      <c r="B16" t="s">
        <v>149</v>
      </c>
      <c r="C16">
        <v>51.575451904565682</v>
      </c>
      <c r="D16">
        <v>51.408185348234909</v>
      </c>
      <c r="E16">
        <v>50.372020899616487</v>
      </c>
      <c r="F16">
        <v>49.595023469401063</v>
      </c>
      <c r="G16">
        <v>48.792513155044347</v>
      </c>
      <c r="H16">
        <v>48.167519364475048</v>
      </c>
      <c r="I16">
        <v>47.350496782603081</v>
      </c>
      <c r="J16">
        <v>46.749834912787577</v>
      </c>
      <c r="K16">
        <v>45.866358694646841</v>
      </c>
      <c r="L16">
        <v>45.290640408966539</v>
      </c>
      <c r="M16">
        <v>44.550541550631692</v>
      </c>
      <c r="N16">
        <v>44.157084298800306</v>
      </c>
      <c r="O16">
        <v>43.731683486273887</v>
      </c>
    </row>
    <row r="17" spans="1:15" x14ac:dyDescent="0.3">
      <c r="A17" s="10" t="s">
        <v>30</v>
      </c>
      <c r="B17" t="s">
        <v>31</v>
      </c>
      <c r="C17">
        <v>-5.6336490364110037E-2</v>
      </c>
      <c r="D17">
        <v>-5.9396925896189827E-2</v>
      </c>
      <c r="E17">
        <v>-7.8355375003964611E-2</v>
      </c>
      <c r="F17">
        <v>-9.2571908158766703E-2</v>
      </c>
      <c r="G17">
        <v>-0.107255244354563</v>
      </c>
      <c r="H17">
        <v>-0.1186906038546713</v>
      </c>
      <c r="I17">
        <v>-0.13363946748242431</v>
      </c>
      <c r="J17">
        <v>-0.1446296317416419</v>
      </c>
      <c r="K17">
        <v>-0.16079438140264729</v>
      </c>
      <c r="L17">
        <v>-0.17132815896473089</v>
      </c>
      <c r="M17">
        <v>-0.18486956791692191</v>
      </c>
      <c r="N17">
        <v>-0.19206855963573249</v>
      </c>
      <c r="O17">
        <v>-0.19985201492165919</v>
      </c>
    </row>
    <row r="18" spans="1:15" x14ac:dyDescent="0.3">
      <c r="A18" s="10" t="s">
        <v>150</v>
      </c>
      <c r="B18" t="s">
        <v>151</v>
      </c>
      <c r="C18">
        <v>32.947985560867728</v>
      </c>
      <c r="D18">
        <v>32.954198077293007</v>
      </c>
      <c r="E18">
        <v>32.677394687063128</v>
      </c>
      <c r="F18">
        <v>32.382125545260308</v>
      </c>
      <c r="G18">
        <v>31.771943491560751</v>
      </c>
      <c r="H18">
        <v>31.24958552302402</v>
      </c>
      <c r="I18">
        <v>30.327872205890799</v>
      </c>
      <c r="J18">
        <v>29.6415015189069</v>
      </c>
      <c r="K18">
        <v>28.558166939024279</v>
      </c>
      <c r="L18">
        <v>27.852981190915528</v>
      </c>
      <c r="M18">
        <v>26.908702502283639</v>
      </c>
      <c r="N18">
        <v>26.40753858025802</v>
      </c>
      <c r="O18">
        <v>25.8325381191055</v>
      </c>
    </row>
    <row r="19" spans="1:15" x14ac:dyDescent="0.3">
      <c r="A19" s="10" t="s">
        <v>32</v>
      </c>
      <c r="B19" t="s">
        <v>33</v>
      </c>
      <c r="C19">
        <v>-0.46157757164038782</v>
      </c>
      <c r="D19">
        <v>-0.46147604925220581</v>
      </c>
      <c r="E19">
        <v>-0.4659994564046831</v>
      </c>
      <c r="F19">
        <v>-0.47082462327430658</v>
      </c>
      <c r="G19">
        <v>-0.48079596742484482</v>
      </c>
      <c r="H19">
        <v>-0.48933212649815022</v>
      </c>
      <c r="I19">
        <v>-0.50439438642130874</v>
      </c>
      <c r="J19">
        <v>-0.51561077388020227</v>
      </c>
      <c r="K19">
        <v>-0.53331418200355407</v>
      </c>
      <c r="L19">
        <v>-0.5448380374526185</v>
      </c>
      <c r="M19">
        <v>-0.56026905139555483</v>
      </c>
      <c r="N19">
        <v>-0.56845886607799612</v>
      </c>
      <c r="O19">
        <v>-0.57785528711350076</v>
      </c>
    </row>
    <row r="20" spans="1:15" x14ac:dyDescent="0.3">
      <c r="A20" s="10" t="s">
        <v>152</v>
      </c>
      <c r="B20" t="s">
        <v>153</v>
      </c>
      <c r="C20">
        <v>14.54855432764387</v>
      </c>
      <c r="D20">
        <v>12.95802173594071</v>
      </c>
      <c r="E20">
        <v>9.9718377663674076</v>
      </c>
      <c r="F20">
        <v>7.9810484533185377</v>
      </c>
      <c r="G20">
        <v>6.3270795287523089</v>
      </c>
      <c r="H20">
        <v>5.224433579041488</v>
      </c>
      <c r="I20">
        <v>4.2439543333053784</v>
      </c>
      <c r="J20">
        <v>3.5903015028146368</v>
      </c>
      <c r="K20">
        <v>2.949837878586008</v>
      </c>
      <c r="L20">
        <v>2.5228621291002562</v>
      </c>
      <c r="M20">
        <v>2.289292364693249</v>
      </c>
      <c r="N20">
        <v>2.133579188421912</v>
      </c>
      <c r="O20">
        <v>1.9595602090676789</v>
      </c>
    </row>
    <row r="21" spans="1:15" x14ac:dyDescent="0.3">
      <c r="A21" s="10" t="s">
        <v>34</v>
      </c>
      <c r="B21" t="s">
        <v>35</v>
      </c>
      <c r="C21">
        <v>0.2364841335964554</v>
      </c>
      <c r="D21">
        <v>0.1013044951720299</v>
      </c>
      <c r="E21">
        <v>-0.15249179380780081</v>
      </c>
      <c r="F21">
        <v>-0.32168931979435461</v>
      </c>
      <c r="G21">
        <v>-0.46226042305523352</v>
      </c>
      <c r="H21">
        <v>-0.5559744918958196</v>
      </c>
      <c r="I21">
        <v>-0.63930559156183431</v>
      </c>
      <c r="J21">
        <v>-0.69485965800584415</v>
      </c>
      <c r="K21">
        <v>-0.74929277154205576</v>
      </c>
      <c r="L21">
        <v>-0.78558151389953013</v>
      </c>
      <c r="M21">
        <v>-0.80543264833344175</v>
      </c>
      <c r="N21">
        <v>-0.8186667379560495</v>
      </c>
      <c r="O21">
        <v>-0.83345664092993521</v>
      </c>
    </row>
    <row r="22" spans="1:15" x14ac:dyDescent="0.3">
      <c r="A22" s="10" t="s">
        <v>36</v>
      </c>
      <c r="B22" t="s">
        <v>37</v>
      </c>
      <c r="C22">
        <v>0.70393759286775615</v>
      </c>
      <c r="D22">
        <v>0.69528324670260044</v>
      </c>
      <c r="E22">
        <v>0.69737954353338971</v>
      </c>
      <c r="F22">
        <v>0.69155076299341178</v>
      </c>
      <c r="G22">
        <v>0.66873128233051993</v>
      </c>
      <c r="H22">
        <v>0.6575424976576093</v>
      </c>
      <c r="I22">
        <v>0.6172849803162741</v>
      </c>
      <c r="J22">
        <v>0.5905806752347339</v>
      </c>
      <c r="K22">
        <v>0.55072367547470458</v>
      </c>
      <c r="L22">
        <v>0.52428438908030739</v>
      </c>
      <c r="M22">
        <v>0.48482195943714079</v>
      </c>
      <c r="N22">
        <v>0.45864376607107532</v>
      </c>
      <c r="O22">
        <v>0.38824399320011821</v>
      </c>
    </row>
    <row r="23" spans="1:15" x14ac:dyDescent="0.3">
      <c r="A23" s="10" t="s">
        <v>38</v>
      </c>
      <c r="B23" t="s">
        <v>39</v>
      </c>
      <c r="C23">
        <v>0.27025249833765252</v>
      </c>
      <c r="D23">
        <v>0.33167796769589553</v>
      </c>
      <c r="E23">
        <v>0.33387558297780651</v>
      </c>
      <c r="F23">
        <v>0.33424600656384079</v>
      </c>
      <c r="G23">
        <v>0.3511026783748103</v>
      </c>
      <c r="H23">
        <v>0.35895795078793252</v>
      </c>
      <c r="I23">
        <v>0.39678282017851269</v>
      </c>
      <c r="J23">
        <v>0.42198558130054531</v>
      </c>
      <c r="K23">
        <v>0.45972982965790621</v>
      </c>
      <c r="L23">
        <v>0.48485909236189861</v>
      </c>
      <c r="M23">
        <v>0.52248241768119319</v>
      </c>
      <c r="N23">
        <v>0.54751543271886549</v>
      </c>
      <c r="O23">
        <v>0.58633061009586362</v>
      </c>
    </row>
    <row r="24" spans="1:15" x14ac:dyDescent="0.3">
      <c r="A24" s="10" t="s">
        <v>40</v>
      </c>
      <c r="B24" t="s">
        <v>154</v>
      </c>
      <c r="C24">
        <v>0.26813352662950929</v>
      </c>
      <c r="D24">
        <v>0.27669312829191689</v>
      </c>
      <c r="E24">
        <v>0.28508138343642642</v>
      </c>
      <c r="F24">
        <v>0.28909577057702501</v>
      </c>
      <c r="G24">
        <v>0.3056502091504828</v>
      </c>
      <c r="H24">
        <v>0.31717811181067151</v>
      </c>
      <c r="I24">
        <v>0.33357162290464298</v>
      </c>
      <c r="J24">
        <v>0.34475010238329179</v>
      </c>
      <c r="K24">
        <v>0.35983527931878478</v>
      </c>
      <c r="L24">
        <v>0.37008398061539721</v>
      </c>
      <c r="M24">
        <v>0.38158408982914382</v>
      </c>
      <c r="N24">
        <v>0.38933175251033231</v>
      </c>
      <c r="O24">
        <v>0.40371342472675692</v>
      </c>
    </row>
    <row r="25" spans="1:15" x14ac:dyDescent="0.3">
      <c r="A25" s="10" t="s">
        <v>41</v>
      </c>
      <c r="B25" t="s">
        <v>42</v>
      </c>
      <c r="C25">
        <v>102.3740942628941</v>
      </c>
      <c r="D25">
        <v>94.319051308537638</v>
      </c>
      <c r="E25">
        <v>104.4905421677506</v>
      </c>
      <c r="F25">
        <v>106.15018045109051</v>
      </c>
      <c r="G25">
        <v>110.3110621352059</v>
      </c>
      <c r="H25">
        <v>113.1586490245334</v>
      </c>
      <c r="I25">
        <v>118.7236319857269</v>
      </c>
      <c r="J25">
        <v>122.4661071206838</v>
      </c>
      <c r="K25">
        <v>124.2632380914409</v>
      </c>
      <c r="L25">
        <v>125.4173594137394</v>
      </c>
      <c r="M25">
        <v>127.4551999623378</v>
      </c>
      <c r="N25">
        <v>128.68070853157289</v>
      </c>
      <c r="O25">
        <v>127.5406206783607</v>
      </c>
    </row>
    <row r="26" spans="1:15" x14ac:dyDescent="0.3">
      <c r="A26" s="10" t="s">
        <v>43</v>
      </c>
      <c r="B26" t="s">
        <v>44</v>
      </c>
      <c r="C26">
        <v>0.53672356708306368</v>
      </c>
      <c r="D26">
        <v>0.4939034277020331</v>
      </c>
      <c r="E26">
        <v>0.55250191756784239</v>
      </c>
      <c r="F26">
        <v>0.56039109281023169</v>
      </c>
      <c r="G26">
        <v>0.57463135285893108</v>
      </c>
      <c r="H26">
        <v>0.58412485955806404</v>
      </c>
      <c r="I26">
        <v>0.59776498446965687</v>
      </c>
      <c r="J26">
        <v>0.60685840107738542</v>
      </c>
      <c r="K26">
        <v>0.6204997411199763</v>
      </c>
      <c r="L26">
        <v>0.62959396781503696</v>
      </c>
      <c r="M26">
        <v>0.64190676048100792</v>
      </c>
      <c r="N26">
        <v>0.6501152889249886</v>
      </c>
      <c r="O26">
        <v>0.66937713729205039</v>
      </c>
    </row>
    <row r="27" spans="1:15" x14ac:dyDescent="0.3">
      <c r="A27" s="10" t="s">
        <v>45</v>
      </c>
      <c r="B27" t="s">
        <v>46</v>
      </c>
      <c r="C27">
        <v>102.9108178299772</v>
      </c>
      <c r="D27">
        <v>94.812954736239675</v>
      </c>
      <c r="E27">
        <v>105.0430440853184</v>
      </c>
      <c r="F27">
        <v>106.7105715439007</v>
      </c>
      <c r="G27">
        <v>110.8856934880648</v>
      </c>
      <c r="H27">
        <v>113.74277388409151</v>
      </c>
      <c r="I27">
        <v>119.3213969701966</v>
      </c>
      <c r="J27">
        <v>123.0729655217612</v>
      </c>
      <c r="K27">
        <v>124.8837378325609</v>
      </c>
      <c r="L27">
        <v>126.0469533815545</v>
      </c>
      <c r="M27">
        <v>128.09710672281889</v>
      </c>
      <c r="N27">
        <v>129.3308238204979</v>
      </c>
      <c r="O27">
        <v>128.2099978156528</v>
      </c>
    </row>
    <row r="28" spans="1:15" x14ac:dyDescent="0.3">
      <c r="A28" s="10" t="s">
        <v>47</v>
      </c>
      <c r="B28" t="s">
        <v>48</v>
      </c>
      <c r="C28">
        <v>5.5480755080062553E-2</v>
      </c>
      <c r="D28">
        <v>5.452298610451059E-2</v>
      </c>
      <c r="E28">
        <v>5.4803086252899813E-2</v>
      </c>
      <c r="F28">
        <v>5.4848334446610678E-2</v>
      </c>
      <c r="G28">
        <v>5.4607637416910479E-2</v>
      </c>
      <c r="H28">
        <v>5.4439666262782072E-2</v>
      </c>
      <c r="I28">
        <v>5.4355088580013318E-2</v>
      </c>
      <c r="J28">
        <v>5.4298006024443742E-2</v>
      </c>
      <c r="K28">
        <v>5.4253362693246349E-2</v>
      </c>
      <c r="L28">
        <v>5.4223164764270422E-2</v>
      </c>
      <c r="M28">
        <v>5.4191816641423543E-2</v>
      </c>
      <c r="N28">
        <v>5.4170187213123749E-2</v>
      </c>
      <c r="O28">
        <v>5.4145212134976188E-2</v>
      </c>
    </row>
    <row r="29" spans="1:15" x14ac:dyDescent="0.3">
      <c r="A29" s="10" t="s">
        <v>49</v>
      </c>
      <c r="B29" t="s">
        <v>50</v>
      </c>
      <c r="C29">
        <v>0.27010843140150947</v>
      </c>
      <c r="D29">
        <v>0.28217363074390528</v>
      </c>
      <c r="E29">
        <v>0.28831506199536028</v>
      </c>
      <c r="F29">
        <v>0.29608108975116582</v>
      </c>
      <c r="G29">
        <v>0.30177557616767459</v>
      </c>
      <c r="H29">
        <v>0.30556033373721803</v>
      </c>
      <c r="I29">
        <v>0.30564491141998662</v>
      </c>
      <c r="J29">
        <v>0.30570199397555631</v>
      </c>
      <c r="K29">
        <v>0.30574663730675372</v>
      </c>
      <c r="L29">
        <v>0.30577683523572963</v>
      </c>
      <c r="M29">
        <v>0.30580818335857651</v>
      </c>
      <c r="N29">
        <v>0.30582981278687621</v>
      </c>
      <c r="O29">
        <v>0.30585478786502368</v>
      </c>
    </row>
    <row r="30" spans="1:15" x14ac:dyDescent="0.3">
      <c r="A30" s="10" t="s">
        <v>51</v>
      </c>
      <c r="B30" t="s">
        <v>48</v>
      </c>
      <c r="C30">
        <v>0.25360709598693931</v>
      </c>
      <c r="D30">
        <v>0.24722308050110381</v>
      </c>
      <c r="E30">
        <v>0.25519691374710018</v>
      </c>
      <c r="F30">
        <v>0.26069042940406251</v>
      </c>
      <c r="G30">
        <v>0.26301640852001651</v>
      </c>
      <c r="H30">
        <v>0.26443966626278209</v>
      </c>
      <c r="I30">
        <v>0.26435508858001328</v>
      </c>
      <c r="J30">
        <v>0.26429800602444381</v>
      </c>
      <c r="K30">
        <v>0.2642533626932464</v>
      </c>
      <c r="L30">
        <v>0.26422316476427038</v>
      </c>
      <c r="M30">
        <v>0.26419181664142349</v>
      </c>
      <c r="N30">
        <v>0.2641701872131238</v>
      </c>
      <c r="O30">
        <v>0.26414521213497621</v>
      </c>
    </row>
    <row r="31" spans="1:15" x14ac:dyDescent="0.3">
      <c r="A31" s="10" t="s">
        <v>52</v>
      </c>
      <c r="B31" t="s">
        <v>53</v>
      </c>
      <c r="C31">
        <v>3.7452629693074618E-4</v>
      </c>
      <c r="D31">
        <v>3.80624437277258E-4</v>
      </c>
      <c r="E31">
        <v>4.6524417304640419E-3</v>
      </c>
      <c r="F31">
        <v>7.5258705913560072E-3</v>
      </c>
      <c r="G31">
        <v>7.4079939340243222E-3</v>
      </c>
      <c r="H31">
        <v>7.3336200242330764E-3</v>
      </c>
      <c r="I31">
        <v>7.3386946851991992E-3</v>
      </c>
      <c r="J31">
        <v>7.3421196385333757E-3</v>
      </c>
      <c r="K31">
        <v>7.3447982384052214E-3</v>
      </c>
      <c r="L31">
        <v>7.346610114143776E-3</v>
      </c>
      <c r="M31">
        <v>7.3484910015145892E-3</v>
      </c>
      <c r="N31">
        <v>7.349788767212575E-3</v>
      </c>
      <c r="O31">
        <v>7.3512872719014282E-3</v>
      </c>
    </row>
    <row r="32" spans="1:15" x14ac:dyDescent="0.3">
      <c r="A32" s="10" t="s">
        <v>54</v>
      </c>
      <c r="B32" t="s">
        <v>55</v>
      </c>
      <c r="C32">
        <v>18.92205443123704</v>
      </c>
      <c r="D32">
        <v>18.2473966503747</v>
      </c>
      <c r="E32">
        <v>17.61285553893989</v>
      </c>
      <c r="F32">
        <v>17.785304468875811</v>
      </c>
      <c r="G32">
        <v>17.43051804968005</v>
      </c>
      <c r="H32">
        <v>17.185843336847451</v>
      </c>
      <c r="I32">
        <v>16.92404361202134</v>
      </c>
      <c r="J32">
        <v>16.751741374755341</v>
      </c>
      <c r="K32">
        <v>16.619372022017561</v>
      </c>
      <c r="L32">
        <v>16.530993896830669</v>
      </c>
      <c r="M32">
        <v>16.440221744170842</v>
      </c>
      <c r="N32">
        <v>16.378160352810401</v>
      </c>
      <c r="O32">
        <v>16.307069704088221</v>
      </c>
    </row>
    <row r="33" spans="1:15" x14ac:dyDescent="0.3">
      <c r="A33" s="10" t="s">
        <v>56</v>
      </c>
      <c r="B33" t="s">
        <v>57</v>
      </c>
      <c r="C33">
        <v>0.49750465939174532</v>
      </c>
      <c r="D33">
        <v>0.46427858411076067</v>
      </c>
      <c r="E33">
        <v>0.51462132892763868</v>
      </c>
      <c r="F33">
        <v>0.52317966369558755</v>
      </c>
      <c r="G33">
        <v>0.53647503052338408</v>
      </c>
      <c r="H33">
        <v>0.54533860840858206</v>
      </c>
      <c r="I33">
        <v>0.55807373702303698</v>
      </c>
      <c r="J33">
        <v>0.5665638227660087</v>
      </c>
      <c r="K33">
        <v>0.5793000861696288</v>
      </c>
      <c r="L33">
        <v>0.58779092843870806</v>
      </c>
      <c r="M33">
        <v>0.5992868534559197</v>
      </c>
      <c r="N33">
        <v>0.60695080346739327</v>
      </c>
      <c r="O33">
        <v>0.62493485884707989</v>
      </c>
    </row>
    <row r="34" spans="1:15" x14ac:dyDescent="0.3">
      <c r="A34" s="10" t="s">
        <v>58</v>
      </c>
      <c r="B34" t="s">
        <v>59</v>
      </c>
      <c r="C34">
        <v>19.41955909062878</v>
      </c>
      <c r="D34">
        <v>18.711675234485462</v>
      </c>
      <c r="E34">
        <v>18.127476867867529</v>
      </c>
      <c r="F34">
        <v>18.308484132571401</v>
      </c>
      <c r="G34">
        <v>17.96699308020343</v>
      </c>
      <c r="H34">
        <v>17.731181945256029</v>
      </c>
      <c r="I34">
        <v>17.482117349044369</v>
      </c>
      <c r="J34">
        <v>17.318305197521351</v>
      </c>
      <c r="K34">
        <v>17.198672108187189</v>
      </c>
      <c r="L34">
        <v>17.11878482526938</v>
      </c>
      <c r="M34">
        <v>17.03950859762676</v>
      </c>
      <c r="N34">
        <v>16.985111156277789</v>
      </c>
      <c r="O34">
        <v>16.932004562935301</v>
      </c>
    </row>
    <row r="35" spans="1:15" x14ac:dyDescent="0.3">
      <c r="A35" s="10" t="s">
        <v>60</v>
      </c>
      <c r="B35" t="s">
        <v>61</v>
      </c>
      <c r="C35">
        <v>31.43908444444444</v>
      </c>
      <c r="D35">
        <v>32.65154555555555</v>
      </c>
      <c r="E35">
        <v>36.514651680131117</v>
      </c>
      <c r="F35">
        <v>39.319241851069627</v>
      </c>
      <c r="G35">
        <v>45.31680426782367</v>
      </c>
      <c r="H35">
        <v>49.514351265721807</v>
      </c>
      <c r="I35">
        <v>54.409714472774652</v>
      </c>
      <c r="J35">
        <v>57.826394702164251</v>
      </c>
      <c r="K35">
        <v>60.832905155553718</v>
      </c>
      <c r="L35">
        <v>62.897832024028709</v>
      </c>
      <c r="M35">
        <v>65.898689554178929</v>
      </c>
      <c r="N35">
        <v>67.964408038916218</v>
      </c>
      <c r="O35">
        <v>75.083762899489528</v>
      </c>
    </row>
    <row r="36" spans="1:15" x14ac:dyDescent="0.3">
      <c r="A36" s="10" t="s">
        <v>62</v>
      </c>
      <c r="B36" t="s">
        <v>63</v>
      </c>
      <c r="C36">
        <v>152.73523313857561</v>
      </c>
      <c r="D36">
        <v>145.21799351446791</v>
      </c>
      <c r="E36">
        <v>158.61804938682161</v>
      </c>
      <c r="F36">
        <v>163.25472677103591</v>
      </c>
      <c r="G36">
        <v>173.05838445270959</v>
      </c>
      <c r="H36">
        <v>179.85884362710269</v>
      </c>
      <c r="I36">
        <v>190.0573900705229</v>
      </c>
      <c r="J36">
        <v>197.04424319760341</v>
      </c>
      <c r="K36">
        <v>201.7155152690122</v>
      </c>
      <c r="L36">
        <v>204.8461853345988</v>
      </c>
      <c r="M36">
        <v>209.7941112606876</v>
      </c>
      <c r="N36">
        <v>213.02327692329959</v>
      </c>
      <c r="O36">
        <v>218.93145328193839</v>
      </c>
    </row>
    <row r="37" spans="1:15" x14ac:dyDescent="0.3">
      <c r="A37" s="10" t="s">
        <v>64</v>
      </c>
      <c r="B37" t="s">
        <v>65</v>
      </c>
      <c r="C37">
        <v>1.0342282264748091</v>
      </c>
      <c r="D37">
        <v>0.95818201181279383</v>
      </c>
      <c r="E37">
        <v>1.067123246495481</v>
      </c>
      <c r="F37">
        <v>1.083570756505819</v>
      </c>
      <c r="G37">
        <v>1.1111063833823149</v>
      </c>
      <c r="H37">
        <v>1.129463467966646</v>
      </c>
      <c r="I37">
        <v>1.155838721492694</v>
      </c>
      <c r="J37">
        <v>1.173422223843394</v>
      </c>
      <c r="K37">
        <v>1.1997998272896051</v>
      </c>
      <c r="L37">
        <v>1.217384896253745</v>
      </c>
      <c r="M37">
        <v>1.241193613936928</v>
      </c>
      <c r="N37">
        <v>1.257066092392382</v>
      </c>
      <c r="O37">
        <v>1.2943119961391301</v>
      </c>
    </row>
    <row r="38" spans="1:15" x14ac:dyDescent="0.3">
      <c r="A38" s="10" t="s">
        <v>66</v>
      </c>
      <c r="B38" t="s">
        <v>67</v>
      </c>
      <c r="C38">
        <v>153.7694613650504</v>
      </c>
      <c r="D38">
        <v>146.1761755262807</v>
      </c>
      <c r="E38">
        <v>159.68517263331711</v>
      </c>
      <c r="F38">
        <v>164.3382975275417</v>
      </c>
      <c r="G38">
        <v>174.16949083609191</v>
      </c>
      <c r="H38">
        <v>180.98830709506939</v>
      </c>
      <c r="I38">
        <v>191.2132287920156</v>
      </c>
      <c r="J38">
        <v>198.21766542144681</v>
      </c>
      <c r="K38">
        <v>202.91531509630181</v>
      </c>
      <c r="L38">
        <v>206.06357023085249</v>
      </c>
      <c r="M38">
        <v>211.0353048746245</v>
      </c>
      <c r="N38">
        <v>214.28034301569201</v>
      </c>
      <c r="O38">
        <v>220.2257652780776</v>
      </c>
    </row>
    <row r="39" spans="1:15" x14ac:dyDescent="0.3">
      <c r="A39" s="10" t="s">
        <v>68</v>
      </c>
      <c r="B39" t="s">
        <v>69</v>
      </c>
      <c r="C39">
        <v>40.963239324760004</v>
      </c>
      <c r="D39">
        <v>32.819802151025002</v>
      </c>
      <c r="E39">
        <v>35.352625820667669</v>
      </c>
      <c r="F39">
        <v>34.470749946028569</v>
      </c>
      <c r="G39">
        <v>33.3079153002043</v>
      </c>
      <c r="H39">
        <v>32.544987044535283</v>
      </c>
      <c r="I39">
        <v>32.373375286691193</v>
      </c>
      <c r="J39">
        <v>32.213665547829017</v>
      </c>
      <c r="K39">
        <v>31.769371562612189</v>
      </c>
      <c r="L39">
        <v>31.443143525774289</v>
      </c>
      <c r="M39">
        <v>30.942256127715162</v>
      </c>
      <c r="N39">
        <v>30.57350061633058</v>
      </c>
      <c r="O39">
        <v>29.555765137283782</v>
      </c>
    </row>
    <row r="40" spans="1:15" x14ac:dyDescent="0.3">
      <c r="A40" s="10" t="s">
        <v>70</v>
      </c>
      <c r="B40" t="s">
        <v>71</v>
      </c>
      <c r="C40">
        <v>625.0196177280061</v>
      </c>
      <c r="D40">
        <v>593.03456022249816</v>
      </c>
      <c r="E40">
        <v>584.74055238888104</v>
      </c>
      <c r="F40">
        <v>562.80992582238514</v>
      </c>
      <c r="G40">
        <v>537.94540558574897</v>
      </c>
      <c r="H40">
        <v>521.31904960160216</v>
      </c>
      <c r="I40">
        <v>506.65866494378088</v>
      </c>
      <c r="J40">
        <v>496.7560732863077</v>
      </c>
      <c r="K40">
        <v>484.56955537583713</v>
      </c>
      <c r="L40">
        <v>476.31488239167561</v>
      </c>
      <c r="M40">
        <v>464.31497511689457</v>
      </c>
      <c r="N40">
        <v>456.20331947234541</v>
      </c>
      <c r="O40">
        <v>433.38951648697468</v>
      </c>
    </row>
    <row r="41" spans="1:15" x14ac:dyDescent="0.3">
      <c r="A41" s="10" t="s">
        <v>72</v>
      </c>
      <c r="B41" t="s">
        <v>73</v>
      </c>
      <c r="C41">
        <v>42.567712544220541</v>
      </c>
      <c r="D41">
        <v>41.170669739303932</v>
      </c>
      <c r="E41">
        <v>38.388127080611497</v>
      </c>
      <c r="F41">
        <v>37.75230086546177</v>
      </c>
      <c r="G41">
        <v>36.624904082239468</v>
      </c>
      <c r="H41">
        <v>35.879102726390961</v>
      </c>
      <c r="I41">
        <v>35.341526289376347</v>
      </c>
      <c r="J41">
        <v>34.987722927433872</v>
      </c>
      <c r="K41">
        <v>34.715917274994872</v>
      </c>
      <c r="L41">
        <v>34.534442685288752</v>
      </c>
      <c r="M41">
        <v>34.348052228081713</v>
      </c>
      <c r="N41">
        <v>34.220616106191677</v>
      </c>
      <c r="O41">
        <v>34.074639414770367</v>
      </c>
    </row>
    <row r="42" spans="1:15" x14ac:dyDescent="0.3">
      <c r="A42" s="10" t="s">
        <v>74</v>
      </c>
      <c r="B42" t="s">
        <v>75</v>
      </c>
      <c r="C42">
        <v>699.02641471667107</v>
      </c>
      <c r="D42">
        <v>666.85677551735762</v>
      </c>
      <c r="E42">
        <v>659.64333114962369</v>
      </c>
      <c r="F42">
        <v>639.88146853891647</v>
      </c>
      <c r="G42">
        <v>619.88711393581207</v>
      </c>
      <c r="H42">
        <v>606.71250359371493</v>
      </c>
      <c r="I42">
        <v>596.40990570593192</v>
      </c>
      <c r="J42">
        <v>589.57019091590587</v>
      </c>
      <c r="K42">
        <v>580.11837780638564</v>
      </c>
      <c r="L42">
        <v>573.74715710099304</v>
      </c>
      <c r="M42">
        <v>564.56171689915527</v>
      </c>
      <c r="N42">
        <v>558.3883436174533</v>
      </c>
      <c r="O42">
        <v>542.54791880123469</v>
      </c>
    </row>
    <row r="43" spans="1:15" x14ac:dyDescent="0.3">
      <c r="A43" s="10" t="s">
        <v>76</v>
      </c>
      <c r="B43" t="s">
        <v>77</v>
      </c>
      <c r="C43">
        <v>0.53672356708306368</v>
      </c>
      <c r="D43">
        <v>0.4939034277020331</v>
      </c>
      <c r="E43">
        <v>0.55250191756784239</v>
      </c>
      <c r="F43">
        <v>0.56039109281023169</v>
      </c>
      <c r="G43">
        <v>0.57463135285893108</v>
      </c>
      <c r="H43">
        <v>0.58412485955806404</v>
      </c>
      <c r="I43">
        <v>0.59776498446965687</v>
      </c>
      <c r="J43">
        <v>0.60685840107738542</v>
      </c>
      <c r="K43">
        <v>0.6204997411199763</v>
      </c>
      <c r="L43">
        <v>0.62959396781503696</v>
      </c>
      <c r="M43">
        <v>0.64190676048100792</v>
      </c>
      <c r="N43">
        <v>0.6501152889249886</v>
      </c>
      <c r="O43">
        <v>0.66937713729205039</v>
      </c>
    </row>
    <row r="44" spans="1:15" x14ac:dyDescent="0.3">
      <c r="A44" s="10" t="s">
        <v>78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3">
      <c r="A45" s="10" t="s">
        <v>80</v>
      </c>
      <c r="B45" t="s">
        <v>81</v>
      </c>
      <c r="C45">
        <v>0.53672356708306368</v>
      </c>
      <c r="D45">
        <v>0.4939034277020331</v>
      </c>
      <c r="E45">
        <v>0.55250191756784239</v>
      </c>
      <c r="F45">
        <v>0.56039109281023169</v>
      </c>
      <c r="G45">
        <v>0.57463135285893108</v>
      </c>
      <c r="H45">
        <v>0.58412485955806404</v>
      </c>
      <c r="I45">
        <v>0.59776498446965687</v>
      </c>
      <c r="J45">
        <v>0.60685840107738542</v>
      </c>
      <c r="K45">
        <v>0.6204997411199763</v>
      </c>
      <c r="L45">
        <v>0.62959396781503696</v>
      </c>
      <c r="M45">
        <v>0.64190676048100792</v>
      </c>
      <c r="N45">
        <v>0.6501152889249886</v>
      </c>
      <c r="O45">
        <v>0.66937713729205039</v>
      </c>
    </row>
    <row r="46" spans="1:15" x14ac:dyDescent="0.3">
      <c r="A46" s="10" t="s">
        <v>82</v>
      </c>
      <c r="B46" t="s">
        <v>83</v>
      </c>
      <c r="C46">
        <v>699.56313828375414</v>
      </c>
      <c r="D46">
        <v>667.3506789450596</v>
      </c>
      <c r="E46">
        <v>660.19583306719153</v>
      </c>
      <c r="F46">
        <v>640.44185963172674</v>
      </c>
      <c r="G46">
        <v>620.46174528867095</v>
      </c>
      <c r="H46">
        <v>607.296628453273</v>
      </c>
      <c r="I46">
        <v>597.0076706904016</v>
      </c>
      <c r="J46">
        <v>590.17704931698324</v>
      </c>
      <c r="K46">
        <v>580.73887754750558</v>
      </c>
      <c r="L46">
        <v>574.37675106880806</v>
      </c>
      <c r="M46">
        <v>565.20362365963626</v>
      </c>
      <c r="N46">
        <v>559.03845890637831</v>
      </c>
      <c r="O46">
        <v>543.21729593852672</v>
      </c>
    </row>
    <row r="47" spans="1:15" x14ac:dyDescent="0.3">
      <c r="A47" s="10" t="s">
        <v>84</v>
      </c>
      <c r="B47" t="s">
        <v>85</v>
      </c>
      <c r="C47">
        <v>0.2184970838340668</v>
      </c>
      <c r="D47">
        <v>0.21776489172177271</v>
      </c>
      <c r="E47">
        <v>0.24046032438527459</v>
      </c>
      <c r="F47">
        <v>0.25513276254711081</v>
      </c>
      <c r="G47">
        <v>0.27917725753955491</v>
      </c>
      <c r="H47">
        <v>0.29644822310691188</v>
      </c>
      <c r="I47">
        <v>0.31866907013485002</v>
      </c>
      <c r="J47">
        <v>0.33421676711892828</v>
      </c>
      <c r="K47">
        <v>0.34771440275993931</v>
      </c>
      <c r="L47">
        <v>0.35703215745701911</v>
      </c>
      <c r="M47">
        <v>0.37160527357926049</v>
      </c>
      <c r="N47">
        <v>0.38149664003237121</v>
      </c>
      <c r="O47">
        <v>0.40352463938239741</v>
      </c>
    </row>
    <row r="48" spans="1:15" x14ac:dyDescent="0.3">
      <c r="A48" s="10" t="s">
        <v>86</v>
      </c>
      <c r="B48" t="s">
        <v>87</v>
      </c>
      <c r="C48">
        <v>0.21980783856378519</v>
      </c>
      <c r="D48">
        <v>0.21903952470289581</v>
      </c>
      <c r="E48">
        <v>0.24187546275691971</v>
      </c>
      <c r="F48">
        <v>0.25660143080285408</v>
      </c>
      <c r="G48">
        <v>0.28070947509432548</v>
      </c>
      <c r="H48">
        <v>0.29802290777742252</v>
      </c>
      <c r="I48">
        <v>0.32028605021253681</v>
      </c>
      <c r="J48">
        <v>0.33586135830060782</v>
      </c>
      <c r="K48">
        <v>0.349408870219306</v>
      </c>
      <c r="L48">
        <v>0.35876029078023552</v>
      </c>
      <c r="M48">
        <v>0.37337924960245711</v>
      </c>
      <c r="N48">
        <v>0.3833016129782536</v>
      </c>
      <c r="O48">
        <v>0.40541007608675161</v>
      </c>
    </row>
    <row r="49" spans="1:15" x14ac:dyDescent="0.3">
      <c r="A49" s="10" t="s">
        <v>88</v>
      </c>
      <c r="B49" t="s">
        <v>89</v>
      </c>
      <c r="C49">
        <v>-6.2488439978010117E-2</v>
      </c>
      <c r="D49">
        <v>-0.1562604608006303</v>
      </c>
      <c r="E49">
        <v>-0.13053240127703319</v>
      </c>
      <c r="F49">
        <v>-0.1112947725708984</v>
      </c>
      <c r="G49">
        <v>-0.12954709604063891</v>
      </c>
      <c r="H49">
        <v>-0.14154191678374781</v>
      </c>
      <c r="I49">
        <v>-0.16686478031568</v>
      </c>
      <c r="J49">
        <v>-0.18374119108473891</v>
      </c>
      <c r="K49">
        <v>-0.207460803865506</v>
      </c>
      <c r="L49">
        <v>-0.22332183610877959</v>
      </c>
      <c r="M49">
        <v>-0.24472185868384691</v>
      </c>
      <c r="N49">
        <v>-0.25902676199709862</v>
      </c>
      <c r="O49">
        <v>-0.28650144141024952</v>
      </c>
    </row>
    <row r="50" spans="1:15" x14ac:dyDescent="0.3">
      <c r="A50" s="10" t="s">
        <v>90</v>
      </c>
      <c r="B50" t="s">
        <v>91</v>
      </c>
      <c r="C50">
        <v>-9.8503194805641403E-3</v>
      </c>
      <c r="D50">
        <v>-0.1226341213572775</v>
      </c>
      <c r="E50">
        <v>-8.7602939191480655E-2</v>
      </c>
      <c r="F50">
        <v>-6.2221998814730672E-2</v>
      </c>
      <c r="G50">
        <v>-8.2923808184645842E-2</v>
      </c>
      <c r="H50">
        <v>-9.661476731043217E-2</v>
      </c>
      <c r="I50">
        <v>-0.12402117720795949</v>
      </c>
      <c r="J50">
        <v>-0.14234018072604199</v>
      </c>
      <c r="K50">
        <v>-0.16729238763952661</v>
      </c>
      <c r="L50">
        <v>-0.18399831403848399</v>
      </c>
      <c r="M50">
        <v>-0.206465941263551</v>
      </c>
      <c r="N50">
        <v>-0.22150696510134649</v>
      </c>
      <c r="O50">
        <v>-0.25168533396149628</v>
      </c>
    </row>
    <row r="51" spans="1:15" x14ac:dyDescent="0.3">
      <c r="A51" s="10" t="s">
        <v>92</v>
      </c>
      <c r="B51" t="s">
        <v>93</v>
      </c>
      <c r="C51">
        <v>-0.2278390311908349</v>
      </c>
      <c r="D51">
        <v>-0.53777138520927059</v>
      </c>
      <c r="E51">
        <v>-0.34895570839381429</v>
      </c>
      <c r="F51">
        <v>-0.24312236462102149</v>
      </c>
      <c r="G51">
        <v>-0.2565491368145536</v>
      </c>
      <c r="H51">
        <v>-0.26549254503081471</v>
      </c>
      <c r="I51">
        <v>-0.27997767460370188</v>
      </c>
      <c r="J51">
        <v>-0.2896216028377725</v>
      </c>
      <c r="K51">
        <v>-0.30475334978145979</v>
      </c>
      <c r="L51">
        <v>-0.31481911273489332</v>
      </c>
      <c r="M51">
        <v>-0.33025606953537773</v>
      </c>
      <c r="N51">
        <v>-0.34052088233285999</v>
      </c>
      <c r="O51">
        <v>-0.36605764011526137</v>
      </c>
    </row>
    <row r="52" spans="1:15" x14ac:dyDescent="0.3">
      <c r="A52" s="10" t="s">
        <v>94</v>
      </c>
      <c r="B52" t="s">
        <v>95</v>
      </c>
      <c r="C52">
        <v>-1.003612645179908E-2</v>
      </c>
      <c r="D52">
        <v>-8.1206745845185502E-2</v>
      </c>
      <c r="E52">
        <v>-0.150128034801808</v>
      </c>
      <c r="F52">
        <v>-0.17836614114537211</v>
      </c>
      <c r="G52">
        <v>-0.2054897701641282</v>
      </c>
      <c r="H52">
        <v>-0.2236019447474791</v>
      </c>
      <c r="I52">
        <v>-0.23543726480722929</v>
      </c>
      <c r="J52">
        <v>-0.24347690637881281</v>
      </c>
      <c r="K52">
        <v>-0.24605809581677829</v>
      </c>
      <c r="L52">
        <v>-0.24796216811730221</v>
      </c>
      <c r="M52">
        <v>-0.25715789575045972</v>
      </c>
      <c r="N52">
        <v>-0.26344545446699003</v>
      </c>
      <c r="O52">
        <v>-0.2171579011131772</v>
      </c>
    </row>
    <row r="53" spans="1:15" x14ac:dyDescent="0.3">
      <c r="A53" s="10" t="s">
        <v>96</v>
      </c>
      <c r="B53" t="s">
        <v>97</v>
      </c>
      <c r="C53">
        <v>-4.6051921428245428E-2</v>
      </c>
      <c r="D53">
        <v>-0.1173845745309027</v>
      </c>
      <c r="E53">
        <v>0.28434625078341269</v>
      </c>
      <c r="F53">
        <v>0.30536323349349792</v>
      </c>
      <c r="G53">
        <v>0.28814910372520908</v>
      </c>
      <c r="H53">
        <v>0.27966205269550759</v>
      </c>
      <c r="I53">
        <v>0.28718234066939557</v>
      </c>
      <c r="J53">
        <v>0.29281984495729652</v>
      </c>
      <c r="K53">
        <v>0.28013925067073481</v>
      </c>
      <c r="L53">
        <v>0.27169954007870611</v>
      </c>
      <c r="M53">
        <v>0.2688083097935472</v>
      </c>
      <c r="N53">
        <v>0.26623108793889411</v>
      </c>
      <c r="O53">
        <v>0.24640825403468439</v>
      </c>
    </row>
    <row r="54" spans="1:15" x14ac:dyDescent="0.3">
      <c r="A54" s="10" t="s">
        <v>98</v>
      </c>
      <c r="B54" t="s">
        <v>99</v>
      </c>
      <c r="C54">
        <v>138.93928310033999</v>
      </c>
      <c r="D54">
        <v>128.54992553848291</v>
      </c>
      <c r="E54">
        <v>187.0606496777323</v>
      </c>
      <c r="F54">
        <v>190.12170150672009</v>
      </c>
      <c r="G54">
        <v>187.61452223467509</v>
      </c>
      <c r="H54">
        <v>186.37841220710609</v>
      </c>
      <c r="I54">
        <v>187.4737164938598</v>
      </c>
      <c r="J54">
        <v>188.2947997601616</v>
      </c>
      <c r="K54">
        <v>186.4479144641621</v>
      </c>
      <c r="L54">
        <v>185.2186994098308</v>
      </c>
      <c r="M54">
        <v>184.79760158268351</v>
      </c>
      <c r="N54">
        <v>184.42223801215019</v>
      </c>
      <c r="O54">
        <v>181.53510988271199</v>
      </c>
    </row>
    <row r="55" spans="1:15" x14ac:dyDescent="0.3">
      <c r="A55" s="10" t="s">
        <v>100</v>
      </c>
      <c r="B55" t="s">
        <v>101</v>
      </c>
      <c r="C55">
        <v>-2.8493057263943359E-2</v>
      </c>
      <c r="D55">
        <v>-0.13849347222414429</v>
      </c>
      <c r="E55">
        <v>-0.1161734854251523</v>
      </c>
      <c r="F55">
        <v>-4.3129971823925313E-2</v>
      </c>
      <c r="G55">
        <v>-4.3129971823925313E-2</v>
      </c>
      <c r="H55">
        <v>-4.3129971823925313E-2</v>
      </c>
      <c r="I55">
        <v>-9.9008259728863957E-2</v>
      </c>
      <c r="J55">
        <v>-0.1362604516654897</v>
      </c>
      <c r="K55">
        <v>-0.19213873957042851</v>
      </c>
      <c r="L55">
        <v>-0.22939093150705431</v>
      </c>
      <c r="M55">
        <v>-0.28526921941199301</v>
      </c>
      <c r="N55">
        <v>-0.32252141134861889</v>
      </c>
      <c r="O55">
        <v>-0.41565189119018331</v>
      </c>
    </row>
    <row r="56" spans="1:15" x14ac:dyDescent="0.3">
      <c r="A56" s="10" t="s">
        <v>102</v>
      </c>
      <c r="B56" t="s">
        <v>103</v>
      </c>
      <c r="C56">
        <v>0.57674665698021155</v>
      </c>
      <c r="D56">
        <v>0.68040144875096153</v>
      </c>
      <c r="E56">
        <v>0.77711005201293948</v>
      </c>
      <c r="F56">
        <v>0.95955777038491119</v>
      </c>
      <c r="G56">
        <v>1.180200324223472</v>
      </c>
      <c r="H56">
        <v>1.303546056471695</v>
      </c>
      <c r="I56">
        <v>1.565928125755006</v>
      </c>
      <c r="J56">
        <v>1.742391939678567</v>
      </c>
      <c r="K56">
        <v>1.98916706372399</v>
      </c>
      <c r="L56">
        <v>2.154340274621283</v>
      </c>
      <c r="M56">
        <v>2.4017085815885091</v>
      </c>
      <c r="N56">
        <v>2.5672827996316401</v>
      </c>
      <c r="O56">
        <v>2.9093195796272102</v>
      </c>
    </row>
    <row r="57" spans="1:15" x14ac:dyDescent="0.3">
      <c r="A57" s="10" t="s">
        <v>104</v>
      </c>
      <c r="B57" t="s">
        <v>105</v>
      </c>
      <c r="C57">
        <v>0.22295074653156899</v>
      </c>
      <c r="D57">
        <v>0.22719965569051601</v>
      </c>
      <c r="E57">
        <v>0.49718356576814232</v>
      </c>
      <c r="F57">
        <v>0.5879266205812419</v>
      </c>
      <c r="G57">
        <v>0.67344888858352148</v>
      </c>
      <c r="H57">
        <v>0.7219037954448535</v>
      </c>
      <c r="I57">
        <v>0.83950541871726592</v>
      </c>
      <c r="J57">
        <v>0.91892718431024645</v>
      </c>
      <c r="K57">
        <v>1.018312164462039</v>
      </c>
      <c r="L57">
        <v>1.084860324253837</v>
      </c>
      <c r="M57">
        <v>1.1900626021062779</v>
      </c>
      <c r="N57">
        <v>1.260114296761647</v>
      </c>
      <c r="O57">
        <v>1.3965879043404961</v>
      </c>
    </row>
    <row r="58" spans="1:15" x14ac:dyDescent="0.3">
      <c r="A58" s="10" t="s">
        <v>106</v>
      </c>
      <c r="B58" t="s">
        <v>107</v>
      </c>
      <c r="C58">
        <v>-9.1512493240742065E-2</v>
      </c>
      <c r="D58">
        <v>-0.1985848340544121</v>
      </c>
      <c r="E58">
        <v>-0.22746929500003199</v>
      </c>
      <c r="F58">
        <v>-0.2396131854632173</v>
      </c>
      <c r="G58">
        <v>-0.28712435001535408</v>
      </c>
      <c r="H58">
        <v>-0.31886919782832251</v>
      </c>
      <c r="I58">
        <v>-0.35304495038952832</v>
      </c>
      <c r="J58">
        <v>-0.37594649695434501</v>
      </c>
      <c r="K58">
        <v>-0.40240241912190672</v>
      </c>
      <c r="L58">
        <v>-0.42011130803924313</v>
      </c>
      <c r="M58">
        <v>-0.44052444705262089</v>
      </c>
      <c r="N58">
        <v>-0.45413321091621561</v>
      </c>
      <c r="O58">
        <v>-0.45710479554083677</v>
      </c>
    </row>
    <row r="59" spans="1:15" x14ac:dyDescent="0.3">
      <c r="A59" s="10" t="s">
        <v>108</v>
      </c>
      <c r="B59" t="s">
        <v>109</v>
      </c>
      <c r="C59">
        <v>0.45218582230276438</v>
      </c>
      <c r="D59">
        <v>0.45724925644768272</v>
      </c>
      <c r="E59">
        <v>0.46980603775020779</v>
      </c>
      <c r="F59">
        <v>0.48584632962743057</v>
      </c>
      <c r="G59">
        <v>0.50065922730202828</v>
      </c>
      <c r="H59">
        <v>0.51073470670303756</v>
      </c>
      <c r="I59">
        <v>0.51364708997298458</v>
      </c>
      <c r="J59">
        <v>0.51565420015187402</v>
      </c>
      <c r="K59">
        <v>0.51710134198175728</v>
      </c>
      <c r="L59">
        <v>0.5180978236109488</v>
      </c>
      <c r="M59">
        <v>0.51660981606662459</v>
      </c>
      <c r="N59">
        <v>0.51555480268937004</v>
      </c>
      <c r="O59">
        <v>0.49715672011801909</v>
      </c>
    </row>
    <row r="60" spans="1:15" x14ac:dyDescent="0.3">
      <c r="A60" s="10" t="s">
        <v>110</v>
      </c>
      <c r="B60" t="s">
        <v>111</v>
      </c>
      <c r="C60">
        <v>0.47186541645575952</v>
      </c>
      <c r="D60">
        <v>0.462514098963417</v>
      </c>
      <c r="E60">
        <v>0.43265145465179411</v>
      </c>
      <c r="F60">
        <v>0.4166320382528575</v>
      </c>
      <c r="G60">
        <v>0.39879005813148638</v>
      </c>
      <c r="H60">
        <v>0.38635563147126822</v>
      </c>
      <c r="I60">
        <v>0.37812416554580969</v>
      </c>
      <c r="J60">
        <v>0.37228005118510887</v>
      </c>
      <c r="K60">
        <v>0.36716722010491443</v>
      </c>
      <c r="L60">
        <v>0.36356273794590171</v>
      </c>
      <c r="M60">
        <v>0.36070321978216469</v>
      </c>
      <c r="N60">
        <v>0.35872361734651209</v>
      </c>
      <c r="O60">
        <v>0.37050896944818928</v>
      </c>
    </row>
    <row r="61" spans="1:15" x14ac:dyDescent="0.3">
      <c r="A61" s="10" t="s">
        <v>112</v>
      </c>
      <c r="B61" t="s">
        <v>113</v>
      </c>
      <c r="C61">
        <v>-4.3866286555194201E-2</v>
      </c>
      <c r="D61">
        <v>-0.117778180292249</v>
      </c>
      <c r="E61">
        <v>-0.1024700912696067</v>
      </c>
      <c r="F61">
        <v>-0.1040804012856434</v>
      </c>
      <c r="G61">
        <v>-0.13094863186319311</v>
      </c>
      <c r="H61">
        <v>-0.14883537476113989</v>
      </c>
      <c r="I61">
        <v>-0.16223084105925961</v>
      </c>
      <c r="J61">
        <v>-0.1711900583984286</v>
      </c>
      <c r="K61">
        <v>-0.1821445700558201</v>
      </c>
      <c r="L61">
        <v>-0.18955762299765391</v>
      </c>
      <c r="M61">
        <v>-0.19641783287343209</v>
      </c>
      <c r="N61">
        <v>-0.20107654780496159</v>
      </c>
      <c r="O61">
        <v>-0.20602465805847159</v>
      </c>
    </row>
    <row r="62" spans="1:15" x14ac:dyDescent="0.3">
      <c r="A62" s="10" t="s">
        <v>114</v>
      </c>
      <c r="B62" t="s">
        <v>115</v>
      </c>
      <c r="C62">
        <v>3.6757308387042942E-2</v>
      </c>
      <c r="D62">
        <v>-6.8915515892013279E-2</v>
      </c>
      <c r="E62">
        <v>-3.7926968941875083E-2</v>
      </c>
      <c r="F62">
        <v>-2.986990198238337E-2</v>
      </c>
      <c r="G62">
        <v>-6.1331449779611913E-2</v>
      </c>
      <c r="H62">
        <v>-8.2405691713865248E-2</v>
      </c>
      <c r="I62">
        <v>-9.8498722531211946E-2</v>
      </c>
      <c r="J62">
        <v>-0.10935525136155171</v>
      </c>
      <c r="K62">
        <v>-0.1214483281048107</v>
      </c>
      <c r="L62">
        <v>-0.1296649203000606</v>
      </c>
      <c r="M62">
        <v>-0.1373079965942576</v>
      </c>
      <c r="N62">
        <v>-0.14253467389493241</v>
      </c>
      <c r="O62">
        <v>-0.15069220251619511</v>
      </c>
    </row>
    <row r="63" spans="1:15" x14ac:dyDescent="0.3">
      <c r="A63" s="10" t="s">
        <v>116</v>
      </c>
      <c r="B63" t="s">
        <v>117</v>
      </c>
      <c r="C63">
        <v>137.15318764534641</v>
      </c>
      <c r="D63">
        <v>126.1150539111176</v>
      </c>
      <c r="E63">
        <v>140.3690247679416</v>
      </c>
      <c r="F63">
        <v>144.16304609396039</v>
      </c>
      <c r="G63">
        <v>144.52835886836721</v>
      </c>
      <c r="H63">
        <v>144.84569159797081</v>
      </c>
      <c r="I63">
        <v>147.45022305230989</v>
      </c>
      <c r="J63">
        <v>149.21929653346751</v>
      </c>
      <c r="K63">
        <v>148.625326278128</v>
      </c>
      <c r="L63">
        <v>148.18562043577239</v>
      </c>
      <c r="M63">
        <v>148.86638679066999</v>
      </c>
      <c r="N63">
        <v>149.18742693283031</v>
      </c>
      <c r="O63">
        <v>147.23775288864411</v>
      </c>
    </row>
    <row r="64" spans="1:15" x14ac:dyDescent="0.3">
      <c r="A64" s="10" t="s">
        <v>118</v>
      </c>
      <c r="B64" t="s">
        <v>155</v>
      </c>
      <c r="C64">
        <v>8.6534480614723727E-2</v>
      </c>
      <c r="D64">
        <v>8.6236486209261748E-2</v>
      </c>
      <c r="E64">
        <v>9.4346169081122672E-2</v>
      </c>
      <c r="F64">
        <v>9.7070402508226766E-2</v>
      </c>
      <c r="G64">
        <v>0.1003250860853195</v>
      </c>
      <c r="H64">
        <v>0.10265826811978269</v>
      </c>
      <c r="I64">
        <v>0.1061751743384704</v>
      </c>
      <c r="J64">
        <v>0.1086105352220868</v>
      </c>
      <c r="K64">
        <v>0.10962716848374569</v>
      </c>
      <c r="L64">
        <v>0.1103026226165358</v>
      </c>
      <c r="M64">
        <v>0.1117553375095643</v>
      </c>
      <c r="N64">
        <v>0.11264942288003719</v>
      </c>
      <c r="O64">
        <v>0.11187011464208101</v>
      </c>
    </row>
    <row r="65" spans="1:15" x14ac:dyDescent="0.3">
      <c r="A65" s="10" t="s">
        <v>119</v>
      </c>
      <c r="B65" t="s">
        <v>120</v>
      </c>
      <c r="C65">
        <v>1E-3</v>
      </c>
      <c r="D65">
        <v>1E-3</v>
      </c>
      <c r="E65">
        <v>1.24E-2</v>
      </c>
      <c r="F65">
        <v>0.02</v>
      </c>
      <c r="G65">
        <v>0.02</v>
      </c>
      <c r="H65">
        <v>0.02</v>
      </c>
      <c r="I65">
        <v>0.02</v>
      </c>
      <c r="J65">
        <v>0.02</v>
      </c>
      <c r="K65">
        <v>0.02</v>
      </c>
      <c r="L65">
        <v>0.02</v>
      </c>
      <c r="M65">
        <v>0.02</v>
      </c>
      <c r="N65">
        <v>0.02</v>
      </c>
      <c r="O65">
        <v>0.02</v>
      </c>
    </row>
    <row r="66" spans="1:15" x14ac:dyDescent="0.3">
      <c r="A66" s="10" t="s">
        <v>121</v>
      </c>
      <c r="B66" t="s">
        <v>156</v>
      </c>
      <c r="C66">
        <v>0.20907449391760349</v>
      </c>
      <c r="D66">
        <v>0.21244999451497409</v>
      </c>
      <c r="E66">
        <v>0.21591406649593289</v>
      </c>
      <c r="F66">
        <v>0.20978462608331749</v>
      </c>
      <c r="G66">
        <v>0.20890201711079831</v>
      </c>
      <c r="H66">
        <v>0.20824741848957631</v>
      </c>
      <c r="I66">
        <v>0.20744737599650279</v>
      </c>
      <c r="J66">
        <v>0.20685625820697101</v>
      </c>
      <c r="K66">
        <v>0.20817029502643261</v>
      </c>
      <c r="L66">
        <v>0.20902936812057399</v>
      </c>
      <c r="M66">
        <v>0.20725111979823391</v>
      </c>
      <c r="N66">
        <v>0.2060132041365855</v>
      </c>
      <c r="O66">
        <v>0.19831450287944949</v>
      </c>
    </row>
    <row r="67" spans="1:15" x14ac:dyDescent="0.3">
      <c r="A67" s="10" t="s">
        <v>122</v>
      </c>
      <c r="B67" t="s">
        <v>123</v>
      </c>
      <c r="C67">
        <v>0</v>
      </c>
      <c r="D67">
        <v>9.6078082493373324E-2</v>
      </c>
      <c r="E67">
        <v>0.37344129486083988</v>
      </c>
      <c r="F67">
        <v>0.52347101593017586</v>
      </c>
      <c r="G67">
        <v>0.76755388251707457</v>
      </c>
      <c r="H67">
        <v>0.92772767099831632</v>
      </c>
      <c r="I67">
        <v>2.158490918472276</v>
      </c>
      <c r="J67">
        <v>2.978619991058983</v>
      </c>
      <c r="K67">
        <v>4.3115361214141208</v>
      </c>
      <c r="L67">
        <v>5.2053615669928606</v>
      </c>
      <c r="M67">
        <v>6.4147376239259613</v>
      </c>
      <c r="N67">
        <v>7.2275737072617634</v>
      </c>
      <c r="O67">
        <v>8.7886622085873967</v>
      </c>
    </row>
    <row r="68" spans="1:15" x14ac:dyDescent="0.3">
      <c r="A68" s="10" t="s">
        <v>124</v>
      </c>
      <c r="B68" t="s">
        <v>125</v>
      </c>
      <c r="C68">
        <v>0</v>
      </c>
      <c r="D68">
        <v>1.891598896185193E-2</v>
      </c>
      <c r="E68">
        <v>3.2938234321267537E-2</v>
      </c>
      <c r="F68">
        <v>4.2107759255747577E-2</v>
      </c>
      <c r="G68">
        <v>4.6500492490443711E-2</v>
      </c>
      <c r="H68">
        <v>4.9315282230307671E-2</v>
      </c>
      <c r="I68">
        <v>5.4508750714669388E-2</v>
      </c>
      <c r="J68">
        <v>5.8154563648865308E-2</v>
      </c>
      <c r="K68">
        <v>6.3885994654956674E-2</v>
      </c>
      <c r="L68">
        <v>6.7877784838273961E-2</v>
      </c>
      <c r="M68">
        <v>7.4111763328231203E-2</v>
      </c>
      <c r="N68">
        <v>7.8427342231519911E-2</v>
      </c>
      <c r="O68">
        <v>8.6964768085659561E-2</v>
      </c>
    </row>
    <row r="69" spans="1:15" x14ac:dyDescent="0.3">
      <c r="A69" s="10" t="s">
        <v>126</v>
      </c>
      <c r="B69" t="s">
        <v>127</v>
      </c>
      <c r="C69">
        <v>0</v>
      </c>
      <c r="D69">
        <v>0</v>
      </c>
      <c r="E69">
        <v>9.2484938912510591E-3</v>
      </c>
      <c r="F69">
        <v>1.6680577363572559E-2</v>
      </c>
      <c r="G69">
        <v>2.7275265813315831E-2</v>
      </c>
      <c r="H69">
        <v>3.5193193790883058E-2</v>
      </c>
      <c r="I69">
        <v>6.2725778978977353E-2</v>
      </c>
      <c r="J69">
        <v>8.3871355713042273E-2</v>
      </c>
      <c r="K69">
        <v>0.12426810274150681</v>
      </c>
      <c r="L69">
        <v>0.15479577929628149</v>
      </c>
      <c r="M69">
        <v>0.1974054424674814</v>
      </c>
      <c r="N69">
        <v>0.22893612206062389</v>
      </c>
      <c r="O69">
        <v>0.27445234089256743</v>
      </c>
    </row>
    <row r="70" spans="1:15" x14ac:dyDescent="0.3">
      <c r="A70" s="10" t="s">
        <v>128</v>
      </c>
      <c r="B70" t="s">
        <v>129</v>
      </c>
      <c r="C70">
        <v>0</v>
      </c>
      <c r="D70">
        <v>5.658613390703926E-2</v>
      </c>
      <c r="E70">
        <v>7.7491989674239925E-2</v>
      </c>
      <c r="F70">
        <v>9.0759571727645885E-2</v>
      </c>
      <c r="G70">
        <v>0.1000237935175156</v>
      </c>
      <c r="H70">
        <v>0.1061838225682631</v>
      </c>
      <c r="I70">
        <v>0.11104459142935889</v>
      </c>
      <c r="J70">
        <v>0.1142096785863994</v>
      </c>
      <c r="K70">
        <v>0.1188494168477236</v>
      </c>
      <c r="L70">
        <v>0.12187602986971879</v>
      </c>
      <c r="M70">
        <v>0.12632169187947609</v>
      </c>
      <c r="N70">
        <v>0.1292264935368605</v>
      </c>
      <c r="O70">
        <v>0.13287199701134919</v>
      </c>
    </row>
    <row r="71" spans="1:15" x14ac:dyDescent="0.3">
      <c r="A71" s="10" t="s">
        <v>130</v>
      </c>
      <c r="B71" t="s">
        <v>131</v>
      </c>
      <c r="C71">
        <v>0</v>
      </c>
      <c r="D71">
        <v>0</v>
      </c>
      <c r="E71">
        <v>2.1758427793451871E-2</v>
      </c>
      <c r="F71">
        <v>3.5953517462011801E-2</v>
      </c>
      <c r="G71">
        <v>5.8669820677858857E-2</v>
      </c>
      <c r="H71">
        <v>7.5776669545348563E-2</v>
      </c>
      <c r="I71">
        <v>0.1277842256057117</v>
      </c>
      <c r="J71">
        <v>0.16471485602452851</v>
      </c>
      <c r="K71">
        <v>0.2311804273122513</v>
      </c>
      <c r="L71">
        <v>0.27793916766980548</v>
      </c>
      <c r="M71">
        <v>0.33647275896362039</v>
      </c>
      <c r="N71">
        <v>0.37722319099487578</v>
      </c>
      <c r="O71">
        <v>0.41933108569800698</v>
      </c>
    </row>
    <row r="72" spans="1:15" x14ac:dyDescent="0.3">
      <c r="A72" s="10" t="s">
        <v>132</v>
      </c>
      <c r="B72" t="s">
        <v>133</v>
      </c>
      <c r="C72">
        <v>0</v>
      </c>
      <c r="D72">
        <v>8.7602805643015327E-2</v>
      </c>
      <c r="E72">
        <v>9.4851897632518112E-2</v>
      </c>
      <c r="F72">
        <v>9.9272595535062666E-2</v>
      </c>
      <c r="G72">
        <v>0.1041938931246279</v>
      </c>
      <c r="H72">
        <v>0.10794696518659951</v>
      </c>
      <c r="I72">
        <v>0.1179415475097782</v>
      </c>
      <c r="J72">
        <v>0.12619749246245429</v>
      </c>
      <c r="K72">
        <v>0.14049852660858261</v>
      </c>
      <c r="L72">
        <v>0.15170977654789131</v>
      </c>
      <c r="M72">
        <v>0.1668280338548139</v>
      </c>
      <c r="N72">
        <v>0.1780066220244845</v>
      </c>
      <c r="O72">
        <v>0.19697420636780741</v>
      </c>
    </row>
    <row r="73" spans="1:15" x14ac:dyDescent="0.3">
      <c r="A73" s="10" t="s">
        <v>134</v>
      </c>
      <c r="B73" t="s">
        <v>135</v>
      </c>
      <c r="C73">
        <v>0.54900671679390767</v>
      </c>
      <c r="D73">
        <v>0.5565347824416973</v>
      </c>
      <c r="E73">
        <v>0.58085279728950945</v>
      </c>
      <c r="F73">
        <v>0.61182308525042983</v>
      </c>
      <c r="G73">
        <v>0.63317102555883265</v>
      </c>
      <c r="H73">
        <v>0.64691251923133886</v>
      </c>
      <c r="I73">
        <v>0.64961525839206669</v>
      </c>
      <c r="J73">
        <v>0.65161421299417976</v>
      </c>
      <c r="K73">
        <v>0.6508242796684548</v>
      </c>
      <c r="L73">
        <v>0.65034352853077304</v>
      </c>
      <c r="M73">
        <v>0.64972892752578992</v>
      </c>
      <c r="N73">
        <v>0.64932324015324228</v>
      </c>
      <c r="O73">
        <v>0.63601242658034618</v>
      </c>
    </row>
    <row r="74" spans="1:15" x14ac:dyDescent="0.3">
      <c r="A74" s="10" t="s">
        <v>136</v>
      </c>
      <c r="B74" t="s">
        <v>137</v>
      </c>
      <c r="C74">
        <v>0</v>
      </c>
      <c r="D74">
        <v>0.19410008231907511</v>
      </c>
      <c r="E74">
        <v>0.20556987451297451</v>
      </c>
      <c r="F74">
        <v>0.21088492663977951</v>
      </c>
      <c r="G74">
        <v>0.22862360580104341</v>
      </c>
      <c r="H74">
        <v>0.24032829072854001</v>
      </c>
      <c r="I74">
        <v>0.26484542276356482</v>
      </c>
      <c r="J74">
        <v>0.28218286782068591</v>
      </c>
      <c r="K74">
        <v>0.30439667136536158</v>
      </c>
      <c r="L74">
        <v>0.31995422014409608</v>
      </c>
      <c r="M74">
        <v>0.34263080414260733</v>
      </c>
      <c r="N74">
        <v>0.3582386516870702</v>
      </c>
      <c r="O74">
        <v>0.38525733016404401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O74"/>
  <sheetViews>
    <sheetView workbookViewId="0">
      <selection activeCell="C2" sqref="C2:O77"/>
    </sheetView>
  </sheetViews>
  <sheetFormatPr baseColWidth="10" defaultColWidth="8.88671875" defaultRowHeight="14.4" x14ac:dyDescent="0.3"/>
  <sheetData>
    <row r="1" spans="1:15" x14ac:dyDescent="0.3">
      <c r="A1" s="10" t="s">
        <v>0</v>
      </c>
      <c r="B1" s="10" t="s">
        <v>1</v>
      </c>
      <c r="C1" s="1">
        <v>2019</v>
      </c>
      <c r="D1" s="1">
        <v>2020</v>
      </c>
      <c r="E1" s="1">
        <v>2023</v>
      </c>
      <c r="F1" s="1">
        <v>2025</v>
      </c>
      <c r="G1" s="1">
        <v>2028</v>
      </c>
      <c r="H1" s="1">
        <v>2030</v>
      </c>
      <c r="I1" s="1">
        <v>2033</v>
      </c>
      <c r="J1" s="1">
        <v>2035</v>
      </c>
      <c r="K1" s="1">
        <v>2038</v>
      </c>
      <c r="L1" s="1">
        <v>2040</v>
      </c>
      <c r="M1" s="1">
        <v>2043</v>
      </c>
      <c r="N1" s="1">
        <v>2045</v>
      </c>
      <c r="O1" s="1">
        <v>2050</v>
      </c>
    </row>
    <row r="2" spans="1:15" x14ac:dyDescent="0.3">
      <c r="A2" s="10" t="s">
        <v>2</v>
      </c>
      <c r="B2" t="s">
        <v>3</v>
      </c>
      <c r="C2">
        <v>110.73989180324401</v>
      </c>
      <c r="D2">
        <v>110.73989180324401</v>
      </c>
      <c r="E2">
        <v>110.73989180324401</v>
      </c>
      <c r="F2">
        <v>110.73989180324401</v>
      </c>
      <c r="G2">
        <v>110.73989180324401</v>
      </c>
      <c r="H2">
        <v>110.73989180324401</v>
      </c>
      <c r="I2">
        <v>110.73989180324401</v>
      </c>
      <c r="J2">
        <v>110.73989180324401</v>
      </c>
      <c r="K2">
        <v>110.73989180324401</v>
      </c>
      <c r="L2">
        <v>110.73989180324401</v>
      </c>
      <c r="M2">
        <v>110.73989180324401</v>
      </c>
      <c r="N2">
        <v>110.73989180324401</v>
      </c>
      <c r="O2">
        <v>110.73989180324401</v>
      </c>
    </row>
    <row r="3" spans="1:15" x14ac:dyDescent="0.3">
      <c r="A3" s="10" t="s">
        <v>4</v>
      </c>
      <c r="B3" t="s">
        <v>5</v>
      </c>
      <c r="C3">
        <v>-0.22575246550845679</v>
      </c>
      <c r="D3">
        <v>-0.3189804278479349</v>
      </c>
      <c r="E3">
        <v>-0.31435441216177068</v>
      </c>
      <c r="F3">
        <v>-0.35269832718108768</v>
      </c>
      <c r="G3">
        <v>-0.47003052541914342</v>
      </c>
      <c r="H3">
        <v>-0.54715380729998431</v>
      </c>
      <c r="I3">
        <v>-0.63942370128982662</v>
      </c>
      <c r="J3">
        <v>-0.70012792104917065</v>
      </c>
      <c r="K3">
        <v>-0.7797743624611434</v>
      </c>
      <c r="L3">
        <v>-0.8307321760678249</v>
      </c>
      <c r="M3">
        <v>-0.87746429916163526</v>
      </c>
      <c r="N3">
        <v>-0.90672197401587895</v>
      </c>
      <c r="O3">
        <v>-0.97094721525733485</v>
      </c>
    </row>
    <row r="4" spans="1:15" x14ac:dyDescent="0.3">
      <c r="A4" s="10" t="s">
        <v>6</v>
      </c>
      <c r="B4" t="s">
        <v>7</v>
      </c>
      <c r="C4">
        <v>-0.2322620497010969</v>
      </c>
      <c r="D4">
        <v>-0.30911526898431357</v>
      </c>
      <c r="E4">
        <v>-0.34223719392817448</v>
      </c>
      <c r="F4">
        <v>-0.37972118525852511</v>
      </c>
      <c r="G4">
        <v>-0.46573671143340672</v>
      </c>
      <c r="H4">
        <v>-0.52272969945372361</v>
      </c>
      <c r="I4">
        <v>-0.59158127329547638</v>
      </c>
      <c r="J4">
        <v>-0.63747710249505007</v>
      </c>
      <c r="K4">
        <v>-0.6983809214538359</v>
      </c>
      <c r="L4">
        <v>-0.73746148063842898</v>
      </c>
      <c r="M4">
        <v>-0.7752678058723157</v>
      </c>
      <c r="N4">
        <v>-0.79850448294468301</v>
      </c>
      <c r="O4">
        <v>-0.84530316440998288</v>
      </c>
    </row>
    <row r="5" spans="1:15" x14ac:dyDescent="0.3">
      <c r="A5" s="10" t="s">
        <v>8</v>
      </c>
      <c r="B5" t="s">
        <v>9</v>
      </c>
      <c r="C5">
        <v>-0.26142982252843477</v>
      </c>
      <c r="D5">
        <v>-0.34258720909171148</v>
      </c>
      <c r="E5">
        <v>-0.38013243970038108</v>
      </c>
      <c r="F5">
        <v>-0.42060969195710629</v>
      </c>
      <c r="G5">
        <v>-0.51484611114764378</v>
      </c>
      <c r="H5">
        <v>-0.57736425386851842</v>
      </c>
      <c r="I5">
        <v>-0.65000876931491147</v>
      </c>
      <c r="J5">
        <v>-0.69845718542259361</v>
      </c>
      <c r="K5">
        <v>-0.76320541404645625</v>
      </c>
      <c r="L5">
        <v>-0.80484698379582431</v>
      </c>
      <c r="M5">
        <v>-0.84689782649469081</v>
      </c>
      <c r="N5">
        <v>-0.87288782243448848</v>
      </c>
      <c r="O5">
        <v>-0.9262904902459197</v>
      </c>
    </row>
    <row r="6" spans="1:15" x14ac:dyDescent="0.3">
      <c r="A6" s="10" t="s">
        <v>10</v>
      </c>
      <c r="B6" t="s">
        <v>11</v>
      </c>
      <c r="C6">
        <v>-0.26142982252843477</v>
      </c>
      <c r="D6">
        <v>-0.34258720909171148</v>
      </c>
      <c r="E6">
        <v>-0.38013243970038108</v>
      </c>
      <c r="F6">
        <v>-0.42060969195710629</v>
      </c>
      <c r="G6">
        <v>-0.51484611114764378</v>
      </c>
      <c r="H6">
        <v>-0.57736425386851842</v>
      </c>
      <c r="I6">
        <v>-0.65000876931491147</v>
      </c>
      <c r="J6">
        <v>-0.69845718542259361</v>
      </c>
      <c r="K6">
        <v>-0.76320541404645625</v>
      </c>
      <c r="L6">
        <v>-0.80484698379582431</v>
      </c>
      <c r="M6">
        <v>-0.84689782649469081</v>
      </c>
      <c r="N6">
        <v>-0.87288782243448848</v>
      </c>
      <c r="O6">
        <v>-0.9262904902459197</v>
      </c>
    </row>
    <row r="7" spans="1:15" x14ac:dyDescent="0.3">
      <c r="A7" s="10" t="s">
        <v>12</v>
      </c>
      <c r="B7" t="s">
        <v>13</v>
      </c>
      <c r="C7">
        <v>-0.20935113258499241</v>
      </c>
      <c r="D7">
        <v>-0.30909945673101402</v>
      </c>
      <c r="E7">
        <v>-0.32626429433284732</v>
      </c>
      <c r="F7">
        <v>-0.35263683013999081</v>
      </c>
      <c r="G7">
        <v>-0.43646281828943778</v>
      </c>
      <c r="H7">
        <v>-0.49200677257186831</v>
      </c>
      <c r="I7">
        <v>-0.56171599346958589</v>
      </c>
      <c r="J7">
        <v>-0.60818417811572323</v>
      </c>
      <c r="K7">
        <v>-0.66976444820284986</v>
      </c>
      <c r="L7">
        <v>-0.70934261281339528</v>
      </c>
      <c r="M7">
        <v>-0.74754289262150975</v>
      </c>
      <c r="N7">
        <v>-0.77110259275548509</v>
      </c>
      <c r="O7">
        <v>-0.82612247192354149</v>
      </c>
    </row>
    <row r="8" spans="1:15" x14ac:dyDescent="0.3">
      <c r="A8" s="10" t="s">
        <v>14</v>
      </c>
      <c r="B8" t="s">
        <v>15</v>
      </c>
      <c r="C8">
        <v>-0.23763783655505949</v>
      </c>
      <c r="D8">
        <v>-0.34156031230358519</v>
      </c>
      <c r="E8">
        <v>-0.36301484108788329</v>
      </c>
      <c r="F8">
        <v>-0.39229022059964358</v>
      </c>
      <c r="G8">
        <v>-0.48408877382905091</v>
      </c>
      <c r="H8">
        <v>-0.5449909848535599</v>
      </c>
      <c r="I8">
        <v>-0.61837857423629461</v>
      </c>
      <c r="J8">
        <v>-0.66732223997778162</v>
      </c>
      <c r="K8">
        <v>-0.73263079191828884</v>
      </c>
      <c r="L8">
        <v>-0.77469260682804753</v>
      </c>
      <c r="M8">
        <v>-0.81700919026134422</v>
      </c>
      <c r="N8">
        <v>-0.84323903995384919</v>
      </c>
      <c r="O8">
        <v>-0.9046634193181049</v>
      </c>
    </row>
    <row r="9" spans="1:15" x14ac:dyDescent="0.3">
      <c r="A9" s="10" t="s">
        <v>16</v>
      </c>
      <c r="B9" t="s">
        <v>17</v>
      </c>
      <c r="C9">
        <v>-0.23763783655505949</v>
      </c>
      <c r="D9">
        <v>-0.34156031230358519</v>
      </c>
      <c r="E9">
        <v>-0.36301484108788329</v>
      </c>
      <c r="F9">
        <v>-0.39229022059964358</v>
      </c>
      <c r="G9">
        <v>-0.48408877382905091</v>
      </c>
      <c r="H9">
        <v>-0.5449909848535599</v>
      </c>
      <c r="I9">
        <v>-0.61837857423629461</v>
      </c>
      <c r="J9">
        <v>-0.66732223997778162</v>
      </c>
      <c r="K9">
        <v>-0.73263079191828884</v>
      </c>
      <c r="L9">
        <v>-0.77469260682804753</v>
      </c>
      <c r="M9">
        <v>-0.81700919026134422</v>
      </c>
      <c r="N9">
        <v>-0.84323903995384919</v>
      </c>
      <c r="O9">
        <v>-0.9046634193181049</v>
      </c>
    </row>
    <row r="10" spans="1:15" x14ac:dyDescent="0.3">
      <c r="A10" s="10" t="s">
        <v>18</v>
      </c>
      <c r="B10" t="s">
        <v>19</v>
      </c>
      <c r="C10">
        <v>2.618981143935089</v>
      </c>
      <c r="D10">
        <v>1.109269463513707</v>
      </c>
      <c r="E10">
        <v>1.743967169179184</v>
      </c>
      <c r="F10">
        <v>2.1670989729561678</v>
      </c>
      <c r="G10">
        <v>1.961537885340908</v>
      </c>
      <c r="H10">
        <v>1.8244971602640681</v>
      </c>
      <c r="I10">
        <v>1.6061381575597149</v>
      </c>
      <c r="J10">
        <v>1.4605654890901469</v>
      </c>
      <c r="K10">
        <v>1.2923393661288809</v>
      </c>
      <c r="L10">
        <v>1.1801886174880369</v>
      </c>
      <c r="M10">
        <v>1.085833085476885</v>
      </c>
      <c r="N10">
        <v>1.02292939746945</v>
      </c>
      <c r="O10">
        <v>0.5803194887139812</v>
      </c>
    </row>
    <row r="11" spans="1:15" x14ac:dyDescent="0.3">
      <c r="A11" s="10" t="s">
        <v>20</v>
      </c>
      <c r="B11" t="s">
        <v>22</v>
      </c>
      <c r="C11">
        <v>86.513043129399009</v>
      </c>
      <c r="D11">
        <v>75.819028762805345</v>
      </c>
      <c r="E11">
        <v>73.783637105029769</v>
      </c>
      <c r="F11">
        <v>66.653355155345466</v>
      </c>
      <c r="G11">
        <v>56.078643924687057</v>
      </c>
      <c r="H11">
        <v>49.452787274200993</v>
      </c>
      <c r="I11">
        <v>41.875308610729249</v>
      </c>
      <c r="J11">
        <v>37.096212926214648</v>
      </c>
      <c r="K11">
        <v>30.517134080735818</v>
      </c>
      <c r="L11">
        <v>26.520819373901929</v>
      </c>
      <c r="M11">
        <v>21.597678910758681</v>
      </c>
      <c r="N11">
        <v>18.55768288655667</v>
      </c>
      <c r="O11">
        <v>11.832652032859791</v>
      </c>
    </row>
    <row r="12" spans="1:15" x14ac:dyDescent="0.3">
      <c r="A12" s="10" t="s">
        <v>21</v>
      </c>
      <c r="B12" t="s">
        <v>23</v>
      </c>
      <c r="C12">
        <v>88.660607667425779</v>
      </c>
      <c r="D12">
        <v>76.728629722886581</v>
      </c>
      <c r="E12">
        <v>75.213690183756697</v>
      </c>
      <c r="F12">
        <v>68.430376313169518</v>
      </c>
      <c r="G12">
        <v>57.687104990666597</v>
      </c>
      <c r="H12">
        <v>50.948874945617519</v>
      </c>
      <c r="I12">
        <v>43.192341899928223</v>
      </c>
      <c r="J12">
        <v>38.293876627268567</v>
      </c>
      <c r="K12">
        <v>31.576852360961499</v>
      </c>
      <c r="L12">
        <v>27.488574040242121</v>
      </c>
      <c r="M12">
        <v>22.48806204084973</v>
      </c>
      <c r="N12">
        <v>19.396484992481621</v>
      </c>
      <c r="O12">
        <v>12.30851401360526</v>
      </c>
    </row>
    <row r="13" spans="1:15" x14ac:dyDescent="0.3">
      <c r="A13" s="10" t="s">
        <v>24</v>
      </c>
      <c r="B13" t="s">
        <v>25</v>
      </c>
      <c r="C13">
        <v>-0.43879445892886693</v>
      </c>
      <c r="D13">
        <v>-0.50816596525595403</v>
      </c>
      <c r="E13">
        <v>-0.5213694434284315</v>
      </c>
      <c r="F13">
        <v>-0.56762320580709524</v>
      </c>
      <c r="G13">
        <v>-0.63622079899308659</v>
      </c>
      <c r="H13">
        <v>-0.67920238110012243</v>
      </c>
      <c r="I13">
        <v>-0.72835708493972795</v>
      </c>
      <c r="J13">
        <v>-0.7593588262083496</v>
      </c>
      <c r="K13">
        <v>-0.80203696316515605</v>
      </c>
      <c r="L13">
        <v>-0.82796084557887162</v>
      </c>
      <c r="M13">
        <v>-0.85989699771786166</v>
      </c>
      <c r="N13">
        <v>-0.87961729135109556</v>
      </c>
      <c r="O13">
        <v>-0.92324221127587502</v>
      </c>
    </row>
    <row r="14" spans="1:15" x14ac:dyDescent="0.3">
      <c r="A14" s="10" t="s">
        <v>26</v>
      </c>
      <c r="B14" t="s">
        <v>27</v>
      </c>
      <c r="C14">
        <v>324.2117070830966</v>
      </c>
      <c r="D14">
        <v>294.81374096386048</v>
      </c>
      <c r="E14">
        <v>278.51644936964499</v>
      </c>
      <c r="F14">
        <v>265.14171027355911</v>
      </c>
      <c r="G14">
        <v>229.62775361549771</v>
      </c>
      <c r="H14">
        <v>205.71642819785819</v>
      </c>
      <c r="I14">
        <v>176.44612330334471</v>
      </c>
      <c r="J14">
        <v>156.6628371637612</v>
      </c>
      <c r="K14">
        <v>130.62714847524981</v>
      </c>
      <c r="L14">
        <v>113.6987753122099</v>
      </c>
      <c r="M14">
        <v>98.367890374081085</v>
      </c>
      <c r="N14">
        <v>88.963301710902044</v>
      </c>
      <c r="O14">
        <v>70.883987503044906</v>
      </c>
    </row>
    <row r="15" spans="1:15" x14ac:dyDescent="0.3">
      <c r="A15" s="10" t="s">
        <v>28</v>
      </c>
      <c r="B15" t="s">
        <v>29</v>
      </c>
      <c r="C15">
        <v>-0.17637122904941699</v>
      </c>
      <c r="D15">
        <v>-0.25105394461535269</v>
      </c>
      <c r="E15">
        <v>-0.29245565205624602</v>
      </c>
      <c r="F15">
        <v>-0.32643289495904648</v>
      </c>
      <c r="G15">
        <v>-0.41665269836168672</v>
      </c>
      <c r="H15">
        <v>-0.47739712903852899</v>
      </c>
      <c r="I15">
        <v>-0.55175553349749584</v>
      </c>
      <c r="J15">
        <v>-0.60201307599990961</v>
      </c>
      <c r="K15">
        <v>-0.66815424797762157</v>
      </c>
      <c r="L15">
        <v>-0.7111591576642845</v>
      </c>
      <c r="M15">
        <v>-0.75010580161116536</v>
      </c>
      <c r="N15">
        <v>-0.77399725781932949</v>
      </c>
      <c r="O15">
        <v>-0.81992602292968453</v>
      </c>
    </row>
    <row r="16" spans="1:15" x14ac:dyDescent="0.3">
      <c r="A16" s="10" t="s">
        <v>148</v>
      </c>
      <c r="B16" t="s">
        <v>149</v>
      </c>
      <c r="C16">
        <v>51.501700098369398</v>
      </c>
      <c r="D16">
        <v>51.334433542038617</v>
      </c>
      <c r="E16">
        <v>48.21704182363959</v>
      </c>
      <c r="F16">
        <v>45.979948980249993</v>
      </c>
      <c r="G16">
        <v>44.319251737037973</v>
      </c>
      <c r="H16">
        <v>43.046351430672267</v>
      </c>
      <c r="I16">
        <v>41.042184249900409</v>
      </c>
      <c r="J16">
        <v>39.60294932826298</v>
      </c>
      <c r="K16">
        <v>37.391268778574997</v>
      </c>
      <c r="L16">
        <v>35.941252696319083</v>
      </c>
      <c r="M16">
        <v>33.944403805859743</v>
      </c>
      <c r="N16">
        <v>32.797278695801083</v>
      </c>
      <c r="O16">
        <v>30.942299656853379</v>
      </c>
    </row>
    <row r="17" spans="1:15" x14ac:dyDescent="0.3">
      <c r="A17" s="10" t="s">
        <v>30</v>
      </c>
      <c r="B17" t="s">
        <v>31</v>
      </c>
      <c r="C17">
        <v>-5.7685909238925803E-2</v>
      </c>
      <c r="D17">
        <v>-6.07463447710056E-2</v>
      </c>
      <c r="E17">
        <v>-0.11778450345428169</v>
      </c>
      <c r="F17">
        <v>-0.1587160475516681</v>
      </c>
      <c r="G17">
        <v>-0.18910142142821529</v>
      </c>
      <c r="H17">
        <v>-0.21239136899366401</v>
      </c>
      <c r="I17">
        <v>-0.2490611288477084</v>
      </c>
      <c r="J17">
        <v>-0.27539446044615978</v>
      </c>
      <c r="K17">
        <v>-0.31586104198138099</v>
      </c>
      <c r="L17">
        <v>-0.3423916338556322</v>
      </c>
      <c r="M17">
        <v>-0.37892749273031889</v>
      </c>
      <c r="N17">
        <v>-0.39991616209481512</v>
      </c>
      <c r="O17">
        <v>-0.43385626277359252</v>
      </c>
    </row>
    <row r="18" spans="1:15" x14ac:dyDescent="0.3">
      <c r="A18" s="10" t="s">
        <v>150</v>
      </c>
      <c r="B18" t="s">
        <v>151</v>
      </c>
      <c r="C18">
        <v>32.874928189574852</v>
      </c>
      <c r="D18">
        <v>32.881140706000139</v>
      </c>
      <c r="E18">
        <v>32.494157018991963</v>
      </c>
      <c r="F18">
        <v>32.053507468529013</v>
      </c>
      <c r="G18">
        <v>31.047339343063179</v>
      </c>
      <c r="H18">
        <v>30.18592231335715</v>
      </c>
      <c r="I18">
        <v>28.643694536013921</v>
      </c>
      <c r="J18">
        <v>27.496948116758261</v>
      </c>
      <c r="K18">
        <v>25.70129751402137</v>
      </c>
      <c r="L18">
        <v>24.532300983694419</v>
      </c>
      <c r="M18">
        <v>22.961480413707442</v>
      </c>
      <c r="N18">
        <v>22.125994912131649</v>
      </c>
      <c r="O18">
        <v>21.142542402552301</v>
      </c>
    </row>
    <row r="19" spans="1:15" x14ac:dyDescent="0.3">
      <c r="A19" s="10" t="s">
        <v>32</v>
      </c>
      <c r="B19" t="s">
        <v>33</v>
      </c>
      <c r="C19">
        <v>-0.46277144515318303</v>
      </c>
      <c r="D19">
        <v>-0.46266992276500107</v>
      </c>
      <c r="E19">
        <v>-0.46899385100970592</v>
      </c>
      <c r="F19">
        <v>-0.47619476472194272</v>
      </c>
      <c r="G19">
        <v>-0.49263715038617528</v>
      </c>
      <c r="H19">
        <v>-0.50671407318037187</v>
      </c>
      <c r="I19">
        <v>-0.53191652519149024</v>
      </c>
      <c r="J19">
        <v>-0.55065618351226031</v>
      </c>
      <c r="K19">
        <v>-0.57999996710184898</v>
      </c>
      <c r="L19">
        <v>-0.59910322758616075</v>
      </c>
      <c r="M19">
        <v>-0.62477293125430045</v>
      </c>
      <c r="N19">
        <v>-0.63842609168156383</v>
      </c>
      <c r="O19">
        <v>-0.65449726809402931</v>
      </c>
    </row>
    <row r="20" spans="1:15" x14ac:dyDescent="0.3">
      <c r="A20" s="10" t="s">
        <v>152</v>
      </c>
      <c r="B20" t="s">
        <v>153</v>
      </c>
      <c r="C20">
        <v>14.54855432764387</v>
      </c>
      <c r="D20">
        <v>12.95802173594071</v>
      </c>
      <c r="E20">
        <v>9.9718377663674076</v>
      </c>
      <c r="F20">
        <v>7.9810484533185377</v>
      </c>
      <c r="G20">
        <v>6.3270795287523089</v>
      </c>
      <c r="H20">
        <v>5.224433579041488</v>
      </c>
      <c r="I20">
        <v>4.2439543333053784</v>
      </c>
      <c r="J20">
        <v>3.5903015028146368</v>
      </c>
      <c r="K20">
        <v>2.949837878586008</v>
      </c>
      <c r="L20">
        <v>2.5228621291002562</v>
      </c>
      <c r="M20">
        <v>2.289292364693249</v>
      </c>
      <c r="N20">
        <v>2.133579188421912</v>
      </c>
      <c r="O20">
        <v>1.9595602090676789</v>
      </c>
    </row>
    <row r="21" spans="1:15" x14ac:dyDescent="0.3">
      <c r="A21" s="10" t="s">
        <v>34</v>
      </c>
      <c r="B21" t="s">
        <v>35</v>
      </c>
      <c r="C21">
        <v>0.2364841335964554</v>
      </c>
      <c r="D21">
        <v>0.1013044951720299</v>
      </c>
      <c r="E21">
        <v>-0.15249179380780081</v>
      </c>
      <c r="F21">
        <v>-0.32168931979435461</v>
      </c>
      <c r="G21">
        <v>-0.46226042305523352</v>
      </c>
      <c r="H21">
        <v>-0.5559744918958196</v>
      </c>
      <c r="I21">
        <v>-0.63930559156183431</v>
      </c>
      <c r="J21">
        <v>-0.69485965800584415</v>
      </c>
      <c r="K21">
        <v>-0.74929277154205576</v>
      </c>
      <c r="L21">
        <v>-0.78558151389953013</v>
      </c>
      <c r="M21">
        <v>-0.80543264833344175</v>
      </c>
      <c r="N21">
        <v>-0.8186667379560495</v>
      </c>
      <c r="O21">
        <v>-0.83345664092993521</v>
      </c>
    </row>
    <row r="22" spans="1:15" x14ac:dyDescent="0.3">
      <c r="A22" s="10" t="s">
        <v>36</v>
      </c>
      <c r="B22" t="s">
        <v>37</v>
      </c>
      <c r="C22">
        <v>0.70393759286775615</v>
      </c>
      <c r="D22">
        <v>0.66706443914081148</v>
      </c>
      <c r="E22">
        <v>0.66445432550840255</v>
      </c>
      <c r="F22">
        <v>0.64564091011489066</v>
      </c>
      <c r="G22">
        <v>0.61850110836857575</v>
      </c>
      <c r="H22">
        <v>0.60109010390052797</v>
      </c>
      <c r="I22">
        <v>0.56650411408844858</v>
      </c>
      <c r="J22">
        <v>0.54406034983005869</v>
      </c>
      <c r="K22">
        <v>0.51127647769183071</v>
      </c>
      <c r="L22">
        <v>0.48998708010335917</v>
      </c>
      <c r="M22">
        <v>0.45073375262054521</v>
      </c>
      <c r="N22">
        <v>0.42590038314176248</v>
      </c>
      <c r="O22">
        <v>0.36803732866724997</v>
      </c>
    </row>
    <row r="23" spans="1:15" x14ac:dyDescent="0.3">
      <c r="A23" s="10" t="s">
        <v>38</v>
      </c>
      <c r="B23" t="s">
        <v>39</v>
      </c>
      <c r="C23">
        <v>0.27012247895507902</v>
      </c>
      <c r="D23">
        <v>0.31853550827730198</v>
      </c>
      <c r="E23">
        <v>0.31757078381048492</v>
      </c>
      <c r="F23">
        <v>0.33814945819735182</v>
      </c>
      <c r="G23">
        <v>0.36873690472987919</v>
      </c>
      <c r="H23">
        <v>0.38862011581821748</v>
      </c>
      <c r="I23">
        <v>0.43263083087285009</v>
      </c>
      <c r="J23">
        <v>0.46069101537615598</v>
      </c>
      <c r="K23">
        <v>0.50291579812743503</v>
      </c>
      <c r="L23">
        <v>0.5285580454796992</v>
      </c>
      <c r="M23">
        <v>0.56751931987777438</v>
      </c>
      <c r="N23">
        <v>0.59175338529133437</v>
      </c>
      <c r="O23">
        <v>0.64687319335327065</v>
      </c>
    </row>
    <row r="24" spans="1:15" x14ac:dyDescent="0.3">
      <c r="A24" s="10" t="s">
        <v>40</v>
      </c>
      <c r="B24" t="s">
        <v>154</v>
      </c>
      <c r="C24">
        <v>0.26813352662950929</v>
      </c>
      <c r="D24">
        <v>0.27669312829191689</v>
      </c>
      <c r="E24">
        <v>0.29329209335902962</v>
      </c>
      <c r="F24">
        <v>0.2989169476785779</v>
      </c>
      <c r="G24">
        <v>0.33078716847480261</v>
      </c>
      <c r="H24">
        <v>0.35462112427315012</v>
      </c>
      <c r="I24">
        <v>0.38506571885869678</v>
      </c>
      <c r="J24">
        <v>0.40695435197469643</v>
      </c>
      <c r="K24">
        <v>0.43747649195680438</v>
      </c>
      <c r="L24">
        <v>0.45968630248097531</v>
      </c>
      <c r="M24">
        <v>0.48312386338683588</v>
      </c>
      <c r="N24">
        <v>0.49973709928860871</v>
      </c>
      <c r="O24">
        <v>0.51505636117037568</v>
      </c>
    </row>
    <row r="25" spans="1:15" x14ac:dyDescent="0.3">
      <c r="A25" s="10" t="s">
        <v>41</v>
      </c>
      <c r="B25" t="s">
        <v>42</v>
      </c>
      <c r="C25">
        <v>102.37671242610951</v>
      </c>
      <c r="D25">
        <v>94.315495464762662</v>
      </c>
      <c r="E25">
        <v>115.7791060843286</v>
      </c>
      <c r="F25">
        <v>125.6549596469474</v>
      </c>
      <c r="G25">
        <v>131.3317643840941</v>
      </c>
      <c r="H25">
        <v>134.12918474696889</v>
      </c>
      <c r="I25">
        <v>144.2914888698329</v>
      </c>
      <c r="J25">
        <v>150.2487121760023</v>
      </c>
      <c r="K25">
        <v>156.36945578656631</v>
      </c>
      <c r="L25">
        <v>158.23164064644689</v>
      </c>
      <c r="M25">
        <v>168.8290301283337</v>
      </c>
      <c r="N25">
        <v>173.36394418901159</v>
      </c>
      <c r="O25">
        <v>208.26774712299289</v>
      </c>
    </row>
    <row r="26" spans="1:15" x14ac:dyDescent="0.3">
      <c r="A26" s="10" t="s">
        <v>43</v>
      </c>
      <c r="B26" t="s">
        <v>44</v>
      </c>
      <c r="C26">
        <v>0.53672356708306368</v>
      </c>
      <c r="D26">
        <v>0.4939034277020331</v>
      </c>
      <c r="E26">
        <v>0.55250191756784239</v>
      </c>
      <c r="F26">
        <v>0.56039109281023169</v>
      </c>
      <c r="G26">
        <v>0.57463135285893108</v>
      </c>
      <c r="H26">
        <v>0.58412485955806404</v>
      </c>
      <c r="I26">
        <v>0.59776498446965687</v>
      </c>
      <c r="J26">
        <v>0.60685840107738542</v>
      </c>
      <c r="K26">
        <v>0.6204997411199763</v>
      </c>
      <c r="L26">
        <v>0.62959396781503696</v>
      </c>
      <c r="M26">
        <v>0.64190676048100792</v>
      </c>
      <c r="N26">
        <v>0.6501152889249886</v>
      </c>
      <c r="O26">
        <v>0.66937713729205039</v>
      </c>
    </row>
    <row r="27" spans="1:15" x14ac:dyDescent="0.3">
      <c r="A27" s="10" t="s">
        <v>45</v>
      </c>
      <c r="B27" t="s">
        <v>46</v>
      </c>
      <c r="C27">
        <v>102.91343599319249</v>
      </c>
      <c r="D27">
        <v>94.809398892464699</v>
      </c>
      <c r="E27">
        <v>116.3316080018964</v>
      </c>
      <c r="F27">
        <v>126.2153507397576</v>
      </c>
      <c r="G27">
        <v>131.9063957369531</v>
      </c>
      <c r="H27">
        <v>134.71330960652699</v>
      </c>
      <c r="I27">
        <v>144.88925385430261</v>
      </c>
      <c r="J27">
        <v>150.8555705770797</v>
      </c>
      <c r="K27">
        <v>156.98995552768631</v>
      </c>
      <c r="L27">
        <v>158.861234614262</v>
      </c>
      <c r="M27">
        <v>169.47093688881469</v>
      </c>
      <c r="N27">
        <v>174.01405947793651</v>
      </c>
      <c r="O27">
        <v>208.937124260285</v>
      </c>
    </row>
    <row r="28" spans="1:15" x14ac:dyDescent="0.3">
      <c r="A28" s="10" t="s">
        <v>47</v>
      </c>
      <c r="B28" t="s">
        <v>48</v>
      </c>
      <c r="C28">
        <v>5.5482944584103078E-2</v>
      </c>
      <c r="D28">
        <v>5.4472911852289627E-2</v>
      </c>
      <c r="E28">
        <v>6.1390297446380873E-2</v>
      </c>
      <c r="F28">
        <v>6.8557846480683748E-2</v>
      </c>
      <c r="G28">
        <v>7.7451336681122196E-2</v>
      </c>
      <c r="H28">
        <v>8.3668195334900913E-2</v>
      </c>
      <c r="I28">
        <v>0.1011804475204062</v>
      </c>
      <c r="J28">
        <v>0.11322671136126231</v>
      </c>
      <c r="K28">
        <v>0.13061135401723789</v>
      </c>
      <c r="L28">
        <v>0.14231220931876601</v>
      </c>
      <c r="M28">
        <v>0.1589401347503952</v>
      </c>
      <c r="N28">
        <v>0.1699170035274038</v>
      </c>
      <c r="O28">
        <v>0.1910863908151868</v>
      </c>
    </row>
    <row r="29" spans="1:15" x14ac:dyDescent="0.3">
      <c r="A29" s="10" t="s">
        <v>49</v>
      </c>
      <c r="B29" t="s">
        <v>50</v>
      </c>
      <c r="C29">
        <v>0.27012775054474791</v>
      </c>
      <c r="D29">
        <v>0.28261972941046482</v>
      </c>
      <c r="E29">
        <v>0.2979983627273266</v>
      </c>
      <c r="F29">
        <v>0.30762810234621091</v>
      </c>
      <c r="G29">
        <v>0.32077117396550048</v>
      </c>
      <c r="H29">
        <v>0.33</v>
      </c>
      <c r="I29">
        <v>0.33206342622439489</v>
      </c>
      <c r="J29">
        <v>0.33331924985729688</v>
      </c>
      <c r="K29">
        <v>0.33471770733015471</v>
      </c>
      <c r="L29">
        <v>0.3356256909343821</v>
      </c>
      <c r="M29">
        <v>0.33775410125903799</v>
      </c>
      <c r="N29">
        <v>0.33920193692574491</v>
      </c>
      <c r="O29">
        <v>0.34159654993267791</v>
      </c>
    </row>
    <row r="30" spans="1:15" x14ac:dyDescent="0.3">
      <c r="A30" s="10" t="s">
        <v>51</v>
      </c>
      <c r="B30" t="s">
        <v>48</v>
      </c>
      <c r="C30">
        <v>0.25362078835458302</v>
      </c>
      <c r="D30">
        <v>0.24185406989020189</v>
      </c>
      <c r="E30">
        <v>0.26804930771285101</v>
      </c>
      <c r="F30">
        <v>0.29618594882689447</v>
      </c>
      <c r="G30">
        <v>0.30277117396550057</v>
      </c>
      <c r="H30">
        <v>0.30653272186603958</v>
      </c>
      <c r="I30">
        <v>0.31238030391106669</v>
      </c>
      <c r="J30">
        <v>0.3162896296094726</v>
      </c>
      <c r="K30">
        <v>0.31515817095862009</v>
      </c>
      <c r="L30">
        <v>0.31431731111835048</v>
      </c>
      <c r="M30">
        <v>0.31653582093149152</v>
      </c>
      <c r="N30">
        <v>0.31804881519197542</v>
      </c>
      <c r="O30">
        <v>0.3233694732483624</v>
      </c>
    </row>
    <row r="31" spans="1:15" x14ac:dyDescent="0.3">
      <c r="A31" s="10" t="s">
        <v>52</v>
      </c>
      <c r="B31" t="s">
        <v>53</v>
      </c>
      <c r="C31">
        <v>0</v>
      </c>
      <c r="D31">
        <v>3.8622058468526993E-4</v>
      </c>
      <c r="E31">
        <v>1.062193151180069E-2</v>
      </c>
      <c r="F31">
        <v>1.5572107675965809E-2</v>
      </c>
      <c r="G31">
        <v>2.276389306551023E-2</v>
      </c>
      <c r="H31">
        <v>2.663318046650991E-2</v>
      </c>
      <c r="I31">
        <v>3.1271713534789518E-2</v>
      </c>
      <c r="J31">
        <v>3.3468765616634678E-2</v>
      </c>
      <c r="K31">
        <v>4.9289111310684343E-2</v>
      </c>
      <c r="L31">
        <v>5.8061760625344058E-2</v>
      </c>
      <c r="M31">
        <v>7.2502257593098612E-2</v>
      </c>
      <c r="N31">
        <v>7.9365081599514872E-2</v>
      </c>
      <c r="O31">
        <v>0.12983649729193461</v>
      </c>
    </row>
    <row r="32" spans="1:15" x14ac:dyDescent="0.3">
      <c r="A32" s="10" t="s">
        <v>54</v>
      </c>
      <c r="B32" t="s">
        <v>55</v>
      </c>
      <c r="C32">
        <v>18.907198944402481</v>
      </c>
      <c r="D32">
        <v>18.033702787642159</v>
      </c>
      <c r="E32">
        <v>22.890290480692482</v>
      </c>
      <c r="F32">
        <v>27.938484925163849</v>
      </c>
      <c r="G32">
        <v>32.446202978354627</v>
      </c>
      <c r="H32">
        <v>35.536727255379162</v>
      </c>
      <c r="I32">
        <v>39.465939047237377</v>
      </c>
      <c r="J32">
        <v>42.147430818586649</v>
      </c>
      <c r="K32">
        <v>45.114443325653603</v>
      </c>
      <c r="L32">
        <v>46.996793645475726</v>
      </c>
      <c r="M32">
        <v>48.855740086434288</v>
      </c>
      <c r="N32">
        <v>49.854110754933039</v>
      </c>
      <c r="O32">
        <v>55.225965897779638</v>
      </c>
    </row>
    <row r="33" spans="1:15" x14ac:dyDescent="0.3">
      <c r="A33" s="10" t="s">
        <v>56</v>
      </c>
      <c r="B33" t="s">
        <v>57</v>
      </c>
      <c r="C33">
        <v>0.49750465939174532</v>
      </c>
      <c r="D33">
        <v>0.46427858411076228</v>
      </c>
      <c r="E33">
        <v>0.51462132892763723</v>
      </c>
      <c r="F33">
        <v>0.52317966369558455</v>
      </c>
      <c r="G33">
        <v>0.53647503052338108</v>
      </c>
      <c r="H33">
        <v>0.54533860840858184</v>
      </c>
      <c r="I33">
        <v>0.55807373702303853</v>
      </c>
      <c r="J33">
        <v>0.5665638227660067</v>
      </c>
      <c r="K33">
        <v>0.57930008616962703</v>
      </c>
      <c r="L33">
        <v>0.58779092843870806</v>
      </c>
      <c r="M33">
        <v>0.59928685345591792</v>
      </c>
      <c r="N33">
        <v>0.60695080346739405</v>
      </c>
      <c r="O33">
        <v>0.62493485884707645</v>
      </c>
    </row>
    <row r="34" spans="1:15" x14ac:dyDescent="0.3">
      <c r="A34" s="10" t="s">
        <v>58</v>
      </c>
      <c r="B34" t="s">
        <v>59</v>
      </c>
      <c r="C34">
        <v>19.404703603794221</v>
      </c>
      <c r="D34">
        <v>18.497981371752921</v>
      </c>
      <c r="E34">
        <v>23.404911809620121</v>
      </c>
      <c r="F34">
        <v>28.461664588859431</v>
      </c>
      <c r="G34">
        <v>32.982678008878011</v>
      </c>
      <c r="H34">
        <v>36.082065863787747</v>
      </c>
      <c r="I34">
        <v>40.024012784260407</v>
      </c>
      <c r="J34">
        <v>42.713994641352663</v>
      </c>
      <c r="K34">
        <v>45.69374341182322</v>
      </c>
      <c r="L34">
        <v>47.584584573914427</v>
      </c>
      <c r="M34">
        <v>49.455026939890203</v>
      </c>
      <c r="N34">
        <v>50.461061558400431</v>
      </c>
      <c r="O34">
        <v>55.850900756626707</v>
      </c>
    </row>
    <row r="35" spans="1:15" x14ac:dyDescent="0.3">
      <c r="A35" s="10" t="s">
        <v>60</v>
      </c>
      <c r="B35" t="s">
        <v>61</v>
      </c>
      <c r="C35">
        <v>31.43908444444444</v>
      </c>
      <c r="D35">
        <v>32.65154555555555</v>
      </c>
      <c r="E35">
        <v>40.964336574173757</v>
      </c>
      <c r="F35">
        <v>46.941675984424649</v>
      </c>
      <c r="G35">
        <v>55.315214066923453</v>
      </c>
      <c r="H35">
        <v>61.091225724919909</v>
      </c>
      <c r="I35">
        <v>70.498567758341522</v>
      </c>
      <c r="J35">
        <v>76.992812580470769</v>
      </c>
      <c r="K35">
        <v>86.476611770328219</v>
      </c>
      <c r="L35">
        <v>92.901000398225491</v>
      </c>
      <c r="M35">
        <v>103.02458403584799</v>
      </c>
      <c r="N35">
        <v>109.8518848230913</v>
      </c>
      <c r="O35">
        <v>123.1681851637414</v>
      </c>
    </row>
    <row r="36" spans="1:15" x14ac:dyDescent="0.3">
      <c r="A36" s="10" t="s">
        <v>62</v>
      </c>
      <c r="B36" t="s">
        <v>63</v>
      </c>
      <c r="C36">
        <v>152.72299581495639</v>
      </c>
      <c r="D36">
        <v>145.00074380796039</v>
      </c>
      <c r="E36">
        <v>179.63373313919479</v>
      </c>
      <c r="F36">
        <v>200.53512055653579</v>
      </c>
      <c r="G36">
        <v>219.09318142937221</v>
      </c>
      <c r="H36">
        <v>230.757137727268</v>
      </c>
      <c r="I36">
        <v>254.25599567541181</v>
      </c>
      <c r="J36">
        <v>269.38895557505981</v>
      </c>
      <c r="K36">
        <v>287.96051088254808</v>
      </c>
      <c r="L36">
        <v>298.12943469014817</v>
      </c>
      <c r="M36">
        <v>320.70935425061589</v>
      </c>
      <c r="N36">
        <v>333.06993976703592</v>
      </c>
      <c r="O36">
        <v>386.66189818451392</v>
      </c>
    </row>
    <row r="37" spans="1:15" x14ac:dyDescent="0.3">
      <c r="A37" s="10" t="s">
        <v>64</v>
      </c>
      <c r="B37" t="s">
        <v>65</v>
      </c>
      <c r="C37">
        <v>1.0342282264748091</v>
      </c>
      <c r="D37">
        <v>0.95818201181279539</v>
      </c>
      <c r="E37">
        <v>1.0671232464954801</v>
      </c>
      <c r="F37">
        <v>1.0835707565058159</v>
      </c>
      <c r="G37">
        <v>1.111106383382312</v>
      </c>
      <c r="H37">
        <v>1.129463467966646</v>
      </c>
      <c r="I37">
        <v>1.155838721492696</v>
      </c>
      <c r="J37">
        <v>1.173422223843392</v>
      </c>
      <c r="K37">
        <v>1.1997998272896031</v>
      </c>
      <c r="L37">
        <v>1.217384896253745</v>
      </c>
      <c r="M37">
        <v>1.241193613936926</v>
      </c>
      <c r="N37">
        <v>1.2570660923923831</v>
      </c>
      <c r="O37">
        <v>1.294311996139127</v>
      </c>
    </row>
    <row r="38" spans="1:15" x14ac:dyDescent="0.3">
      <c r="A38" s="10" t="s">
        <v>66</v>
      </c>
      <c r="B38" t="s">
        <v>67</v>
      </c>
      <c r="C38">
        <v>153.75722404143119</v>
      </c>
      <c r="D38">
        <v>145.95892581977321</v>
      </c>
      <c r="E38">
        <v>180.70085638569029</v>
      </c>
      <c r="F38">
        <v>201.61869131304169</v>
      </c>
      <c r="G38">
        <v>220.2042878127545</v>
      </c>
      <c r="H38">
        <v>231.88660119523459</v>
      </c>
      <c r="I38">
        <v>255.41183439690451</v>
      </c>
      <c r="J38">
        <v>270.56237779890313</v>
      </c>
      <c r="K38">
        <v>289.16031070983769</v>
      </c>
      <c r="L38">
        <v>299.34681958640192</v>
      </c>
      <c r="M38">
        <v>321.95054786455279</v>
      </c>
      <c r="N38">
        <v>334.32700585942831</v>
      </c>
      <c r="O38">
        <v>387.95621018065299</v>
      </c>
    </row>
    <row r="39" spans="1:15" x14ac:dyDescent="0.3">
      <c r="A39" s="10" t="s">
        <v>68</v>
      </c>
      <c r="B39" t="s">
        <v>69</v>
      </c>
      <c r="C39">
        <v>36.202041934525631</v>
      </c>
      <c r="D39">
        <v>28.772993390478131</v>
      </c>
      <c r="E39">
        <v>26.965216382660021</v>
      </c>
      <c r="F39">
        <v>19.126295731813592</v>
      </c>
      <c r="G39">
        <v>12.25380549209545</v>
      </c>
      <c r="H39">
        <v>8.102613049573506</v>
      </c>
      <c r="I39">
        <v>7.0161521210543381</v>
      </c>
      <c r="J39">
        <v>6.3348987823779392</v>
      </c>
      <c r="K39">
        <v>5.4476450151793419</v>
      </c>
      <c r="L39">
        <v>4.8860593105227803</v>
      </c>
      <c r="M39">
        <v>4.2769338976147084</v>
      </c>
      <c r="N39">
        <v>3.869929367797571</v>
      </c>
      <c r="O39">
        <v>3.108388878906204</v>
      </c>
    </row>
    <row r="40" spans="1:15" x14ac:dyDescent="0.3">
      <c r="A40" s="10" t="s">
        <v>70</v>
      </c>
      <c r="B40" t="s">
        <v>71</v>
      </c>
      <c r="C40">
        <v>618.70128637314019</v>
      </c>
      <c r="D40">
        <v>589.18932743319738</v>
      </c>
      <c r="E40">
        <v>551.19943838761787</v>
      </c>
      <c r="F40">
        <v>515.89678303306869</v>
      </c>
      <c r="G40">
        <v>435.7854083341918</v>
      </c>
      <c r="H40">
        <v>382.97444843923103</v>
      </c>
      <c r="I40">
        <v>349.50085307644162</v>
      </c>
      <c r="J40">
        <v>327.28734361080473</v>
      </c>
      <c r="K40">
        <v>295.17485016656758</v>
      </c>
      <c r="L40">
        <v>273.72101523400408</v>
      </c>
      <c r="M40">
        <v>253.56319782177059</v>
      </c>
      <c r="N40">
        <v>240.0313664122977</v>
      </c>
      <c r="O40">
        <v>215.43068160126879</v>
      </c>
    </row>
    <row r="41" spans="1:15" x14ac:dyDescent="0.3">
      <c r="A41" s="10" t="s">
        <v>72</v>
      </c>
      <c r="B41" t="s">
        <v>73</v>
      </c>
      <c r="C41">
        <v>42.567712544220541</v>
      </c>
      <c r="D41">
        <v>41.170669739303932</v>
      </c>
      <c r="E41">
        <v>46.804598358824947</v>
      </c>
      <c r="F41">
        <v>52.306530850299502</v>
      </c>
      <c r="G41">
        <v>57.59285785282708</v>
      </c>
      <c r="H41">
        <v>61.077079184331893</v>
      </c>
      <c r="I41">
        <v>64.606733318987239</v>
      </c>
      <c r="J41">
        <v>66.938431640818749</v>
      </c>
      <c r="K41">
        <v>68.105755071395478</v>
      </c>
      <c r="L41">
        <v>68.859354571878825</v>
      </c>
      <c r="M41">
        <v>68.152865085109568</v>
      </c>
      <c r="N41">
        <v>67.650908946776383</v>
      </c>
      <c r="O41">
        <v>67.754386367376611</v>
      </c>
    </row>
    <row r="42" spans="1:15" x14ac:dyDescent="0.3">
      <c r="A42" s="10" t="s">
        <v>74</v>
      </c>
      <c r="B42" t="s">
        <v>75</v>
      </c>
      <c r="C42">
        <v>692.70808336180517</v>
      </c>
      <c r="D42">
        <v>663.01154272805684</v>
      </c>
      <c r="E42">
        <v>638.96837332061659</v>
      </c>
      <c r="F42">
        <v>615.1449898677929</v>
      </c>
      <c r="G42">
        <v>548.69348025394231</v>
      </c>
      <c r="H42">
        <v>505.14275334848293</v>
      </c>
      <c r="I42">
        <v>484.60615415377038</v>
      </c>
      <c r="J42">
        <v>471.21858783209427</v>
      </c>
      <c r="K42">
        <v>449.75721700829138</v>
      </c>
      <c r="L42">
        <v>435.48137020410837</v>
      </c>
      <c r="M42">
        <v>424.74064694272812</v>
      </c>
      <c r="N42">
        <v>417.53416018216541</v>
      </c>
      <c r="O42">
        <v>406.35325313238678</v>
      </c>
    </row>
    <row r="43" spans="1:15" x14ac:dyDescent="0.3">
      <c r="A43" s="10" t="s">
        <v>76</v>
      </c>
      <c r="B43" t="s">
        <v>77</v>
      </c>
      <c r="C43">
        <v>0.53672356708306368</v>
      </c>
      <c r="D43">
        <v>0.4939034277020331</v>
      </c>
      <c r="E43">
        <v>0.55250191756784239</v>
      </c>
      <c r="F43">
        <v>0.56039109281023169</v>
      </c>
      <c r="G43">
        <v>0.57463135285893108</v>
      </c>
      <c r="H43">
        <v>0.58412485955806404</v>
      </c>
      <c r="I43">
        <v>0.59776498446965687</v>
      </c>
      <c r="J43">
        <v>0.60685840107738542</v>
      </c>
      <c r="K43">
        <v>0.6204997411199763</v>
      </c>
      <c r="L43">
        <v>0.62959396781503696</v>
      </c>
      <c r="M43">
        <v>0.64190676048100792</v>
      </c>
      <c r="N43">
        <v>0.6501152889249886</v>
      </c>
      <c r="O43">
        <v>0.66937713729205039</v>
      </c>
    </row>
    <row r="44" spans="1:15" x14ac:dyDescent="0.3">
      <c r="A44" s="10" t="s">
        <v>78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3">
      <c r="A45" s="10" t="s">
        <v>80</v>
      </c>
      <c r="B45" t="s">
        <v>81</v>
      </c>
      <c r="C45">
        <v>0.53672356708306368</v>
      </c>
      <c r="D45">
        <v>0.4939034277020331</v>
      </c>
      <c r="E45">
        <v>0.55250191756784239</v>
      </c>
      <c r="F45">
        <v>0.56039109281023169</v>
      </c>
      <c r="G45">
        <v>0.57463135285893108</v>
      </c>
      <c r="H45">
        <v>0.58412485955806404</v>
      </c>
      <c r="I45">
        <v>0.59776498446965687</v>
      </c>
      <c r="J45">
        <v>0.60685840107738542</v>
      </c>
      <c r="K45">
        <v>0.6204997411199763</v>
      </c>
      <c r="L45">
        <v>0.62959396781503696</v>
      </c>
      <c r="M45">
        <v>0.64190676048100792</v>
      </c>
      <c r="N45">
        <v>0.6501152889249886</v>
      </c>
      <c r="O45">
        <v>0.66937713729205039</v>
      </c>
    </row>
    <row r="46" spans="1:15" x14ac:dyDescent="0.3">
      <c r="A46" s="10" t="s">
        <v>82</v>
      </c>
      <c r="B46" t="s">
        <v>83</v>
      </c>
      <c r="C46">
        <v>693.24480692888824</v>
      </c>
      <c r="D46">
        <v>663.50544615575882</v>
      </c>
      <c r="E46">
        <v>639.52087523818443</v>
      </c>
      <c r="F46">
        <v>615.70538096060318</v>
      </c>
      <c r="G46">
        <v>549.2681116068012</v>
      </c>
      <c r="H46">
        <v>505.72687820804089</v>
      </c>
      <c r="I46">
        <v>485.20391913824011</v>
      </c>
      <c r="J46">
        <v>471.82544623317159</v>
      </c>
      <c r="K46">
        <v>450.37771674941138</v>
      </c>
      <c r="L46">
        <v>436.11096417192351</v>
      </c>
      <c r="M46">
        <v>425.38255370320911</v>
      </c>
      <c r="N46">
        <v>418.18427547109042</v>
      </c>
      <c r="O46">
        <v>407.02263026967881</v>
      </c>
    </row>
    <row r="47" spans="1:15" x14ac:dyDescent="0.3">
      <c r="A47" s="10" t="s">
        <v>84</v>
      </c>
      <c r="B47" t="s">
        <v>85</v>
      </c>
      <c r="C47">
        <v>0.22047237427022831</v>
      </c>
      <c r="D47">
        <v>0.21870018010747419</v>
      </c>
      <c r="E47">
        <v>0.28113086756652289</v>
      </c>
      <c r="F47">
        <v>0.32599651116338418</v>
      </c>
      <c r="G47">
        <v>0.39929977175594122</v>
      </c>
      <c r="H47">
        <v>0.45681569456876991</v>
      </c>
      <c r="I47">
        <v>0.52466522246173097</v>
      </c>
      <c r="J47">
        <v>0.57168575801396249</v>
      </c>
      <c r="K47">
        <v>0.64025767679285395</v>
      </c>
      <c r="L47">
        <v>0.68459744799281785</v>
      </c>
      <c r="M47">
        <v>0.75507102171424689</v>
      </c>
      <c r="N47">
        <v>0.79770704179442775</v>
      </c>
      <c r="O47">
        <v>0.95154128877748256</v>
      </c>
    </row>
    <row r="48" spans="1:15" x14ac:dyDescent="0.3">
      <c r="A48" s="10" t="s">
        <v>86</v>
      </c>
      <c r="B48" t="s">
        <v>87</v>
      </c>
      <c r="C48">
        <v>0.2217935460960522</v>
      </c>
      <c r="D48">
        <v>0.21998150379237291</v>
      </c>
      <c r="E48">
        <v>0.28255661915397168</v>
      </c>
      <c r="F48">
        <v>0.3274596869666509</v>
      </c>
      <c r="G48">
        <v>0.40090491903595132</v>
      </c>
      <c r="H48">
        <v>0.4585214098504834</v>
      </c>
      <c r="I48">
        <v>0.52640101269284023</v>
      </c>
      <c r="J48">
        <v>0.57343744378126182</v>
      </c>
      <c r="K48">
        <v>0.64203955914347666</v>
      </c>
      <c r="L48">
        <v>0.68640058191335351</v>
      </c>
      <c r="M48">
        <v>0.75684944072525095</v>
      </c>
      <c r="N48">
        <v>0.79947292490327204</v>
      </c>
      <c r="O48">
        <v>0.95315636362431977</v>
      </c>
    </row>
    <row r="49" spans="1:15" x14ac:dyDescent="0.3">
      <c r="A49" s="10" t="s">
        <v>88</v>
      </c>
      <c r="B49" t="s">
        <v>89</v>
      </c>
      <c r="C49">
        <v>-6.2488439978010117E-2</v>
      </c>
      <c r="D49">
        <v>-0.1562604608006303</v>
      </c>
      <c r="E49">
        <v>-0.15128765266486191</v>
      </c>
      <c r="F49">
        <v>-0.16397849226558789</v>
      </c>
      <c r="G49">
        <v>-0.21354769515444619</v>
      </c>
      <c r="H49">
        <v>-0.2462273074122967</v>
      </c>
      <c r="I49">
        <v>-0.28776849617955952</v>
      </c>
      <c r="J49">
        <v>-0.31545132462408298</v>
      </c>
      <c r="K49">
        <v>-0.35368471865757478</v>
      </c>
      <c r="L49">
        <v>-0.37921119737832137</v>
      </c>
      <c r="M49">
        <v>-0.40362318942273079</v>
      </c>
      <c r="N49">
        <v>-0.41982767254731101</v>
      </c>
      <c r="O49">
        <v>-0.45669259976963111</v>
      </c>
    </row>
    <row r="50" spans="1:15" x14ac:dyDescent="0.3">
      <c r="A50" s="10" t="s">
        <v>90</v>
      </c>
      <c r="B50" t="s">
        <v>91</v>
      </c>
      <c r="C50">
        <v>-9.7749082253837383E-3</v>
      </c>
      <c r="D50">
        <v>-0.12667863798877491</v>
      </c>
      <c r="E50">
        <v>-0.11232990149032369</v>
      </c>
      <c r="F50">
        <v>-0.11961200709286519</v>
      </c>
      <c r="G50">
        <v>-0.1735601025489065</v>
      </c>
      <c r="H50">
        <v>-0.20921259948257981</v>
      </c>
      <c r="I50">
        <v>-0.25567363213780608</v>
      </c>
      <c r="J50">
        <v>-0.28671412996688977</v>
      </c>
      <c r="K50">
        <v>-0.32978664670310159</v>
      </c>
      <c r="L50">
        <v>-0.35857645890465822</v>
      </c>
      <c r="M50">
        <v>-0.38756003180695497</v>
      </c>
      <c r="N50">
        <v>-0.40683696229033062</v>
      </c>
      <c r="O50">
        <v>-0.44966764593710778</v>
      </c>
    </row>
    <row r="51" spans="1:15" x14ac:dyDescent="0.3">
      <c r="A51" s="10" t="s">
        <v>92</v>
      </c>
      <c r="B51" t="s">
        <v>93</v>
      </c>
      <c r="C51">
        <v>-0.21116621192548929</v>
      </c>
      <c r="D51">
        <v>-0.51398522967352211</v>
      </c>
      <c r="E51">
        <v>-0.40858419391164169</v>
      </c>
      <c r="F51">
        <v>-0.36356367256499972</v>
      </c>
      <c r="G51">
        <v>-0.43095949663843158</v>
      </c>
      <c r="H51">
        <v>-0.47588487210212471</v>
      </c>
      <c r="I51">
        <v>-0.53682171006359747</v>
      </c>
      <c r="J51">
        <v>-0.57795464295269972</v>
      </c>
      <c r="K51">
        <v>-0.64076262920503702</v>
      </c>
      <c r="L51">
        <v>-0.68312949494151054</v>
      </c>
      <c r="M51">
        <v>-0.74768400241559485</v>
      </c>
      <c r="N51">
        <v>-0.7912068191948507</v>
      </c>
      <c r="O51">
        <v>-0.90175604951838506</v>
      </c>
    </row>
    <row r="52" spans="1:15" x14ac:dyDescent="0.3">
      <c r="A52" s="10" t="s">
        <v>94</v>
      </c>
      <c r="B52" t="s">
        <v>95</v>
      </c>
      <c r="C52">
        <v>1.7684704499054679E-2</v>
      </c>
      <c r="D52">
        <v>-5.3629266238061968E-2</v>
      </c>
      <c r="E52">
        <v>-0.1052321239725871</v>
      </c>
      <c r="F52">
        <v>-0.16236057508449939</v>
      </c>
      <c r="G52">
        <v>-0.27912137672603321</v>
      </c>
      <c r="H52">
        <v>-0.35521754096902131</v>
      </c>
      <c r="I52">
        <v>-0.45602673958477502</v>
      </c>
      <c r="J52">
        <v>-0.52135270987135351</v>
      </c>
      <c r="K52">
        <v>-0.62563131418029783</v>
      </c>
      <c r="L52">
        <v>-0.68912314392371865</v>
      </c>
      <c r="M52">
        <v>-0.76828202406358748</v>
      </c>
      <c r="N52">
        <v>-0.81566913503041993</v>
      </c>
      <c r="O52">
        <v>-1</v>
      </c>
    </row>
    <row r="53" spans="1:15" x14ac:dyDescent="0.3">
      <c r="A53" s="10" t="s">
        <v>96</v>
      </c>
      <c r="B53" t="s">
        <v>97</v>
      </c>
      <c r="C53">
        <v>-4.6051921428245428E-2</v>
      </c>
      <c r="D53">
        <v>-0.1173845745309027</v>
      </c>
      <c r="E53">
        <v>9.8197173758144851E-2</v>
      </c>
      <c r="F53">
        <v>0.17414168569968649</v>
      </c>
      <c r="G53">
        <v>0.1967987332206009</v>
      </c>
      <c r="H53">
        <v>0.2073277195823742</v>
      </c>
      <c r="I53">
        <v>0.20556336881960829</v>
      </c>
      <c r="J53">
        <v>0.19417742117746159</v>
      </c>
      <c r="K53">
        <v>0.18713312284069089</v>
      </c>
      <c r="L53">
        <v>0.15746860364679779</v>
      </c>
      <c r="M53">
        <v>0.20380989456389129</v>
      </c>
      <c r="N53">
        <v>0.21323565069266509</v>
      </c>
      <c r="O53">
        <v>0.38545984701208869</v>
      </c>
    </row>
    <row r="54" spans="1:15" x14ac:dyDescent="0.3">
      <c r="A54" s="10" t="s">
        <v>98</v>
      </c>
      <c r="B54" t="s">
        <v>99</v>
      </c>
      <c r="C54">
        <v>138.93928310033999</v>
      </c>
      <c r="D54">
        <v>128.521121348142</v>
      </c>
      <c r="E54">
        <v>159.81946550682571</v>
      </c>
      <c r="F54">
        <v>170.83937001127549</v>
      </c>
      <c r="G54">
        <v>174.03473814236349</v>
      </c>
      <c r="H54">
        <v>175.4910837060259</v>
      </c>
      <c r="I54">
        <v>169.4800482086637</v>
      </c>
      <c r="J54">
        <v>164.24190823448899</v>
      </c>
      <c r="K54">
        <v>158.22277187767611</v>
      </c>
      <c r="L54">
        <v>150.82728811688861</v>
      </c>
      <c r="M54">
        <v>153.33909494901849</v>
      </c>
      <c r="N54">
        <v>152.14044253171289</v>
      </c>
      <c r="O54">
        <v>171.67906800279849</v>
      </c>
    </row>
    <row r="55" spans="1:15" x14ac:dyDescent="0.3">
      <c r="A55" s="10" t="s">
        <v>100</v>
      </c>
      <c r="B55" t="s">
        <v>101</v>
      </c>
      <c r="C55">
        <v>-2.8493057263943359E-2</v>
      </c>
      <c r="D55">
        <v>-0.13849347222414429</v>
      </c>
      <c r="E55">
        <v>-0.1003252564134922</v>
      </c>
      <c r="F55">
        <v>-0.11187941220132271</v>
      </c>
      <c r="G55">
        <v>-0.12921064588306841</v>
      </c>
      <c r="H55">
        <v>-0.1407648016708988</v>
      </c>
      <c r="I55">
        <v>-0.1769213409035062</v>
      </c>
      <c r="J55">
        <v>-0.20102570039191109</v>
      </c>
      <c r="K55">
        <v>-0.2371822396245187</v>
      </c>
      <c r="L55">
        <v>-0.26128659911292351</v>
      </c>
      <c r="M55">
        <v>-0.29853879104954939</v>
      </c>
      <c r="N55">
        <v>-0.32337358567396662</v>
      </c>
      <c r="O55">
        <v>-0.38546057223500951</v>
      </c>
    </row>
    <row r="56" spans="1:15" x14ac:dyDescent="0.3">
      <c r="A56" s="10" t="s">
        <v>102</v>
      </c>
      <c r="B56" t="s">
        <v>103</v>
      </c>
      <c r="C56">
        <v>0.57674665698021155</v>
      </c>
      <c r="D56">
        <v>0.68040144875096153</v>
      </c>
      <c r="E56">
        <v>0.92757580486249447</v>
      </c>
      <c r="F56">
        <v>1.160293709334584</v>
      </c>
      <c r="G56">
        <v>1.4911257842651979</v>
      </c>
      <c r="H56">
        <v>1.7158535810156279</v>
      </c>
      <c r="I56">
        <v>2.1038639443488929</v>
      </c>
      <c r="J56">
        <v>2.3654934058812018</v>
      </c>
      <c r="K56">
        <v>2.7451980138811161</v>
      </c>
      <c r="L56">
        <v>2.999486773863985</v>
      </c>
      <c r="M56">
        <v>3.434098810127785</v>
      </c>
      <c r="N56">
        <v>3.7240613192966889</v>
      </c>
      <c r="O56">
        <v>4.4160917539895594</v>
      </c>
    </row>
    <row r="57" spans="1:15" x14ac:dyDescent="0.3">
      <c r="A57" s="10" t="s">
        <v>104</v>
      </c>
      <c r="B57" t="s">
        <v>105</v>
      </c>
      <c r="C57">
        <v>0.22295074653156899</v>
      </c>
      <c r="D57">
        <v>0.22719965569051601</v>
      </c>
      <c r="E57">
        <v>0.45642706099723762</v>
      </c>
      <c r="F57">
        <v>0.60008601917852356</v>
      </c>
      <c r="G57">
        <v>0.75585175937443783</v>
      </c>
      <c r="H57">
        <v>0.85889870172707616</v>
      </c>
      <c r="I57">
        <v>1.02548803966901</v>
      </c>
      <c r="J57">
        <v>1.132024444466631</v>
      </c>
      <c r="K57">
        <v>1.2920269109137019</v>
      </c>
      <c r="L57">
        <v>1.385009090544467</v>
      </c>
      <c r="M57">
        <v>1.5990544675176299</v>
      </c>
      <c r="N57">
        <v>1.729651237269183</v>
      </c>
      <c r="O57">
        <v>2.126393070256857</v>
      </c>
    </row>
    <row r="58" spans="1:15" x14ac:dyDescent="0.3">
      <c r="A58" s="10" t="s">
        <v>106</v>
      </c>
      <c r="B58" t="s">
        <v>107</v>
      </c>
      <c r="C58">
        <v>-9.1512493240742065E-2</v>
      </c>
      <c r="D58">
        <v>-0.1985848340544121</v>
      </c>
      <c r="E58">
        <v>-0.2547493809386483</v>
      </c>
      <c r="F58">
        <v>-0.29315082769254508</v>
      </c>
      <c r="G58">
        <v>-0.40803223984306441</v>
      </c>
      <c r="H58">
        <v>-0.48394162200169288</v>
      </c>
      <c r="I58">
        <v>-0.57873012498280785</v>
      </c>
      <c r="J58">
        <v>-0.64122214921963583</v>
      </c>
      <c r="K58">
        <v>-0.72515706330911378</v>
      </c>
      <c r="L58">
        <v>-0.77889844946198594</v>
      </c>
      <c r="M58">
        <v>-0.83163976092245173</v>
      </c>
      <c r="N58">
        <v>-0.86452988507141082</v>
      </c>
      <c r="O58">
        <v>-0.94254797277983748</v>
      </c>
    </row>
    <row r="59" spans="1:15" x14ac:dyDescent="0.3">
      <c r="A59" s="10" t="s">
        <v>108</v>
      </c>
      <c r="B59" t="s">
        <v>109</v>
      </c>
      <c r="C59">
        <v>0.45218582230276438</v>
      </c>
      <c r="D59">
        <v>0.45724925644768272</v>
      </c>
      <c r="E59">
        <v>0.47850940029659872</v>
      </c>
      <c r="F59">
        <v>0.48465596907422431</v>
      </c>
      <c r="G59">
        <v>0.51664351467655523</v>
      </c>
      <c r="H59">
        <v>0.54018395493842797</v>
      </c>
      <c r="I59">
        <v>0.57250857173411007</v>
      </c>
      <c r="J59">
        <v>0.59631895644111321</v>
      </c>
      <c r="K59">
        <v>0.63032021212235045</v>
      </c>
      <c r="L59">
        <v>0.65546623929183956</v>
      </c>
      <c r="M59">
        <v>0.6741868127497046</v>
      </c>
      <c r="N59">
        <v>0.68748169699160067</v>
      </c>
      <c r="O59">
        <v>0.71108803175586011</v>
      </c>
    </row>
    <row r="60" spans="1:15" x14ac:dyDescent="0.3">
      <c r="A60" s="10" t="s">
        <v>110</v>
      </c>
      <c r="B60" t="s">
        <v>111</v>
      </c>
      <c r="C60">
        <v>0.47186541645575952</v>
      </c>
      <c r="D60">
        <v>0.462514098963417</v>
      </c>
      <c r="E60">
        <v>0.42758025867919691</v>
      </c>
      <c r="F60">
        <v>0.41170403566293851</v>
      </c>
      <c r="G60">
        <v>0.36652321375356423</v>
      </c>
      <c r="H60">
        <v>0.33337594042376972</v>
      </c>
      <c r="I60">
        <v>0.28801495899564022</v>
      </c>
      <c r="J60">
        <v>0.25520966075278639</v>
      </c>
      <c r="K60">
        <v>0.2070694245591469</v>
      </c>
      <c r="L60">
        <v>0.17342980432589461</v>
      </c>
      <c r="M60">
        <v>0.1374657818214913</v>
      </c>
      <c r="N60">
        <v>0.1137004830005364</v>
      </c>
      <c r="O60">
        <v>5.1491501700170868E-2</v>
      </c>
    </row>
    <row r="61" spans="1:15" x14ac:dyDescent="0.3">
      <c r="A61" s="10" t="s">
        <v>112</v>
      </c>
      <c r="B61" t="s">
        <v>113</v>
      </c>
      <c r="C61">
        <v>-4.3866286555194201E-2</v>
      </c>
      <c r="D61">
        <v>-0.117778180292249</v>
      </c>
      <c r="E61">
        <v>-0.1215711046235869</v>
      </c>
      <c r="F61">
        <v>-0.1298204198405358</v>
      </c>
      <c r="G61">
        <v>-0.19370301469996951</v>
      </c>
      <c r="H61">
        <v>-0.23638128559038221</v>
      </c>
      <c r="I61">
        <v>-0.27317037725532162</v>
      </c>
      <c r="J61">
        <v>-0.29766806609745577</v>
      </c>
      <c r="K61">
        <v>-0.33433220852438089</v>
      </c>
      <c r="L61">
        <v>-0.35888905341689709</v>
      </c>
      <c r="M61">
        <v>-0.38220723933157807</v>
      </c>
      <c r="N61">
        <v>-0.3978845692084868</v>
      </c>
      <c r="O61">
        <v>-0.41892575251180242</v>
      </c>
    </row>
    <row r="62" spans="1:15" x14ac:dyDescent="0.3">
      <c r="A62" s="10" t="s">
        <v>114</v>
      </c>
      <c r="B62" t="s">
        <v>115</v>
      </c>
      <c r="C62">
        <v>3.6893845290145062E-2</v>
      </c>
      <c r="D62">
        <v>-7.6238372063653248E-2</v>
      </c>
      <c r="E62">
        <v>-6.3778328315453159E-2</v>
      </c>
      <c r="F62">
        <v>-6.1779386869110893E-2</v>
      </c>
      <c r="G62">
        <v>-0.133527826162225</v>
      </c>
      <c r="H62">
        <v>-0.18157802038168999</v>
      </c>
      <c r="I62">
        <v>-0.22631464757133971</v>
      </c>
      <c r="J62">
        <v>-0.25625077271953461</v>
      </c>
      <c r="K62">
        <v>-0.300944778532514</v>
      </c>
      <c r="L62">
        <v>-0.33092582595970499</v>
      </c>
      <c r="M62">
        <v>-0.36204899727488099</v>
      </c>
      <c r="N62">
        <v>-0.3829865598806057</v>
      </c>
      <c r="O62">
        <v>-0.41334788128166577</v>
      </c>
    </row>
    <row r="63" spans="1:15" x14ac:dyDescent="0.3">
      <c r="A63" s="10" t="s">
        <v>116</v>
      </c>
      <c r="B63" t="s">
        <v>117</v>
      </c>
      <c r="C63">
        <v>137.15318764534641</v>
      </c>
      <c r="D63">
        <v>126.1150539111176</v>
      </c>
      <c r="E63">
        <v>150.91653026436839</v>
      </c>
      <c r="F63">
        <v>162.6061801867701</v>
      </c>
      <c r="G63">
        <v>166.5882155670536</v>
      </c>
      <c r="H63">
        <v>168.25689161899649</v>
      </c>
      <c r="I63">
        <v>186.68813366508951</v>
      </c>
      <c r="J63">
        <v>198.16050123380981</v>
      </c>
      <c r="K63">
        <v>207.412128998844</v>
      </c>
      <c r="L63">
        <v>211.36411060317201</v>
      </c>
      <c r="M63">
        <v>210.56485320786311</v>
      </c>
      <c r="N63">
        <v>207.50455788632661</v>
      </c>
      <c r="O63">
        <v>238.09999307131139</v>
      </c>
    </row>
    <row r="64" spans="1:15" x14ac:dyDescent="0.3">
      <c r="A64" s="10" t="s">
        <v>118</v>
      </c>
      <c r="B64" t="s">
        <v>155</v>
      </c>
      <c r="C64">
        <v>8.6534480614723727E-2</v>
      </c>
      <c r="D64">
        <v>8.6236486209261748E-2</v>
      </c>
      <c r="E64">
        <v>0.1036411243934237</v>
      </c>
      <c r="F64">
        <v>0.1127275523892035</v>
      </c>
      <c r="G64">
        <v>0.1246381969131936</v>
      </c>
      <c r="H64">
        <v>0.13292241267657379</v>
      </c>
      <c r="I64">
        <v>0.15494801333812919</v>
      </c>
      <c r="J64">
        <v>0.17020667741117509</v>
      </c>
      <c r="K64">
        <v>0.1879656638127333</v>
      </c>
      <c r="L64">
        <v>0.1988840575334252</v>
      </c>
      <c r="M64">
        <v>0.20561035569934369</v>
      </c>
      <c r="N64">
        <v>0.2078977555087454</v>
      </c>
      <c r="O64">
        <v>0.24718930230976319</v>
      </c>
    </row>
    <row r="65" spans="1:15" x14ac:dyDescent="0.3">
      <c r="A65" s="10" t="s">
        <v>119</v>
      </c>
      <c r="B65" t="s">
        <v>120</v>
      </c>
      <c r="C65">
        <v>0</v>
      </c>
      <c r="D65">
        <v>1E-3</v>
      </c>
      <c r="E65">
        <v>3.04E-2</v>
      </c>
      <c r="F65">
        <v>0.05</v>
      </c>
      <c r="G65">
        <v>8.0000000000000016E-2</v>
      </c>
      <c r="H65">
        <v>9.9999999999999978E-2</v>
      </c>
      <c r="I65">
        <v>0.13</v>
      </c>
      <c r="J65">
        <v>0.15</v>
      </c>
      <c r="K65">
        <v>0.24</v>
      </c>
      <c r="L65">
        <v>0.3</v>
      </c>
      <c r="M65">
        <v>0.42</v>
      </c>
      <c r="N65">
        <v>0.5</v>
      </c>
      <c r="O65">
        <v>1</v>
      </c>
    </row>
    <row r="66" spans="1:15" x14ac:dyDescent="0.3">
      <c r="A66" s="10" t="s">
        <v>121</v>
      </c>
      <c r="B66" t="s">
        <v>156</v>
      </c>
      <c r="C66">
        <v>0.20907449391760349</v>
      </c>
      <c r="D66">
        <v>0.21244999451497409</v>
      </c>
      <c r="E66">
        <v>0.20422202997152669</v>
      </c>
      <c r="F66">
        <v>0.1960568043258549</v>
      </c>
      <c r="G66">
        <v>0.1844217881754911</v>
      </c>
      <c r="H66">
        <v>0.17576571532655261</v>
      </c>
      <c r="I66">
        <v>0.1623153340576439</v>
      </c>
      <c r="J66">
        <v>0.15257330157842511</v>
      </c>
      <c r="K66">
        <v>0.1455133466393316</v>
      </c>
      <c r="L66">
        <v>0.14035771246796741</v>
      </c>
      <c r="M66">
        <v>0.13318631610287099</v>
      </c>
      <c r="N66">
        <v>0.12815493128520281</v>
      </c>
      <c r="O66">
        <v>0.1130648791529921</v>
      </c>
    </row>
    <row r="67" spans="1:15" x14ac:dyDescent="0.3">
      <c r="A67" s="10" t="s">
        <v>122</v>
      </c>
      <c r="B67" t="s">
        <v>123</v>
      </c>
      <c r="C67">
        <v>3.51634270804269E-3</v>
      </c>
      <c r="D67">
        <v>0.31298245076431641</v>
      </c>
      <c r="E67">
        <v>1.263557277625863</v>
      </c>
      <c r="F67">
        <v>2.2029228878929188</v>
      </c>
      <c r="G67">
        <v>3.8908647986603921</v>
      </c>
      <c r="H67">
        <v>4.1563217653235789</v>
      </c>
      <c r="I67">
        <v>6.4578938116116831</v>
      </c>
      <c r="J67">
        <v>7.3967411048692373</v>
      </c>
      <c r="K67">
        <v>8.2145341939868413</v>
      </c>
      <c r="L67">
        <v>8.1354633176402587</v>
      </c>
      <c r="M67">
        <v>6.5236793515606539</v>
      </c>
      <c r="N67">
        <v>5.0418456019104534</v>
      </c>
      <c r="O67">
        <v>0</v>
      </c>
    </row>
    <row r="68" spans="1:15" x14ac:dyDescent="0.3">
      <c r="A68" s="10" t="s">
        <v>124</v>
      </c>
      <c r="B68" t="s">
        <v>125</v>
      </c>
      <c r="C68">
        <v>8.7946853613281514E-3</v>
      </c>
      <c r="D68">
        <v>1.820393620697458E-2</v>
      </c>
      <c r="E68">
        <v>9.6459156230000731E-2</v>
      </c>
      <c r="F68">
        <v>0.14936188213701779</v>
      </c>
      <c r="G68">
        <v>0.22825862024303681</v>
      </c>
      <c r="H68">
        <v>0.27998581832761887</v>
      </c>
      <c r="I68">
        <v>0.33472256475310791</v>
      </c>
      <c r="J68">
        <v>0.37117122379309708</v>
      </c>
      <c r="K68">
        <v>0.441230183804738</v>
      </c>
      <c r="L68">
        <v>0.48317767992793292</v>
      </c>
      <c r="M68">
        <v>0.54677325032464685</v>
      </c>
      <c r="N68">
        <v>0.58245562068013168</v>
      </c>
      <c r="O68">
        <v>0.64687319335327065</v>
      </c>
    </row>
    <row r="69" spans="1:15" x14ac:dyDescent="0.3">
      <c r="A69" s="10" t="s">
        <v>126</v>
      </c>
      <c r="B69" t="s">
        <v>127</v>
      </c>
      <c r="C69">
        <v>0</v>
      </c>
      <c r="D69">
        <v>0</v>
      </c>
      <c r="E69">
        <v>2.963992501967835E-2</v>
      </c>
      <c r="F69">
        <v>0.1799204281888975</v>
      </c>
      <c r="G69">
        <v>0.89827670052161013</v>
      </c>
      <c r="H69">
        <v>1.607421884854674</v>
      </c>
      <c r="I69">
        <v>2.4047194436514432</v>
      </c>
      <c r="J69">
        <v>3.0222035276845149</v>
      </c>
      <c r="K69">
        <v>4.5598340439928586</v>
      </c>
      <c r="L69">
        <v>5.698355640491549</v>
      </c>
      <c r="M69">
        <v>7.3696689143793934</v>
      </c>
      <c r="N69">
        <v>8.5039121860360023</v>
      </c>
      <c r="O69">
        <v>10.68156890299484</v>
      </c>
    </row>
    <row r="70" spans="1:15" x14ac:dyDescent="0.3">
      <c r="A70" s="10" t="s">
        <v>128</v>
      </c>
      <c r="B70" t="s">
        <v>129</v>
      </c>
      <c r="C70">
        <v>3.1713583733766718E-2</v>
      </c>
      <c r="D70">
        <v>5.4345198389526311E-2</v>
      </c>
      <c r="E70">
        <v>0.24930650202902949</v>
      </c>
      <c r="F70">
        <v>0.37199667872835951</v>
      </c>
      <c r="G70">
        <v>0.54584227319276946</v>
      </c>
      <c r="H70">
        <v>0.65483042655066526</v>
      </c>
      <c r="I70">
        <v>0.71794913438210139</v>
      </c>
      <c r="J70">
        <v>0.75847078327192363</v>
      </c>
      <c r="K70">
        <v>0.83255037191720049</v>
      </c>
      <c r="L70">
        <v>0.87587747021366846</v>
      </c>
      <c r="M70">
        <v>0.93411900881970644</v>
      </c>
      <c r="N70">
        <v>0.96519768876136935</v>
      </c>
      <c r="O70">
        <v>1.014910522020521</v>
      </c>
    </row>
    <row r="71" spans="1:15" x14ac:dyDescent="0.3">
      <c r="A71" s="10" t="s">
        <v>130</v>
      </c>
      <c r="B71" t="s">
        <v>131</v>
      </c>
      <c r="C71">
        <v>0</v>
      </c>
      <c r="D71">
        <v>0</v>
      </c>
      <c r="E71">
        <v>7.6606786912370523E-2</v>
      </c>
      <c r="F71">
        <v>0.44810497005022859</v>
      </c>
      <c r="G71">
        <v>2.1480783317044252</v>
      </c>
      <c r="H71">
        <v>3.759435977127235</v>
      </c>
      <c r="I71">
        <v>5.1579021697411029</v>
      </c>
      <c r="J71">
        <v>6.1757295014007374</v>
      </c>
      <c r="K71">
        <v>8.6038799441857261</v>
      </c>
      <c r="L71">
        <v>10.32966035085883</v>
      </c>
      <c r="M71">
        <v>12.59049856140917</v>
      </c>
      <c r="N71">
        <v>14.09198588865395</v>
      </c>
      <c r="O71">
        <v>16.75882813313034</v>
      </c>
    </row>
    <row r="72" spans="1:15" x14ac:dyDescent="0.3">
      <c r="A72" s="10" t="s">
        <v>132</v>
      </c>
      <c r="B72" t="s">
        <v>133</v>
      </c>
      <c r="C72">
        <v>7.9285364042702131E-2</v>
      </c>
      <c r="D72">
        <v>8.7382300894860876E-2</v>
      </c>
      <c r="E72">
        <v>9.8613949959289654E-2</v>
      </c>
      <c r="F72">
        <v>0.1068593486213063</v>
      </c>
      <c r="G72">
        <v>0.12926196514079649</v>
      </c>
      <c r="H72">
        <v>0.14868631475904781</v>
      </c>
      <c r="I72">
        <v>0.22605533133815359</v>
      </c>
      <c r="J72">
        <v>0.29333087782892281</v>
      </c>
      <c r="K72">
        <v>0.39568587111884718</v>
      </c>
      <c r="L72">
        <v>0.48638017895753233</v>
      </c>
      <c r="M72">
        <v>0.54823701763213539</v>
      </c>
      <c r="N72">
        <v>0.60261199550838251</v>
      </c>
      <c r="O72">
        <v>0.73228811509554059</v>
      </c>
    </row>
    <row r="73" spans="1:15" x14ac:dyDescent="0.3">
      <c r="A73" s="10" t="s">
        <v>134</v>
      </c>
      <c r="B73" t="s">
        <v>135</v>
      </c>
      <c r="C73">
        <v>0.54900671679390767</v>
      </c>
      <c r="D73">
        <v>0.5565347824416973</v>
      </c>
      <c r="E73">
        <v>0.5989299030472045</v>
      </c>
      <c r="F73">
        <v>0.6173506766550787</v>
      </c>
      <c r="G73">
        <v>0.66475392135265465</v>
      </c>
      <c r="H73">
        <v>0.69938954745067627</v>
      </c>
      <c r="I73">
        <v>0.74121910935846891</v>
      </c>
      <c r="J73">
        <v>0.77134067117860028</v>
      </c>
      <c r="K73">
        <v>0.81604258624799697</v>
      </c>
      <c r="L73">
        <v>0.84704369472411556</v>
      </c>
      <c r="M73">
        <v>0.88841503979260905</v>
      </c>
      <c r="N73">
        <v>0.91601212829942114</v>
      </c>
      <c r="O73">
        <v>1.006560280973581</v>
      </c>
    </row>
    <row r="74" spans="1:15" x14ac:dyDescent="0.3">
      <c r="A74" s="10" t="s">
        <v>136</v>
      </c>
      <c r="B74" t="s">
        <v>137</v>
      </c>
      <c r="C74">
        <v>0.17329133155012</v>
      </c>
      <c r="D74">
        <v>0.19073269505183421</v>
      </c>
      <c r="E74">
        <v>0.2178841833047605</v>
      </c>
      <c r="F74">
        <v>0.24075416320004561</v>
      </c>
      <c r="G74">
        <v>0.28455374349426521</v>
      </c>
      <c r="H74">
        <v>0.31791044784616518</v>
      </c>
      <c r="I74">
        <v>0.37889098177463088</v>
      </c>
      <c r="J74">
        <v>0.42258158498812909</v>
      </c>
      <c r="K74">
        <v>0.48489015231388333</v>
      </c>
      <c r="L74">
        <v>0.52751362738833807</v>
      </c>
      <c r="M74">
        <v>0.57959306813917</v>
      </c>
      <c r="N74">
        <v>0.6133441379791581</v>
      </c>
      <c r="O74">
        <v>0.71257053428707184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O74"/>
  <sheetViews>
    <sheetView workbookViewId="0">
      <selection activeCell="C2" sqref="C2:O77"/>
    </sheetView>
  </sheetViews>
  <sheetFormatPr baseColWidth="10" defaultColWidth="8.88671875" defaultRowHeight="14.4" x14ac:dyDescent="0.3"/>
  <sheetData>
    <row r="1" spans="1:15" x14ac:dyDescent="0.3">
      <c r="A1" s="10" t="s">
        <v>0</v>
      </c>
      <c r="B1" s="10" t="s">
        <v>1</v>
      </c>
      <c r="C1" s="1">
        <v>2019</v>
      </c>
      <c r="D1" s="1">
        <v>2020</v>
      </c>
      <c r="E1" s="1">
        <v>2023</v>
      </c>
      <c r="F1" s="1">
        <v>2025</v>
      </c>
      <c r="G1" s="1">
        <v>2028</v>
      </c>
      <c r="H1" s="1">
        <v>2030</v>
      </c>
      <c r="I1" s="1">
        <v>2033</v>
      </c>
      <c r="J1" s="1">
        <v>2035</v>
      </c>
      <c r="K1" s="1">
        <v>2038</v>
      </c>
      <c r="L1" s="1">
        <v>2040</v>
      </c>
      <c r="M1" s="1">
        <v>2043</v>
      </c>
      <c r="N1" s="1">
        <v>2045</v>
      </c>
      <c r="O1" s="1">
        <v>2050</v>
      </c>
    </row>
    <row r="2" spans="1:15" x14ac:dyDescent="0.3">
      <c r="A2" s="10" t="s">
        <v>2</v>
      </c>
      <c r="B2" t="s">
        <v>3</v>
      </c>
      <c r="C2">
        <v>113.559489778081</v>
      </c>
      <c r="D2">
        <v>113.559489778081</v>
      </c>
      <c r="E2">
        <v>113.559489778081</v>
      </c>
      <c r="F2">
        <v>113.559489778081</v>
      </c>
      <c r="G2">
        <v>113.559489778081</v>
      </c>
      <c r="H2">
        <v>113.559489778081</v>
      </c>
      <c r="I2">
        <v>113.559489778081</v>
      </c>
      <c r="J2">
        <v>113.559489778081</v>
      </c>
      <c r="K2">
        <v>113.559489778081</v>
      </c>
      <c r="L2">
        <v>113.559489778081</v>
      </c>
      <c r="M2">
        <v>113.559489778081</v>
      </c>
      <c r="N2">
        <v>113.559489778081</v>
      </c>
      <c r="O2">
        <v>113.559489778081</v>
      </c>
    </row>
    <row r="3" spans="1:15" x14ac:dyDescent="0.3">
      <c r="A3" s="10" t="s">
        <v>4</v>
      </c>
      <c r="B3" t="s">
        <v>5</v>
      </c>
      <c r="C3">
        <v>-0.19223458806211571</v>
      </c>
      <c r="D3">
        <v>-0.30279434706080183</v>
      </c>
      <c r="E3">
        <v>-0.28291068798253471</v>
      </c>
      <c r="F3">
        <v>-0.29476612188788948</v>
      </c>
      <c r="G3">
        <v>-0.34435721113307421</v>
      </c>
      <c r="H3">
        <v>-0.37742579503230361</v>
      </c>
      <c r="I3">
        <v>-0.41322727442775781</v>
      </c>
      <c r="J3">
        <v>-0.43720094144500671</v>
      </c>
      <c r="K3">
        <v>-0.46533214203271428</v>
      </c>
      <c r="L3">
        <v>-0.48413763202039739</v>
      </c>
      <c r="M3">
        <v>-0.50461986969689065</v>
      </c>
      <c r="N3">
        <v>-0.51825496496809642</v>
      </c>
      <c r="O3">
        <v>-0.5244063245952274</v>
      </c>
    </row>
    <row r="4" spans="1:15" x14ac:dyDescent="0.3">
      <c r="A4" s="10" t="s">
        <v>6</v>
      </c>
      <c r="B4" t="s">
        <v>7</v>
      </c>
      <c r="C4">
        <v>-0.20552563387467199</v>
      </c>
      <c r="D4">
        <v>-0.28934171746870929</v>
      </c>
      <c r="E4">
        <v>-0.30973426642068258</v>
      </c>
      <c r="F4">
        <v>-0.323702463351485</v>
      </c>
      <c r="G4">
        <v>-0.36183850586932248</v>
      </c>
      <c r="H4">
        <v>-0.38735336942222298</v>
      </c>
      <c r="I4">
        <v>-0.41592741747525908</v>
      </c>
      <c r="J4">
        <v>-0.43493027463335082</v>
      </c>
      <c r="K4">
        <v>-0.45796019108720393</v>
      </c>
      <c r="L4">
        <v>-0.47336381025141733</v>
      </c>
      <c r="M4">
        <v>-0.48994762640372791</v>
      </c>
      <c r="N4">
        <v>-0.50100686021687957</v>
      </c>
      <c r="O4">
        <v>-0.50613359524305235</v>
      </c>
    </row>
    <row r="5" spans="1:15" x14ac:dyDescent="0.3">
      <c r="A5" s="10" t="s">
        <v>8</v>
      </c>
      <c r="B5" t="s">
        <v>9</v>
      </c>
      <c r="C5">
        <v>-0.22811060789925419</v>
      </c>
      <c r="D5">
        <v>-0.31442587816055217</v>
      </c>
      <c r="E5">
        <v>-0.33354559422333319</v>
      </c>
      <c r="F5">
        <v>-0.34667555194359201</v>
      </c>
      <c r="G5">
        <v>-0.38380042788031499</v>
      </c>
      <c r="H5">
        <v>-0.40873759658740388</v>
      </c>
      <c r="I5">
        <v>-0.43420401326043989</v>
      </c>
      <c r="J5">
        <v>-0.45123197638785889</v>
      </c>
      <c r="K5">
        <v>-0.47349499970380621</v>
      </c>
      <c r="L5">
        <v>-0.48846170231811492</v>
      </c>
      <c r="M5">
        <v>-0.50444989462262702</v>
      </c>
      <c r="N5">
        <v>-0.51509764561362625</v>
      </c>
      <c r="O5">
        <v>-0.51898731225360173</v>
      </c>
    </row>
    <row r="6" spans="1:15" x14ac:dyDescent="0.3">
      <c r="A6" s="10" t="s">
        <v>10</v>
      </c>
      <c r="B6" t="s">
        <v>11</v>
      </c>
      <c r="C6">
        <v>-0.22811060789925419</v>
      </c>
      <c r="D6">
        <v>-0.31442587816055217</v>
      </c>
      <c r="E6">
        <v>-0.33354559422333319</v>
      </c>
      <c r="F6">
        <v>-0.34667555194359201</v>
      </c>
      <c r="G6">
        <v>-0.38380042788031499</v>
      </c>
      <c r="H6">
        <v>-0.40873759658740388</v>
      </c>
      <c r="I6">
        <v>-0.43420401326043989</v>
      </c>
      <c r="J6">
        <v>-0.45123197638785889</v>
      </c>
      <c r="K6">
        <v>-0.47349499970380621</v>
      </c>
      <c r="L6">
        <v>-0.48846170231811492</v>
      </c>
      <c r="M6">
        <v>-0.50444989462262702</v>
      </c>
      <c r="N6">
        <v>-0.51509764561362625</v>
      </c>
      <c r="O6">
        <v>-0.51898731225360173</v>
      </c>
    </row>
    <row r="7" spans="1:15" x14ac:dyDescent="0.3">
      <c r="A7" s="10" t="s">
        <v>12</v>
      </c>
      <c r="B7" t="s">
        <v>13</v>
      </c>
      <c r="C7">
        <v>-0.18669848720429599</v>
      </c>
      <c r="D7">
        <v>-0.28687448299929508</v>
      </c>
      <c r="E7">
        <v>-0.29659383569901471</v>
      </c>
      <c r="F7">
        <v>-0.30377301313333921</v>
      </c>
      <c r="G7">
        <v>-0.34088972125758688</v>
      </c>
      <c r="H7">
        <v>-0.3657219081246198</v>
      </c>
      <c r="I7">
        <v>-0.39286293027692509</v>
      </c>
      <c r="J7">
        <v>-0.41091176041026523</v>
      </c>
      <c r="K7">
        <v>-0.43254803746608422</v>
      </c>
      <c r="L7">
        <v>-0.4470209147111639</v>
      </c>
      <c r="M7">
        <v>-0.4623603249379975</v>
      </c>
      <c r="N7">
        <v>-0.47258966941116198</v>
      </c>
      <c r="O7">
        <v>-0.47698664454570489</v>
      </c>
    </row>
    <row r="8" spans="1:15" x14ac:dyDescent="0.3">
      <c r="A8" s="10" t="s">
        <v>14</v>
      </c>
      <c r="B8" t="s">
        <v>15</v>
      </c>
      <c r="C8">
        <v>-0.208602212164955</v>
      </c>
      <c r="D8">
        <v>-0.31120200961345362</v>
      </c>
      <c r="E8">
        <v>-0.31968692292460432</v>
      </c>
      <c r="F8">
        <v>-0.3260531456440372</v>
      </c>
      <c r="G8">
        <v>-0.36218918783269261</v>
      </c>
      <c r="H8">
        <v>-0.38646110533656081</v>
      </c>
      <c r="I8">
        <v>-0.41058823413868778</v>
      </c>
      <c r="J8">
        <v>-0.42672174058703211</v>
      </c>
      <c r="K8">
        <v>-0.44761425693059048</v>
      </c>
      <c r="L8">
        <v>-0.46166339669740458</v>
      </c>
      <c r="M8">
        <v>-0.47642514936625369</v>
      </c>
      <c r="N8">
        <v>-0.48625542291054952</v>
      </c>
      <c r="O8">
        <v>-0.48945264436553099</v>
      </c>
    </row>
    <row r="9" spans="1:15" x14ac:dyDescent="0.3">
      <c r="A9" s="10" t="s">
        <v>16</v>
      </c>
      <c r="B9" t="s">
        <v>17</v>
      </c>
      <c r="C9">
        <v>-0.208602212164955</v>
      </c>
      <c r="D9">
        <v>-0.31120200961345362</v>
      </c>
      <c r="E9">
        <v>-0.31968692292460432</v>
      </c>
      <c r="F9">
        <v>-0.3260531456440372</v>
      </c>
      <c r="G9">
        <v>-0.36218918783269261</v>
      </c>
      <c r="H9">
        <v>-0.38646110533656081</v>
      </c>
      <c r="I9">
        <v>-0.41058823413868778</v>
      </c>
      <c r="J9">
        <v>-0.42672174058703211</v>
      </c>
      <c r="K9">
        <v>-0.44761425693059048</v>
      </c>
      <c r="L9">
        <v>-0.46166339669740458</v>
      </c>
      <c r="M9">
        <v>-0.47642514936625369</v>
      </c>
      <c r="N9">
        <v>-0.48625542291054952</v>
      </c>
      <c r="O9">
        <v>-0.48945264436553099</v>
      </c>
    </row>
    <row r="10" spans="1:15" x14ac:dyDescent="0.3">
      <c r="A10" s="10" t="s">
        <v>18</v>
      </c>
      <c r="B10" t="s">
        <v>19</v>
      </c>
      <c r="C10">
        <v>4.8504154336415652</v>
      </c>
      <c r="D10">
        <v>2.9798067454655488</v>
      </c>
      <c r="E10">
        <v>3.7722017616842241</v>
      </c>
      <c r="F10">
        <v>4.300465105830007</v>
      </c>
      <c r="G10">
        <v>4.4766550075210754</v>
      </c>
      <c r="H10">
        <v>4.594114941981787</v>
      </c>
      <c r="I10">
        <v>4.7223512878949014</v>
      </c>
      <c r="J10">
        <v>4.807842185170311</v>
      </c>
      <c r="K10">
        <v>4.9085227880762163</v>
      </c>
      <c r="L10">
        <v>4.9756431900134874</v>
      </c>
      <c r="M10">
        <v>5.0449287392857478</v>
      </c>
      <c r="N10">
        <v>5.0911191054672562</v>
      </c>
      <c r="O10">
        <v>5.1440108937232178</v>
      </c>
    </row>
    <row r="11" spans="1:15" x14ac:dyDescent="0.3">
      <c r="A11" s="10" t="s">
        <v>20</v>
      </c>
      <c r="B11" t="s">
        <v>22</v>
      </c>
      <c r="C11">
        <v>89.761381889874286</v>
      </c>
      <c r="D11">
        <v>72.216321126073254</v>
      </c>
      <c r="E11">
        <v>70.243683384855274</v>
      </c>
      <c r="F11">
        <v>66.465648104131816</v>
      </c>
      <c r="G11">
        <v>63.377278679741018</v>
      </c>
      <c r="H11">
        <v>61.356067138506859</v>
      </c>
      <c r="I11">
        <v>58.90199256828005</v>
      </c>
      <c r="J11">
        <v>57.27770002321833</v>
      </c>
      <c r="K11">
        <v>55.34248852937538</v>
      </c>
      <c r="L11">
        <v>54.053686138328253</v>
      </c>
      <c r="M11">
        <v>52.232646317874398</v>
      </c>
      <c r="N11">
        <v>51.017297001420353</v>
      </c>
      <c r="O11">
        <v>52.814537310408667</v>
      </c>
    </row>
    <row r="12" spans="1:15" x14ac:dyDescent="0.3">
      <c r="A12" s="10" t="s">
        <v>21</v>
      </c>
      <c r="B12" t="s">
        <v>23</v>
      </c>
      <c r="C12">
        <v>93.738722545460377</v>
      </c>
      <c r="D12">
        <v>74.659762657355003</v>
      </c>
      <c r="E12">
        <v>73.336888829436333</v>
      </c>
      <c r="F12">
        <v>69.992029490912415</v>
      </c>
      <c r="G12">
        <v>67.0481357859083</v>
      </c>
      <c r="H12">
        <v>65.123241390931923</v>
      </c>
      <c r="I12">
        <v>62.774320624353869</v>
      </c>
      <c r="J12">
        <v>61.220130615057982</v>
      </c>
      <c r="K12">
        <v>59.36747721559788</v>
      </c>
      <c r="L12">
        <v>58.133713554139312</v>
      </c>
      <c r="M12">
        <v>56.36948788408872</v>
      </c>
      <c r="N12">
        <v>55.192014667903493</v>
      </c>
      <c r="O12">
        <v>57.032626243261703</v>
      </c>
    </row>
    <row r="13" spans="1:15" x14ac:dyDescent="0.3">
      <c r="A13" s="10" t="s">
        <v>24</v>
      </c>
      <c r="B13" t="s">
        <v>25</v>
      </c>
      <c r="C13">
        <v>-0.41772265697030919</v>
      </c>
      <c r="D13">
        <v>-0.53153653939665579</v>
      </c>
      <c r="E13">
        <v>-0.5443329362271514</v>
      </c>
      <c r="F13">
        <v>-0.56884085153343578</v>
      </c>
      <c r="G13">
        <v>-0.58887494085856074</v>
      </c>
      <c r="H13">
        <v>-0.60198643336404256</v>
      </c>
      <c r="I13">
        <v>-0.61790588547432246</v>
      </c>
      <c r="J13">
        <v>-0.62844258541730946</v>
      </c>
      <c r="K13">
        <v>-0.64099620015797676</v>
      </c>
      <c r="L13">
        <v>-0.64935659319281136</v>
      </c>
      <c r="M13">
        <v>-0.66116958231887057</v>
      </c>
      <c r="N13">
        <v>-0.66905348913868812</v>
      </c>
      <c r="O13">
        <v>-0.65739488618639075</v>
      </c>
    </row>
    <row r="14" spans="1:15" x14ac:dyDescent="0.3">
      <c r="A14" s="10" t="s">
        <v>26</v>
      </c>
      <c r="B14" t="s">
        <v>27</v>
      </c>
      <c r="C14">
        <v>338.52397922334058</v>
      </c>
      <c r="D14">
        <v>311.99974750347042</v>
      </c>
      <c r="E14">
        <v>302.22731268232189</v>
      </c>
      <c r="F14">
        <v>297.97226596774749</v>
      </c>
      <c r="G14">
        <v>280.16685739642128</v>
      </c>
      <c r="H14">
        <v>268.20946140558152</v>
      </c>
      <c r="I14">
        <v>255.01163108928259</v>
      </c>
      <c r="J14">
        <v>246.2266248617706</v>
      </c>
      <c r="K14">
        <v>235.5490138092724</v>
      </c>
      <c r="L14">
        <v>228.40187769492849</v>
      </c>
      <c r="M14">
        <v>221.14307445267309</v>
      </c>
      <c r="N14">
        <v>216.30336890086309</v>
      </c>
      <c r="O14">
        <v>211.67337049547521</v>
      </c>
    </row>
    <row r="15" spans="1:15" x14ac:dyDescent="0.3">
      <c r="A15" s="10" t="s">
        <v>28</v>
      </c>
      <c r="B15" t="s">
        <v>29</v>
      </c>
      <c r="C15">
        <v>-0.1400122732966006</v>
      </c>
      <c r="D15">
        <v>-0.20739454202585991</v>
      </c>
      <c r="E15">
        <v>-0.23222047614573521</v>
      </c>
      <c r="F15">
        <v>-0.2430300145408554</v>
      </c>
      <c r="G15">
        <v>-0.28826294863140522</v>
      </c>
      <c r="H15">
        <v>-0.31863956720668879</v>
      </c>
      <c r="I15">
        <v>-0.35216739030852873</v>
      </c>
      <c r="J15">
        <v>-0.37448485671668791</v>
      </c>
      <c r="K15">
        <v>-0.40161030430456113</v>
      </c>
      <c r="L15">
        <v>-0.41976691865582771</v>
      </c>
      <c r="M15">
        <v>-0.43820721264391199</v>
      </c>
      <c r="N15">
        <v>-0.45050202078413237</v>
      </c>
      <c r="O15">
        <v>-0.46226408801619379</v>
      </c>
    </row>
    <row r="16" spans="1:15" x14ac:dyDescent="0.3">
      <c r="A16" s="10" t="s">
        <v>148</v>
      </c>
      <c r="B16" t="s">
        <v>149</v>
      </c>
      <c r="C16">
        <v>52.736392095870059</v>
      </c>
      <c r="D16">
        <v>52.576211341051859</v>
      </c>
      <c r="E16">
        <v>51.472718898915559</v>
      </c>
      <c r="F16">
        <v>50.736760678232073</v>
      </c>
      <c r="G16">
        <v>49.875765737800819</v>
      </c>
      <c r="H16">
        <v>49.301737617680502</v>
      </c>
      <c r="I16">
        <v>48.44850864294397</v>
      </c>
      <c r="J16">
        <v>47.879745095892197</v>
      </c>
      <c r="K16">
        <v>47.003809724049198</v>
      </c>
      <c r="L16">
        <v>46.419910296524129</v>
      </c>
      <c r="M16">
        <v>45.740270999305586</v>
      </c>
      <c r="N16">
        <v>45.287245617669782</v>
      </c>
      <c r="O16">
        <v>44.864318837354112</v>
      </c>
    </row>
    <row r="17" spans="1:15" x14ac:dyDescent="0.3">
      <c r="A17" s="10" t="s">
        <v>30</v>
      </c>
      <c r="B17" t="s">
        <v>31</v>
      </c>
      <c r="C17">
        <v>-4.7046626507738942E-2</v>
      </c>
      <c r="D17">
        <v>-4.9941113305300822E-2</v>
      </c>
      <c r="E17">
        <v>-6.9881363359671766E-2</v>
      </c>
      <c r="F17">
        <v>-8.3180222862133224E-2</v>
      </c>
      <c r="G17">
        <v>-9.8738511937960571E-2</v>
      </c>
      <c r="H17">
        <v>-0.10911127374073321</v>
      </c>
      <c r="I17">
        <v>-0.1245292308197536</v>
      </c>
      <c r="J17">
        <v>-0.13480686111150911</v>
      </c>
      <c r="K17">
        <v>-0.15063512570043899</v>
      </c>
      <c r="L17">
        <v>-0.16118626329492369</v>
      </c>
      <c r="M17">
        <v>-0.17346743262226269</v>
      </c>
      <c r="N17">
        <v>-0.18165365941082731</v>
      </c>
      <c r="O17">
        <v>-0.18929600061060781</v>
      </c>
    </row>
    <row r="18" spans="1:15" x14ac:dyDescent="0.3">
      <c r="A18" s="10" t="s">
        <v>150</v>
      </c>
      <c r="B18" t="s">
        <v>151</v>
      </c>
      <c r="C18">
        <v>33.193988766133657</v>
      </c>
      <c r="D18">
        <v>33.206530999790829</v>
      </c>
      <c r="E18">
        <v>32.879422535451042</v>
      </c>
      <c r="F18">
        <v>32.661406671360368</v>
      </c>
      <c r="G18">
        <v>31.997497748311378</v>
      </c>
      <c r="H18">
        <v>31.55489784901069</v>
      </c>
      <c r="I18">
        <v>30.605330171360229</v>
      </c>
      <c r="J18">
        <v>29.972272534003888</v>
      </c>
      <c r="K18">
        <v>28.91328434842362</v>
      </c>
      <c r="L18">
        <v>28.207294409659792</v>
      </c>
      <c r="M18">
        <v>27.353756530128528</v>
      </c>
      <c r="N18">
        <v>26.78473711423576</v>
      </c>
      <c r="O18">
        <v>26.232097949701782</v>
      </c>
    </row>
    <row r="19" spans="1:15" x14ac:dyDescent="0.3">
      <c r="A19" s="10" t="s">
        <v>32</v>
      </c>
      <c r="B19" t="s">
        <v>33</v>
      </c>
      <c r="C19">
        <v>-0.46010201377966498</v>
      </c>
      <c r="D19">
        <v>-0.45989801519600809</v>
      </c>
      <c r="E19">
        <v>-0.46521841228407551</v>
      </c>
      <c r="F19">
        <v>-0.46876442559437492</v>
      </c>
      <c r="G19">
        <v>-0.47956285940458221</v>
      </c>
      <c r="H19">
        <v>-0.48676171688499348</v>
      </c>
      <c r="I19">
        <v>-0.50220637105281252</v>
      </c>
      <c r="J19">
        <v>-0.51250301078412419</v>
      </c>
      <c r="K19">
        <v>-0.52972738212599935</v>
      </c>
      <c r="L19">
        <v>-0.54121026081574852</v>
      </c>
      <c r="M19">
        <v>-0.55509299680051993</v>
      </c>
      <c r="N19">
        <v>-0.56434805918320685</v>
      </c>
      <c r="O19">
        <v>-0.57333669788344044</v>
      </c>
    </row>
    <row r="20" spans="1:15" x14ac:dyDescent="0.3">
      <c r="A20" s="10" t="s">
        <v>152</v>
      </c>
      <c r="B20" t="s">
        <v>153</v>
      </c>
      <c r="C20">
        <v>14.54855432764387</v>
      </c>
      <c r="D20">
        <v>12.95802173594071</v>
      </c>
      <c r="E20">
        <v>9.9718377663674076</v>
      </c>
      <c r="F20">
        <v>7.9810484533185377</v>
      </c>
      <c r="G20">
        <v>6.3270795287523089</v>
      </c>
      <c r="H20">
        <v>5.224433579041488</v>
      </c>
      <c r="I20">
        <v>4.2439543333053784</v>
      </c>
      <c r="J20">
        <v>3.5903015028146368</v>
      </c>
      <c r="K20">
        <v>2.949837878586008</v>
      </c>
      <c r="L20">
        <v>2.5228621291002562</v>
      </c>
      <c r="M20">
        <v>2.289292364693249</v>
      </c>
      <c r="N20">
        <v>2.133579188421912</v>
      </c>
      <c r="O20">
        <v>1.9595602090676789</v>
      </c>
    </row>
    <row r="21" spans="1:15" x14ac:dyDescent="0.3">
      <c r="A21" s="10" t="s">
        <v>34</v>
      </c>
      <c r="B21" t="s">
        <v>35</v>
      </c>
      <c r="C21">
        <v>0.2354524672932061</v>
      </c>
      <c r="D21">
        <v>0.1003856166305144</v>
      </c>
      <c r="E21">
        <v>-0.15319891623201859</v>
      </c>
      <c r="F21">
        <v>-0.32225527147370758</v>
      </c>
      <c r="G21">
        <v>-0.46270908857902299</v>
      </c>
      <c r="H21">
        <v>-0.5563449666492335</v>
      </c>
      <c r="I21">
        <v>-0.63960653862362449</v>
      </c>
      <c r="J21">
        <v>-0.69511425327321863</v>
      </c>
      <c r="K21">
        <v>-0.74950195028730082</v>
      </c>
      <c r="L21">
        <v>-0.78576041496335547</v>
      </c>
      <c r="M21">
        <v>-0.80559498651067574</v>
      </c>
      <c r="N21">
        <v>-0.81881803420888932</v>
      </c>
      <c r="O21">
        <v>-0.8335955971582556</v>
      </c>
    </row>
    <row r="22" spans="1:15" x14ac:dyDescent="0.3">
      <c r="A22" s="10" t="s">
        <v>36</v>
      </c>
      <c r="B22" t="s">
        <v>37</v>
      </c>
      <c r="C22">
        <v>0.70393759286775615</v>
      </c>
      <c r="D22">
        <v>0.69528324670260044</v>
      </c>
      <c r="E22">
        <v>0.69737954353338971</v>
      </c>
      <c r="F22">
        <v>0.69155076299341178</v>
      </c>
      <c r="G22">
        <v>0.66873128233051993</v>
      </c>
      <c r="H22">
        <v>0.6575424976576093</v>
      </c>
      <c r="I22">
        <v>0.6172849803162741</v>
      </c>
      <c r="J22">
        <v>0.5905806752347339</v>
      </c>
      <c r="K22">
        <v>0.55072367547470458</v>
      </c>
      <c r="L22">
        <v>0.52428438908030739</v>
      </c>
      <c r="M22">
        <v>0.48482195943714079</v>
      </c>
      <c r="N22">
        <v>0.45864376607107532</v>
      </c>
      <c r="O22">
        <v>0.38824399320011821</v>
      </c>
    </row>
    <row r="23" spans="1:15" x14ac:dyDescent="0.3">
      <c r="A23" s="10" t="s">
        <v>38</v>
      </c>
      <c r="B23" t="s">
        <v>39</v>
      </c>
      <c r="C23">
        <v>0.27628921470192369</v>
      </c>
      <c r="D23">
        <v>0.33895294150559152</v>
      </c>
      <c r="E23">
        <v>0.3453167015432172</v>
      </c>
      <c r="F23">
        <v>0.34710552939071659</v>
      </c>
      <c r="G23">
        <v>0.36446618497658639</v>
      </c>
      <c r="H23">
        <v>0.37270639074586992</v>
      </c>
      <c r="I23">
        <v>0.4113134693202079</v>
      </c>
      <c r="J23">
        <v>0.43703509881913388</v>
      </c>
      <c r="K23">
        <v>0.47566647357720099</v>
      </c>
      <c r="L23">
        <v>0.50138421481990758</v>
      </c>
      <c r="M23">
        <v>0.53979812423990237</v>
      </c>
      <c r="N23">
        <v>0.56535558908077754</v>
      </c>
      <c r="O23">
        <v>0.60523860937124097</v>
      </c>
    </row>
    <row r="24" spans="1:15" x14ac:dyDescent="0.3">
      <c r="A24" s="10" t="s">
        <v>40</v>
      </c>
      <c r="B24" t="s">
        <v>154</v>
      </c>
      <c r="C24">
        <v>0.26830375129969031</v>
      </c>
      <c r="D24">
        <v>0.27709217208370712</v>
      </c>
      <c r="E24">
        <v>0.28521729563637721</v>
      </c>
      <c r="F24">
        <v>0.28928413492748489</v>
      </c>
      <c r="G24">
        <v>0.30587530280971342</v>
      </c>
      <c r="H24">
        <v>0.31743032492202539</v>
      </c>
      <c r="I24">
        <v>0.33396027241794352</v>
      </c>
      <c r="J24">
        <v>0.3452326765562278</v>
      </c>
      <c r="K24">
        <v>0.36047808754671679</v>
      </c>
      <c r="L24">
        <v>0.37083528535648158</v>
      </c>
      <c r="M24">
        <v>0.38247898128532343</v>
      </c>
      <c r="N24">
        <v>0.39032206553993692</v>
      </c>
      <c r="O24">
        <v>0.40487909437325498</v>
      </c>
    </row>
    <row r="25" spans="1:15" x14ac:dyDescent="0.3">
      <c r="A25" s="10" t="s">
        <v>41</v>
      </c>
      <c r="B25" t="s">
        <v>42</v>
      </c>
      <c r="C25">
        <v>103.5201123760035</v>
      </c>
      <c r="D25">
        <v>95.500308061976114</v>
      </c>
      <c r="E25">
        <v>105.5409616477786</v>
      </c>
      <c r="F25">
        <v>107.1434966145778</v>
      </c>
      <c r="G25">
        <v>111.30997033184831</v>
      </c>
      <c r="H25">
        <v>114.1612852432792</v>
      </c>
      <c r="I25">
        <v>119.7543952618944</v>
      </c>
      <c r="J25">
        <v>123.51562176846591</v>
      </c>
      <c r="K25">
        <v>125.3374493063275</v>
      </c>
      <c r="L25">
        <v>126.50803500669571</v>
      </c>
      <c r="M25">
        <v>128.5800580553265</v>
      </c>
      <c r="N25">
        <v>129.82835495791659</v>
      </c>
      <c r="O25">
        <v>128.7327885580641</v>
      </c>
    </row>
    <row r="26" spans="1:15" x14ac:dyDescent="0.3">
      <c r="A26" s="10" t="s">
        <v>43</v>
      </c>
      <c r="B26" t="s">
        <v>44</v>
      </c>
      <c r="C26">
        <v>0.53672356708306368</v>
      </c>
      <c r="D26">
        <v>0.4939034277020331</v>
      </c>
      <c r="E26">
        <v>0.55250191756784239</v>
      </c>
      <c r="F26">
        <v>0.56039109281023169</v>
      </c>
      <c r="G26">
        <v>0.57463135285893108</v>
      </c>
      <c r="H26">
        <v>0.58412485955806404</v>
      </c>
      <c r="I26">
        <v>0.59776498446965687</v>
      </c>
      <c r="J26">
        <v>0.60685840107738542</v>
      </c>
      <c r="K26">
        <v>0.6204997411199763</v>
      </c>
      <c r="L26">
        <v>0.62959396781503696</v>
      </c>
      <c r="M26">
        <v>0.64190676048100792</v>
      </c>
      <c r="N26">
        <v>0.6501152889249886</v>
      </c>
      <c r="O26">
        <v>0.66937713729205039</v>
      </c>
    </row>
    <row r="27" spans="1:15" x14ac:dyDescent="0.3">
      <c r="A27" s="10" t="s">
        <v>45</v>
      </c>
      <c r="B27" t="s">
        <v>46</v>
      </c>
      <c r="C27">
        <v>104.0568359430865</v>
      </c>
      <c r="D27">
        <v>95.99421148967815</v>
      </c>
      <c r="E27">
        <v>106.0934635653464</v>
      </c>
      <c r="F27">
        <v>107.70388770738801</v>
      </c>
      <c r="G27">
        <v>111.88460168470721</v>
      </c>
      <c r="H27">
        <v>114.7454101028373</v>
      </c>
      <c r="I27">
        <v>120.35216024636409</v>
      </c>
      <c r="J27">
        <v>124.12248016954329</v>
      </c>
      <c r="K27">
        <v>125.9579490474475</v>
      </c>
      <c r="L27">
        <v>127.1376289745108</v>
      </c>
      <c r="M27">
        <v>129.22196481580761</v>
      </c>
      <c r="N27">
        <v>130.4784702468416</v>
      </c>
      <c r="O27">
        <v>129.40216569535619</v>
      </c>
    </row>
    <row r="28" spans="1:15" x14ac:dyDescent="0.3">
      <c r="A28" s="10" t="s">
        <v>47</v>
      </c>
      <c r="B28" t="s">
        <v>48</v>
      </c>
      <c r="C28">
        <v>5.6661825021816027E-2</v>
      </c>
      <c r="D28">
        <v>5.8616942219298973E-2</v>
      </c>
      <c r="E28">
        <v>5.6039983039953931E-2</v>
      </c>
      <c r="F28">
        <v>5.6064073934024662E-2</v>
      </c>
      <c r="G28">
        <v>5.5821432213325833E-2</v>
      </c>
      <c r="H28">
        <v>5.5652132266947728E-2</v>
      </c>
      <c r="I28">
        <v>5.5536785448573392E-2</v>
      </c>
      <c r="J28">
        <v>5.5458585899090383E-2</v>
      </c>
      <c r="K28">
        <v>5.5372519635944757E-2</v>
      </c>
      <c r="L28">
        <v>5.5314404339940143E-2</v>
      </c>
      <c r="M28">
        <v>5.5235850425775918E-2</v>
      </c>
      <c r="N28">
        <v>5.5182607122384437E-2</v>
      </c>
      <c r="O28">
        <v>5.5067124625522393E-2</v>
      </c>
    </row>
    <row r="29" spans="1:15" x14ac:dyDescent="0.3">
      <c r="A29" s="10" t="s">
        <v>49</v>
      </c>
      <c r="B29" t="s">
        <v>50</v>
      </c>
      <c r="C29">
        <v>0.26674540245301209</v>
      </c>
      <c r="D29">
        <v>0.27950440070961169</v>
      </c>
      <c r="E29">
        <v>0.28420379080220581</v>
      </c>
      <c r="F29">
        <v>0.29171867392391748</v>
      </c>
      <c r="G29">
        <v>0.29707986223165539</v>
      </c>
      <c r="H29">
        <v>0.30062959708732873</v>
      </c>
      <c r="I29">
        <v>0.30052407441404461</v>
      </c>
      <c r="J29">
        <v>0.30045194230493261</v>
      </c>
      <c r="K29">
        <v>0.30033857771116701</v>
      </c>
      <c r="L29">
        <v>0.30026207906243901</v>
      </c>
      <c r="M29">
        <v>0.30015703685703449</v>
      </c>
      <c r="N29">
        <v>0.30008643438879218</v>
      </c>
      <c r="O29">
        <v>0.29991920786727211</v>
      </c>
    </row>
    <row r="30" spans="1:15" x14ac:dyDescent="0.3">
      <c r="A30" s="10" t="s">
        <v>51</v>
      </c>
      <c r="B30" t="s">
        <v>48</v>
      </c>
      <c r="C30">
        <v>0.26081562141165798</v>
      </c>
      <c r="D30">
        <v>0.25035255991386102</v>
      </c>
      <c r="E30">
        <v>0.26355224997954402</v>
      </c>
      <c r="F30">
        <v>0.2693026865292647</v>
      </c>
      <c r="G30">
        <v>0.27214747747420942</v>
      </c>
      <c r="H30">
        <v>0.27393373683491951</v>
      </c>
      <c r="I30">
        <v>0.2742904002277522</v>
      </c>
      <c r="J30">
        <v>0.27453342450662133</v>
      </c>
      <c r="K30">
        <v>0.27487102435748062</v>
      </c>
      <c r="L30">
        <v>0.27509888266895088</v>
      </c>
      <c r="M30">
        <v>0.27540864390707881</v>
      </c>
      <c r="N30">
        <v>0.27561737974531553</v>
      </c>
      <c r="O30">
        <v>0.27609650801585711</v>
      </c>
    </row>
    <row r="31" spans="1:15" x14ac:dyDescent="0.3">
      <c r="A31" s="10" t="s">
        <v>52</v>
      </c>
      <c r="B31" t="s">
        <v>53</v>
      </c>
      <c r="C31">
        <v>5.8258189197065585E-4</v>
      </c>
      <c r="D31">
        <v>1.00340630971384E-3</v>
      </c>
      <c r="E31">
        <v>4.8330234023390142E-3</v>
      </c>
      <c r="F31">
        <v>7.6717414594896739E-3</v>
      </c>
      <c r="G31">
        <v>7.565823930186821E-3</v>
      </c>
      <c r="H31">
        <v>7.4997855701253403E-3</v>
      </c>
      <c r="I31">
        <v>7.5132004336643174E-3</v>
      </c>
      <c r="J31">
        <v>7.5222958163155247E-3</v>
      </c>
      <c r="K31">
        <v>7.5323467107829226E-3</v>
      </c>
      <c r="L31">
        <v>7.5391334045171064E-3</v>
      </c>
      <c r="M31">
        <v>7.5476841760358428E-3</v>
      </c>
      <c r="N31">
        <v>7.5534824797259996E-3</v>
      </c>
      <c r="O31">
        <v>7.5650329947050442E-3</v>
      </c>
    </row>
    <row r="32" spans="1:15" x14ac:dyDescent="0.3">
      <c r="A32" s="10" t="s">
        <v>54</v>
      </c>
      <c r="B32" t="s">
        <v>55</v>
      </c>
      <c r="C32">
        <v>19.458753124125479</v>
      </c>
      <c r="D32">
        <v>18.737604450693361</v>
      </c>
      <c r="E32">
        <v>18.16686073671438</v>
      </c>
      <c r="F32">
        <v>18.347865380673142</v>
      </c>
      <c r="G32">
        <v>18.007352643989069</v>
      </c>
      <c r="H32">
        <v>17.772193651097201</v>
      </c>
      <c r="I32">
        <v>17.52408551742327</v>
      </c>
      <c r="J32">
        <v>17.36091097019705</v>
      </c>
      <c r="K32">
        <v>17.242234345927841</v>
      </c>
      <c r="L32">
        <v>17.1629846752666</v>
      </c>
      <c r="M32">
        <v>17.084571661156829</v>
      </c>
      <c r="N32">
        <v>17.030749670664861</v>
      </c>
      <c r="O32">
        <v>16.97899332672911</v>
      </c>
    </row>
    <row r="33" spans="1:15" x14ac:dyDescent="0.3">
      <c r="A33" s="10" t="s">
        <v>56</v>
      </c>
      <c r="B33" t="s">
        <v>57</v>
      </c>
      <c r="C33">
        <v>0.49750465939174532</v>
      </c>
      <c r="D33">
        <v>0.46427858411076067</v>
      </c>
      <c r="E33">
        <v>0.51462132892763868</v>
      </c>
      <c r="F33">
        <v>0.52317966369558755</v>
      </c>
      <c r="G33">
        <v>0.53647503052338408</v>
      </c>
      <c r="H33">
        <v>0.54533860840858206</v>
      </c>
      <c r="I33">
        <v>0.55807373702303698</v>
      </c>
      <c r="J33">
        <v>0.5665638227660087</v>
      </c>
      <c r="K33">
        <v>0.5793000861696288</v>
      </c>
      <c r="L33">
        <v>0.58779092843870806</v>
      </c>
      <c r="M33">
        <v>0.5992868534559197</v>
      </c>
      <c r="N33">
        <v>0.60695080346739327</v>
      </c>
      <c r="O33">
        <v>0.62493485884707989</v>
      </c>
    </row>
    <row r="34" spans="1:15" x14ac:dyDescent="0.3">
      <c r="A34" s="10" t="s">
        <v>58</v>
      </c>
      <c r="B34" t="s">
        <v>59</v>
      </c>
      <c r="C34">
        <v>19.956257783517231</v>
      </c>
      <c r="D34">
        <v>19.201883034804119</v>
      </c>
      <c r="E34">
        <v>18.681482065642019</v>
      </c>
      <c r="F34">
        <v>18.871045044368721</v>
      </c>
      <c r="G34">
        <v>18.54382767451245</v>
      </c>
      <c r="H34">
        <v>18.317532259505779</v>
      </c>
      <c r="I34">
        <v>18.08215925444631</v>
      </c>
      <c r="J34">
        <v>17.927474792963061</v>
      </c>
      <c r="K34">
        <v>17.821534432097469</v>
      </c>
      <c r="L34">
        <v>17.750775603705311</v>
      </c>
      <c r="M34">
        <v>17.683858514612751</v>
      </c>
      <c r="N34">
        <v>17.637700474132259</v>
      </c>
      <c r="O34">
        <v>17.603928185576191</v>
      </c>
    </row>
    <row r="35" spans="1:15" x14ac:dyDescent="0.3">
      <c r="A35" s="10" t="s">
        <v>60</v>
      </c>
      <c r="B35" t="s">
        <v>61</v>
      </c>
      <c r="C35">
        <v>31.43908444444444</v>
      </c>
      <c r="D35">
        <v>32.65154555555555</v>
      </c>
      <c r="E35">
        <v>36.514651680131117</v>
      </c>
      <c r="F35">
        <v>39.319241851069627</v>
      </c>
      <c r="G35">
        <v>45.31680426782367</v>
      </c>
      <c r="H35">
        <v>49.514351265721807</v>
      </c>
      <c r="I35">
        <v>54.409714472774652</v>
      </c>
      <c r="J35">
        <v>57.826394702164251</v>
      </c>
      <c r="K35">
        <v>60.832905155553718</v>
      </c>
      <c r="L35">
        <v>62.897832024028709</v>
      </c>
      <c r="M35">
        <v>65.898689554178929</v>
      </c>
      <c r="N35">
        <v>67.964408038916218</v>
      </c>
      <c r="O35">
        <v>75.083762899489528</v>
      </c>
    </row>
    <row r="36" spans="1:15" x14ac:dyDescent="0.3">
      <c r="A36" s="10" t="s">
        <v>62</v>
      </c>
      <c r="B36" t="s">
        <v>63</v>
      </c>
      <c r="C36">
        <v>154.41794994457339</v>
      </c>
      <c r="D36">
        <v>146.889458068225</v>
      </c>
      <c r="E36">
        <v>160.22247406462409</v>
      </c>
      <c r="F36">
        <v>164.81060384632059</v>
      </c>
      <c r="G36">
        <v>174.63412724366111</v>
      </c>
      <c r="H36">
        <v>181.44783016009819</v>
      </c>
      <c r="I36">
        <v>191.68819525209241</v>
      </c>
      <c r="J36">
        <v>198.70292744082721</v>
      </c>
      <c r="K36">
        <v>203.4125888078091</v>
      </c>
      <c r="L36">
        <v>206.56885170599111</v>
      </c>
      <c r="M36">
        <v>211.5633192706623</v>
      </c>
      <c r="N36">
        <v>214.82351266749771</v>
      </c>
      <c r="O36">
        <v>220.79554478428281</v>
      </c>
    </row>
    <row r="37" spans="1:15" x14ac:dyDescent="0.3">
      <c r="A37" s="10" t="s">
        <v>64</v>
      </c>
      <c r="B37" t="s">
        <v>65</v>
      </c>
      <c r="C37">
        <v>1.0342282264748091</v>
      </c>
      <c r="D37">
        <v>0.95818201181279383</v>
      </c>
      <c r="E37">
        <v>1.067123246495481</v>
      </c>
      <c r="F37">
        <v>1.083570756505819</v>
      </c>
      <c r="G37">
        <v>1.1111063833823149</v>
      </c>
      <c r="H37">
        <v>1.129463467966646</v>
      </c>
      <c r="I37">
        <v>1.155838721492694</v>
      </c>
      <c r="J37">
        <v>1.173422223843394</v>
      </c>
      <c r="K37">
        <v>1.1997998272896051</v>
      </c>
      <c r="L37">
        <v>1.217384896253745</v>
      </c>
      <c r="M37">
        <v>1.241193613936928</v>
      </c>
      <c r="N37">
        <v>1.257066092392382</v>
      </c>
      <c r="O37">
        <v>1.2943119961391301</v>
      </c>
    </row>
    <row r="38" spans="1:15" x14ac:dyDescent="0.3">
      <c r="A38" s="10" t="s">
        <v>66</v>
      </c>
      <c r="B38" t="s">
        <v>67</v>
      </c>
      <c r="C38">
        <v>155.45217817104819</v>
      </c>
      <c r="D38">
        <v>147.84764008003779</v>
      </c>
      <c r="E38">
        <v>161.28959731111959</v>
      </c>
      <c r="F38">
        <v>165.89417460282641</v>
      </c>
      <c r="G38">
        <v>175.7452336270434</v>
      </c>
      <c r="H38">
        <v>182.57729362806489</v>
      </c>
      <c r="I38">
        <v>192.84403397358511</v>
      </c>
      <c r="J38">
        <v>199.87634966467061</v>
      </c>
      <c r="K38">
        <v>204.61238863509871</v>
      </c>
      <c r="L38">
        <v>207.7862366022448</v>
      </c>
      <c r="M38">
        <v>212.80451288459921</v>
      </c>
      <c r="N38">
        <v>216.0805787598901</v>
      </c>
      <c r="O38">
        <v>222.08985678042191</v>
      </c>
    </row>
    <row r="39" spans="1:15" x14ac:dyDescent="0.3">
      <c r="A39" s="10" t="s">
        <v>68</v>
      </c>
      <c r="B39" t="s">
        <v>69</v>
      </c>
      <c r="C39">
        <v>40.963239324760004</v>
      </c>
      <c r="D39">
        <v>32.819802151025002</v>
      </c>
      <c r="E39">
        <v>35.352625820667669</v>
      </c>
      <c r="F39">
        <v>34.470749946028569</v>
      </c>
      <c r="G39">
        <v>33.3079153002043</v>
      </c>
      <c r="H39">
        <v>32.544987044535283</v>
      </c>
      <c r="I39">
        <v>32.373375286691193</v>
      </c>
      <c r="J39">
        <v>32.213665547829017</v>
      </c>
      <c r="K39">
        <v>31.769371562612189</v>
      </c>
      <c r="L39">
        <v>31.443143525774289</v>
      </c>
      <c r="M39">
        <v>30.942256127715162</v>
      </c>
      <c r="N39">
        <v>30.57350061633058</v>
      </c>
      <c r="O39">
        <v>29.555765137283782</v>
      </c>
    </row>
    <row r="40" spans="1:15" x14ac:dyDescent="0.3">
      <c r="A40" s="10" t="s">
        <v>70</v>
      </c>
      <c r="B40" t="s">
        <v>71</v>
      </c>
      <c r="C40">
        <v>617.96745971128666</v>
      </c>
      <c r="D40">
        <v>588.87577515626208</v>
      </c>
      <c r="E40">
        <v>578.96249747762636</v>
      </c>
      <c r="F40">
        <v>555.73601646386237</v>
      </c>
      <c r="G40">
        <v>530.47321981242385</v>
      </c>
      <c r="H40">
        <v>513.58134621840861</v>
      </c>
      <c r="I40">
        <v>498.605849827187</v>
      </c>
      <c r="J40">
        <v>488.49318368078048</v>
      </c>
      <c r="K40">
        <v>476.02439955897881</v>
      </c>
      <c r="L40">
        <v>467.58154910059659</v>
      </c>
      <c r="M40">
        <v>455.31462322032093</v>
      </c>
      <c r="N40">
        <v>447.0249551721086</v>
      </c>
      <c r="O40">
        <v>423.97131355029018</v>
      </c>
    </row>
    <row r="41" spans="1:15" x14ac:dyDescent="0.3">
      <c r="A41" s="10" t="s">
        <v>72</v>
      </c>
      <c r="B41" t="s">
        <v>73</v>
      </c>
      <c r="C41">
        <v>43.104436111303613</v>
      </c>
      <c r="D41">
        <v>41.664573167005962</v>
      </c>
      <c r="E41">
        <v>38.940628998179342</v>
      </c>
      <c r="F41">
        <v>38.312691958271998</v>
      </c>
      <c r="G41">
        <v>37.199535435098397</v>
      </c>
      <c r="H41">
        <v>36.463227585949028</v>
      </c>
      <c r="I41">
        <v>35.93929127384601</v>
      </c>
      <c r="J41">
        <v>35.594581328511246</v>
      </c>
      <c r="K41">
        <v>35.336417016114851</v>
      </c>
      <c r="L41">
        <v>35.164036653103793</v>
      </c>
      <c r="M41">
        <v>34.989958988562719</v>
      </c>
      <c r="N41">
        <v>34.870731395116657</v>
      </c>
      <c r="O41">
        <v>34.744016552062419</v>
      </c>
    </row>
    <row r="42" spans="1:15" x14ac:dyDescent="0.3">
      <c r="A42" s="10" t="s">
        <v>74</v>
      </c>
      <c r="B42" t="s">
        <v>75</v>
      </c>
      <c r="C42">
        <v>692.51098026703471</v>
      </c>
      <c r="D42">
        <v>663.19189387882363</v>
      </c>
      <c r="E42">
        <v>654.41777815593684</v>
      </c>
      <c r="F42">
        <v>633.36795027320397</v>
      </c>
      <c r="G42">
        <v>612.98955951534595</v>
      </c>
      <c r="H42">
        <v>599.55892507007945</v>
      </c>
      <c r="I42">
        <v>588.95485557380766</v>
      </c>
      <c r="J42">
        <v>581.91415971145602</v>
      </c>
      <c r="K42">
        <v>572.19372173064733</v>
      </c>
      <c r="L42">
        <v>565.64341777772916</v>
      </c>
      <c r="M42">
        <v>556.2032717630625</v>
      </c>
      <c r="N42">
        <v>549.8600946061415</v>
      </c>
      <c r="O42">
        <v>533.79909300184215</v>
      </c>
    </row>
    <row r="43" spans="1:15" x14ac:dyDescent="0.3">
      <c r="A43" s="10" t="s">
        <v>76</v>
      </c>
      <c r="B43" t="s">
        <v>77</v>
      </c>
      <c r="C43">
        <v>0.53672356708306368</v>
      </c>
      <c r="D43">
        <v>0.4939034277020331</v>
      </c>
      <c r="E43">
        <v>0.55250191756784239</v>
      </c>
      <c r="F43">
        <v>0.56039109281023169</v>
      </c>
      <c r="G43">
        <v>0.57463135285893108</v>
      </c>
      <c r="H43">
        <v>0.58412485955806404</v>
      </c>
      <c r="I43">
        <v>0.59776498446965687</v>
      </c>
      <c r="J43">
        <v>0.60685840107738542</v>
      </c>
      <c r="K43">
        <v>0.6204997411199763</v>
      </c>
      <c r="L43">
        <v>0.62959396781503696</v>
      </c>
      <c r="M43">
        <v>0.64190676048100792</v>
      </c>
      <c r="N43">
        <v>0.6501152889249886</v>
      </c>
      <c r="O43">
        <v>0.66937713729205039</v>
      </c>
    </row>
    <row r="44" spans="1:15" x14ac:dyDescent="0.3">
      <c r="A44" s="10" t="s">
        <v>78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3">
      <c r="A45" s="10" t="s">
        <v>80</v>
      </c>
      <c r="B45" t="s">
        <v>81</v>
      </c>
      <c r="C45">
        <v>0.53672356708306368</v>
      </c>
      <c r="D45">
        <v>0.4939034277020331</v>
      </c>
      <c r="E45">
        <v>0.55250191756784239</v>
      </c>
      <c r="F45">
        <v>0.56039109281023169</v>
      </c>
      <c r="G45">
        <v>0.57463135285893108</v>
      </c>
      <c r="H45">
        <v>0.58412485955806404</v>
      </c>
      <c r="I45">
        <v>0.59776498446965687</v>
      </c>
      <c r="J45">
        <v>0.60685840107738542</v>
      </c>
      <c r="K45">
        <v>0.6204997411199763</v>
      </c>
      <c r="L45">
        <v>0.62959396781503696</v>
      </c>
      <c r="M45">
        <v>0.64190676048100792</v>
      </c>
      <c r="N45">
        <v>0.6501152889249886</v>
      </c>
      <c r="O45">
        <v>0.66937713729205039</v>
      </c>
    </row>
    <row r="46" spans="1:15" x14ac:dyDescent="0.3">
      <c r="A46" s="10" t="s">
        <v>82</v>
      </c>
      <c r="B46" t="s">
        <v>83</v>
      </c>
      <c r="C46">
        <v>693.04770383411778</v>
      </c>
      <c r="D46">
        <v>663.68579730652561</v>
      </c>
      <c r="E46">
        <v>654.97028007350468</v>
      </c>
      <c r="F46">
        <v>633.92834136601425</v>
      </c>
      <c r="G46">
        <v>613.56419086820483</v>
      </c>
      <c r="H46">
        <v>600.14304992963753</v>
      </c>
      <c r="I46">
        <v>589.55262055827734</v>
      </c>
      <c r="J46">
        <v>582.5210181125334</v>
      </c>
      <c r="K46">
        <v>572.81422147176727</v>
      </c>
      <c r="L46">
        <v>566.27301174554418</v>
      </c>
      <c r="M46">
        <v>556.8451785235435</v>
      </c>
      <c r="N46">
        <v>550.51020989506651</v>
      </c>
      <c r="O46">
        <v>534.46847013913418</v>
      </c>
    </row>
    <row r="47" spans="1:15" x14ac:dyDescent="0.3">
      <c r="A47" s="10" t="s">
        <v>84</v>
      </c>
      <c r="B47" t="s">
        <v>85</v>
      </c>
      <c r="C47">
        <v>0.22298267369714381</v>
      </c>
      <c r="D47">
        <v>0.2214886210522112</v>
      </c>
      <c r="E47">
        <v>0.24483209260620939</v>
      </c>
      <c r="F47">
        <v>0.26021304642148269</v>
      </c>
      <c r="G47">
        <v>0.28488923593043541</v>
      </c>
      <c r="H47">
        <v>0.30263552517192488</v>
      </c>
      <c r="I47">
        <v>0.32547179709611901</v>
      </c>
      <c r="J47">
        <v>0.34146432789907483</v>
      </c>
      <c r="K47">
        <v>0.35549601661579028</v>
      </c>
      <c r="L47">
        <v>0.36519270836306761</v>
      </c>
      <c r="M47">
        <v>0.38037050483368312</v>
      </c>
      <c r="N47">
        <v>0.39068758539637849</v>
      </c>
      <c r="O47">
        <v>0.41363042327897098</v>
      </c>
    </row>
    <row r="48" spans="1:15" x14ac:dyDescent="0.3">
      <c r="A48" s="10" t="s">
        <v>86</v>
      </c>
      <c r="B48" t="s">
        <v>87</v>
      </c>
      <c r="C48">
        <v>0.22430227718964629</v>
      </c>
      <c r="D48">
        <v>0.22276752143869349</v>
      </c>
      <c r="E48">
        <v>0.2462548335674386</v>
      </c>
      <c r="F48">
        <v>0.26169231406400129</v>
      </c>
      <c r="G48">
        <v>0.28643332880682071</v>
      </c>
      <c r="H48">
        <v>0.30422295759231199</v>
      </c>
      <c r="I48">
        <v>0.3271023268304214</v>
      </c>
      <c r="J48">
        <v>0.34312298346298947</v>
      </c>
      <c r="K48">
        <v>0.35720549693995962</v>
      </c>
      <c r="L48">
        <v>0.36693649934285388</v>
      </c>
      <c r="M48">
        <v>0.3821610046958534</v>
      </c>
      <c r="N48">
        <v>0.39250966626227962</v>
      </c>
      <c r="O48">
        <v>0.41553406643914259</v>
      </c>
    </row>
    <row r="49" spans="1:15" x14ac:dyDescent="0.3">
      <c r="A49" s="10" t="s">
        <v>88</v>
      </c>
      <c r="B49" t="s">
        <v>89</v>
      </c>
      <c r="C49">
        <v>-6.3284419700778805E-2</v>
      </c>
      <c r="D49">
        <v>-0.15641227560215179</v>
      </c>
      <c r="E49">
        <v>-0.13153506656468711</v>
      </c>
      <c r="F49">
        <v>-0.1131543821016808</v>
      </c>
      <c r="G49">
        <v>-0.13100210327098041</v>
      </c>
      <c r="H49">
        <v>-0.142729642613349</v>
      </c>
      <c r="I49">
        <v>-0.16760557571840651</v>
      </c>
      <c r="J49">
        <v>-0.1841841106675457</v>
      </c>
      <c r="K49">
        <v>-0.2068135002017657</v>
      </c>
      <c r="L49">
        <v>-0.22194703837481769</v>
      </c>
      <c r="M49">
        <v>-0.2427971709813086</v>
      </c>
      <c r="N49">
        <v>-0.25673494016238169</v>
      </c>
      <c r="O49">
        <v>-0.28323359475801591</v>
      </c>
    </row>
    <row r="50" spans="1:15" x14ac:dyDescent="0.3">
      <c r="A50" s="10" t="s">
        <v>90</v>
      </c>
      <c r="B50" t="s">
        <v>91</v>
      </c>
      <c r="C50">
        <v>-1.139545007416354E-2</v>
      </c>
      <c r="D50">
        <v>-0.1230453313383487</v>
      </c>
      <c r="E50">
        <v>-9.0224664405506028E-2</v>
      </c>
      <c r="F50">
        <v>-6.6894646667447266E-2</v>
      </c>
      <c r="G50">
        <v>-8.7327555725844275E-2</v>
      </c>
      <c r="H50">
        <v>-0.1008406936347935</v>
      </c>
      <c r="I50">
        <v>-0.12793340182756849</v>
      </c>
      <c r="J50">
        <v>-0.14604264062366981</v>
      </c>
      <c r="K50">
        <v>-0.17001078583091669</v>
      </c>
      <c r="L50">
        <v>-0.18605973848072849</v>
      </c>
      <c r="M50">
        <v>-0.20809904845300919</v>
      </c>
      <c r="N50">
        <v>-0.22285370651460529</v>
      </c>
      <c r="O50">
        <v>-0.25215840821873492</v>
      </c>
    </row>
    <row r="51" spans="1:15" x14ac:dyDescent="0.3">
      <c r="A51" s="10" t="s">
        <v>92</v>
      </c>
      <c r="B51" t="s">
        <v>93</v>
      </c>
      <c r="C51">
        <v>-0.23068254520578349</v>
      </c>
      <c r="D51">
        <v>-0.538917577182912</v>
      </c>
      <c r="E51">
        <v>-0.35609872108386881</v>
      </c>
      <c r="F51">
        <v>-0.25470319727144769</v>
      </c>
      <c r="G51">
        <v>-0.26799012545213607</v>
      </c>
      <c r="H51">
        <v>-0.2768404112172772</v>
      </c>
      <c r="I51">
        <v>-0.29118056242927781</v>
      </c>
      <c r="J51">
        <v>-0.30072801477821542</v>
      </c>
      <c r="K51">
        <v>-0.31572009623134278</v>
      </c>
      <c r="L51">
        <v>-0.32569305232197859</v>
      </c>
      <c r="M51">
        <v>-0.34100375235706681</v>
      </c>
      <c r="N51">
        <v>-0.35118475826844348</v>
      </c>
      <c r="O51">
        <v>-0.37655368636520697</v>
      </c>
    </row>
    <row r="52" spans="1:15" x14ac:dyDescent="0.3">
      <c r="A52" s="10" t="s">
        <v>94</v>
      </c>
      <c r="B52" t="s">
        <v>95</v>
      </c>
      <c r="C52">
        <v>-1.003612645179908E-2</v>
      </c>
      <c r="D52">
        <v>-8.1206745845185502E-2</v>
      </c>
      <c r="E52">
        <v>-0.150128034801808</v>
      </c>
      <c r="F52">
        <v>-0.17836614114537211</v>
      </c>
      <c r="G52">
        <v>-0.2054897701641282</v>
      </c>
      <c r="H52">
        <v>-0.2236019447474791</v>
      </c>
      <c r="I52">
        <v>-0.23543726480722929</v>
      </c>
      <c r="J52">
        <v>-0.24347690637881281</v>
      </c>
      <c r="K52">
        <v>-0.24605809581677829</v>
      </c>
      <c r="L52">
        <v>-0.24796216811730221</v>
      </c>
      <c r="M52">
        <v>-0.25715789575045972</v>
      </c>
      <c r="N52">
        <v>-0.26344545446699003</v>
      </c>
      <c r="O52">
        <v>-0.2171579011131772</v>
      </c>
    </row>
    <row r="53" spans="1:15" x14ac:dyDescent="0.3">
      <c r="A53" s="10" t="s">
        <v>96</v>
      </c>
      <c r="B53" t="s">
        <v>97</v>
      </c>
      <c r="C53">
        <v>-4.2503612967492277E-2</v>
      </c>
      <c r="D53">
        <v>-0.112401846517725</v>
      </c>
      <c r="E53">
        <v>0.30639336826051311</v>
      </c>
      <c r="F53">
        <v>0.33854425237902652</v>
      </c>
      <c r="G53">
        <v>0.32264559879668409</v>
      </c>
      <c r="H53">
        <v>0.314996464434107</v>
      </c>
      <c r="I53">
        <v>0.326772194432565</v>
      </c>
      <c r="J53">
        <v>0.33523850450571729</v>
      </c>
      <c r="K53">
        <v>0.32774175286386709</v>
      </c>
      <c r="L53">
        <v>0.32275775413728808</v>
      </c>
      <c r="M53">
        <v>0.32460270306608069</v>
      </c>
      <c r="N53">
        <v>0.32519142622302472</v>
      </c>
      <c r="O53">
        <v>0.31303574667636958</v>
      </c>
    </row>
    <row r="54" spans="1:15" x14ac:dyDescent="0.3">
      <c r="A54" s="10" t="s">
        <v>98</v>
      </c>
      <c r="B54" t="s">
        <v>99</v>
      </c>
      <c r="C54">
        <v>141.30294772261189</v>
      </c>
      <c r="D54">
        <v>130.98768536234141</v>
      </c>
      <c r="E54">
        <v>192.79157218816221</v>
      </c>
      <c r="F54">
        <v>197.53625296122891</v>
      </c>
      <c r="G54">
        <v>195.19000221142909</v>
      </c>
      <c r="H54">
        <v>194.06117786535691</v>
      </c>
      <c r="I54">
        <v>195.79898636563189</v>
      </c>
      <c r="J54">
        <v>197.04840577428129</v>
      </c>
      <c r="K54">
        <v>195.94206937480851</v>
      </c>
      <c r="L54">
        <v>195.20655358482841</v>
      </c>
      <c r="M54">
        <v>195.47882272919981</v>
      </c>
      <c r="N54">
        <v>195.56570380634571</v>
      </c>
      <c r="O54">
        <v>193.7718240854654</v>
      </c>
    </row>
    <row r="55" spans="1:15" x14ac:dyDescent="0.3">
      <c r="A55" s="10" t="s">
        <v>100</v>
      </c>
      <c r="B55" t="s">
        <v>101</v>
      </c>
      <c r="C55">
        <v>-2.8493057263943359E-2</v>
      </c>
      <c r="D55">
        <v>-0.13849347222414429</v>
      </c>
      <c r="E55">
        <v>-0.1161734854251523</v>
      </c>
      <c r="F55">
        <v>-4.3129971823925313E-2</v>
      </c>
      <c r="G55">
        <v>-4.3129971823925313E-2</v>
      </c>
      <c r="H55">
        <v>-4.3129971823925313E-2</v>
      </c>
      <c r="I55">
        <v>-9.9008259728863957E-2</v>
      </c>
      <c r="J55">
        <v>-0.1362604516654897</v>
      </c>
      <c r="K55">
        <v>-0.19213873957042851</v>
      </c>
      <c r="L55">
        <v>-0.22939093150705431</v>
      </c>
      <c r="M55">
        <v>-0.28526921941199301</v>
      </c>
      <c r="N55">
        <v>-0.32252141134861889</v>
      </c>
      <c r="O55">
        <v>-0.41565189119018331</v>
      </c>
    </row>
    <row r="56" spans="1:15" x14ac:dyDescent="0.3">
      <c r="A56" s="10" t="s">
        <v>102</v>
      </c>
      <c r="B56" t="s">
        <v>103</v>
      </c>
      <c r="C56">
        <v>0.57152269137751133</v>
      </c>
      <c r="D56">
        <v>0.67644780356817402</v>
      </c>
      <c r="E56">
        <v>0.7755143667435096</v>
      </c>
      <c r="F56">
        <v>0.95773362094974646</v>
      </c>
      <c r="G56">
        <v>1.184763662111926</v>
      </c>
      <c r="H56">
        <v>1.3129573968519761</v>
      </c>
      <c r="I56">
        <v>1.569941889961934</v>
      </c>
      <c r="J56">
        <v>1.7427690222668011</v>
      </c>
      <c r="K56">
        <v>2.00486481197429</v>
      </c>
      <c r="L56">
        <v>2.1802355005262331</v>
      </c>
      <c r="M56">
        <v>2.4231780729527719</v>
      </c>
      <c r="N56">
        <v>2.5857853640000319</v>
      </c>
      <c r="O56">
        <v>2.926285452318421</v>
      </c>
    </row>
    <row r="57" spans="1:15" x14ac:dyDescent="0.3">
      <c r="A57" s="10" t="s">
        <v>104</v>
      </c>
      <c r="B57" t="s">
        <v>105</v>
      </c>
      <c r="C57">
        <v>0.22451740447178389</v>
      </c>
      <c r="D57">
        <v>0.23064442801809901</v>
      </c>
      <c r="E57">
        <v>0.5103995572961475</v>
      </c>
      <c r="F57">
        <v>0.60781052650014078</v>
      </c>
      <c r="G57">
        <v>0.69755403641610725</v>
      </c>
      <c r="H57">
        <v>0.74897875746164222</v>
      </c>
      <c r="I57">
        <v>0.86738818205548673</v>
      </c>
      <c r="J57">
        <v>0.94732992187636755</v>
      </c>
      <c r="K57">
        <v>1.05707061458461</v>
      </c>
      <c r="L57">
        <v>1.130517282030266</v>
      </c>
      <c r="M57">
        <v>1.2372081182980921</v>
      </c>
      <c r="N57">
        <v>1.308253697351911</v>
      </c>
      <c r="O57">
        <v>1.449457086097294</v>
      </c>
    </row>
    <row r="58" spans="1:15" x14ac:dyDescent="0.3">
      <c r="A58" s="10" t="s">
        <v>106</v>
      </c>
      <c r="B58" t="s">
        <v>107</v>
      </c>
      <c r="C58">
        <v>-9.3514447027356451E-2</v>
      </c>
      <c r="D58">
        <v>-0.1995941957940395</v>
      </c>
      <c r="E58">
        <v>-0.2313252458025985</v>
      </c>
      <c r="F58">
        <v>-0.2458165465052243</v>
      </c>
      <c r="G58">
        <v>-0.29284227082865399</v>
      </c>
      <c r="H58">
        <v>-0.32426169226800189</v>
      </c>
      <c r="I58">
        <v>-0.35790852568306292</v>
      </c>
      <c r="J58">
        <v>-0.38045446494101021</v>
      </c>
      <c r="K58">
        <v>-0.40685383680461279</v>
      </c>
      <c r="L58">
        <v>-0.42452320384857339</v>
      </c>
      <c r="M58">
        <v>-0.4445162551843016</v>
      </c>
      <c r="N58">
        <v>-0.45784496048110829</v>
      </c>
      <c r="O58">
        <v>-0.46082251459424312</v>
      </c>
    </row>
    <row r="59" spans="1:15" x14ac:dyDescent="0.3">
      <c r="A59" s="10" t="s">
        <v>108</v>
      </c>
      <c r="B59" t="s">
        <v>109</v>
      </c>
      <c r="C59">
        <v>0.44668553992796378</v>
      </c>
      <c r="D59">
        <v>0.45141117977912087</v>
      </c>
      <c r="E59">
        <v>0.46450744032219471</v>
      </c>
      <c r="F59">
        <v>0.48089801964952372</v>
      </c>
      <c r="G59">
        <v>0.49538727578001501</v>
      </c>
      <c r="H59">
        <v>0.50523523271533455</v>
      </c>
      <c r="I59">
        <v>0.50792809525371452</v>
      </c>
      <c r="J59">
        <v>0.50978021630764503</v>
      </c>
      <c r="K59">
        <v>0.51058787011938289</v>
      </c>
      <c r="L59">
        <v>0.51113487528596546</v>
      </c>
      <c r="M59">
        <v>0.50935025359016051</v>
      </c>
      <c r="N59">
        <v>0.50808950693444799</v>
      </c>
      <c r="O59">
        <v>0.4894216062862613</v>
      </c>
    </row>
    <row r="60" spans="1:15" x14ac:dyDescent="0.3">
      <c r="A60" s="10" t="s">
        <v>110</v>
      </c>
      <c r="B60" t="s">
        <v>111</v>
      </c>
      <c r="C60">
        <v>0.47668475089468271</v>
      </c>
      <c r="D60">
        <v>0.46736705334324918</v>
      </c>
      <c r="E60">
        <v>0.43598188656075998</v>
      </c>
      <c r="F60">
        <v>0.41889684702994839</v>
      </c>
      <c r="G60">
        <v>0.40084427316368743</v>
      </c>
      <c r="H60">
        <v>0.38827448191170921</v>
      </c>
      <c r="I60">
        <v>0.37996697988770062</v>
      </c>
      <c r="J60">
        <v>0.37407543343169908</v>
      </c>
      <c r="K60">
        <v>0.36835326838410709</v>
      </c>
      <c r="L60">
        <v>0.36433154285703723</v>
      </c>
      <c r="M60">
        <v>0.36135764130495468</v>
      </c>
      <c r="N60">
        <v>0.35930056285035128</v>
      </c>
      <c r="O60">
        <v>0.37053754789343513</v>
      </c>
    </row>
    <row r="61" spans="1:15" x14ac:dyDescent="0.3">
      <c r="A61" s="10" t="s">
        <v>112</v>
      </c>
      <c r="B61" t="s">
        <v>113</v>
      </c>
      <c r="C61">
        <v>-4.7301077074176412E-2</v>
      </c>
      <c r="D61">
        <v>-0.1209922053652009</v>
      </c>
      <c r="E61">
        <v>-0.10537473639824441</v>
      </c>
      <c r="F61">
        <v>-0.1072320603883961</v>
      </c>
      <c r="G61">
        <v>-0.13400640907505601</v>
      </c>
      <c r="H61">
        <v>-0.151831033955246</v>
      </c>
      <c r="I61">
        <v>-0.16517168628171819</v>
      </c>
      <c r="J61">
        <v>-0.1740938264202628</v>
      </c>
      <c r="K61">
        <v>-0.1849466305438616</v>
      </c>
      <c r="L61">
        <v>-0.19228984345326189</v>
      </c>
      <c r="M61">
        <v>-0.19899208176141681</v>
      </c>
      <c r="N61">
        <v>-0.20354390598305899</v>
      </c>
      <c r="O61">
        <v>-0.20816568095715399</v>
      </c>
    </row>
    <row r="62" spans="1:15" x14ac:dyDescent="0.3">
      <c r="A62" s="10" t="s">
        <v>114</v>
      </c>
      <c r="B62" t="s">
        <v>115</v>
      </c>
      <c r="C62">
        <v>6.7294571901247213E-2</v>
      </c>
      <c r="D62">
        <v>-4.07666834996252E-2</v>
      </c>
      <c r="E62">
        <v>-1.0920561979359641E-2</v>
      </c>
      <c r="F62">
        <v>-5.0983071290392479E-3</v>
      </c>
      <c r="G62">
        <v>-3.7830266258651379E-2</v>
      </c>
      <c r="H62">
        <v>-5.9753167276782038E-2</v>
      </c>
      <c r="I62">
        <v>-7.6591104621186457E-2</v>
      </c>
      <c r="J62">
        <v>-8.7946437082912499E-2</v>
      </c>
      <c r="K62">
        <v>-0.1005970019081199</v>
      </c>
      <c r="L62">
        <v>-0.10918791141902021</v>
      </c>
      <c r="M62">
        <v>-0.1171587014291758</v>
      </c>
      <c r="N62">
        <v>-0.1226061131969715</v>
      </c>
      <c r="O62">
        <v>-0.13089568459796441</v>
      </c>
    </row>
    <row r="63" spans="1:15" x14ac:dyDescent="0.3">
      <c r="A63" s="10" t="s">
        <v>116</v>
      </c>
      <c r="B63" t="s">
        <v>117</v>
      </c>
      <c r="C63">
        <v>137.34478840823641</v>
      </c>
      <c r="D63">
        <v>126.27569763061651</v>
      </c>
      <c r="E63">
        <v>140.52092960295329</v>
      </c>
      <c r="F63">
        <v>144.29510296503301</v>
      </c>
      <c r="G63">
        <v>144.66043634042089</v>
      </c>
      <c r="H63">
        <v>144.97778280401201</v>
      </c>
      <c r="I63">
        <v>147.58200673220739</v>
      </c>
      <c r="J63">
        <v>149.35087519593591</v>
      </c>
      <c r="K63">
        <v>148.75655616496439</v>
      </c>
      <c r="L63">
        <v>148.31661780552079</v>
      </c>
      <c r="M63">
        <v>148.9967701221486</v>
      </c>
      <c r="N63">
        <v>149.31740090546239</v>
      </c>
      <c r="O63">
        <v>147.3662939571189</v>
      </c>
    </row>
    <row r="64" spans="1:15" x14ac:dyDescent="0.3">
      <c r="A64" s="10" t="s">
        <v>118</v>
      </c>
      <c r="B64" t="s">
        <v>155</v>
      </c>
      <c r="C64">
        <v>8.5359537237927482E-2</v>
      </c>
      <c r="D64">
        <v>8.5059454243566882E-2</v>
      </c>
      <c r="E64">
        <v>9.3002665870465587E-2</v>
      </c>
      <c r="F64">
        <v>9.5699253074953097E-2</v>
      </c>
      <c r="G64">
        <v>9.8907821049229794E-2</v>
      </c>
      <c r="H64">
        <v>0.1012079474804006</v>
      </c>
      <c r="I64">
        <v>0.1046723037873685</v>
      </c>
      <c r="J64">
        <v>0.1070711829851686</v>
      </c>
      <c r="K64">
        <v>0.1080651373923471</v>
      </c>
      <c r="L64">
        <v>0.10872509878668481</v>
      </c>
      <c r="M64">
        <v>0.1101375943795648</v>
      </c>
      <c r="N64">
        <v>0.11100540450976611</v>
      </c>
      <c r="O64">
        <v>0.1101943640102023</v>
      </c>
    </row>
    <row r="65" spans="1:15" x14ac:dyDescent="0.3">
      <c r="A65" s="10" t="s">
        <v>119</v>
      </c>
      <c r="B65" t="s">
        <v>120</v>
      </c>
      <c r="C65">
        <v>1.352425659626063E-3</v>
      </c>
      <c r="D65">
        <v>1.542689958048773E-3</v>
      </c>
      <c r="E65">
        <v>1.274694927500874E-2</v>
      </c>
      <c r="F65">
        <v>2.0314701027150259E-2</v>
      </c>
      <c r="G65">
        <v>2.033194528934637E-2</v>
      </c>
      <c r="H65">
        <v>2.0344111707804879E-2</v>
      </c>
      <c r="I65">
        <v>2.0386050567501791E-2</v>
      </c>
      <c r="J65">
        <v>2.041479839582238E-2</v>
      </c>
      <c r="K65">
        <v>2.041941592888278E-2</v>
      </c>
      <c r="L65">
        <v>2.0422612217153881E-2</v>
      </c>
      <c r="M65">
        <v>2.0430234730901671E-2</v>
      </c>
      <c r="N65">
        <v>2.043551061589571E-2</v>
      </c>
      <c r="O65">
        <v>2.041266760795666E-2</v>
      </c>
    </row>
    <row r="66" spans="1:15" x14ac:dyDescent="0.3">
      <c r="A66" s="10" t="s">
        <v>121</v>
      </c>
      <c r="B66" t="s">
        <v>156</v>
      </c>
      <c r="C66">
        <v>0.20595997573025759</v>
      </c>
      <c r="D66">
        <v>0.20929350522490889</v>
      </c>
      <c r="E66">
        <v>0.21262186521912571</v>
      </c>
      <c r="F66">
        <v>0.2066445298971816</v>
      </c>
      <c r="G66">
        <v>0.20577571585183049</v>
      </c>
      <c r="H66">
        <v>0.20513141803051649</v>
      </c>
      <c r="I66">
        <v>0.20434168748117601</v>
      </c>
      <c r="J66">
        <v>0.2037581840671121</v>
      </c>
      <c r="K66">
        <v>0.2050366597674734</v>
      </c>
      <c r="L66">
        <v>0.20587151185572741</v>
      </c>
      <c r="M66">
        <v>0.20408592633471129</v>
      </c>
      <c r="N66">
        <v>0.2028436047077192</v>
      </c>
      <c r="O66">
        <v>0.1951870802195132</v>
      </c>
    </row>
    <row r="67" spans="1:15" x14ac:dyDescent="0.3">
      <c r="A67" s="10" t="s">
        <v>122</v>
      </c>
      <c r="B67" t="s">
        <v>123</v>
      </c>
      <c r="C67">
        <v>0</v>
      </c>
      <c r="D67">
        <v>9.6078082493373324E-2</v>
      </c>
      <c r="E67">
        <v>0.37344129486083988</v>
      </c>
      <c r="F67">
        <v>0.52347101593017586</v>
      </c>
      <c r="G67">
        <v>0.76755388251707457</v>
      </c>
      <c r="H67">
        <v>0.92772767099831632</v>
      </c>
      <c r="I67">
        <v>2.158490918472276</v>
      </c>
      <c r="J67">
        <v>2.978619991058983</v>
      </c>
      <c r="K67">
        <v>4.3115361214141208</v>
      </c>
      <c r="L67">
        <v>5.2053615669928606</v>
      </c>
      <c r="M67">
        <v>6.4147376239259613</v>
      </c>
      <c r="N67">
        <v>7.2275737072617634</v>
      </c>
      <c r="O67">
        <v>8.7886622085873967</v>
      </c>
    </row>
    <row r="68" spans="1:15" x14ac:dyDescent="0.3">
      <c r="A68" s="10" t="s">
        <v>124</v>
      </c>
      <c r="B68" t="s">
        <v>125</v>
      </c>
      <c r="C68">
        <v>0</v>
      </c>
      <c r="D68">
        <v>1.9823431140965169E-2</v>
      </c>
      <c r="E68">
        <v>3.3993961060416737E-2</v>
      </c>
      <c r="F68">
        <v>4.3305010560265471E-2</v>
      </c>
      <c r="G68">
        <v>4.7875445931804712E-2</v>
      </c>
      <c r="H68">
        <v>5.0818687192178073E-2</v>
      </c>
      <c r="I68">
        <v>5.6190275491756023E-2</v>
      </c>
      <c r="J68">
        <v>5.9958420130916359E-2</v>
      </c>
      <c r="K68">
        <v>6.585406373110661E-2</v>
      </c>
      <c r="L68">
        <v>6.9958862025426893E-2</v>
      </c>
      <c r="M68">
        <v>7.6360375425346627E-2</v>
      </c>
      <c r="N68">
        <v>8.0790582597765545E-2</v>
      </c>
      <c r="O68">
        <v>8.9564383694831495E-2</v>
      </c>
    </row>
    <row r="69" spans="1:15" x14ac:dyDescent="0.3">
      <c r="A69" s="10" t="s">
        <v>126</v>
      </c>
      <c r="B69" t="s">
        <v>127</v>
      </c>
      <c r="C69">
        <v>0</v>
      </c>
      <c r="D69">
        <v>0</v>
      </c>
      <c r="E69">
        <v>9.5449239367300723E-3</v>
      </c>
      <c r="F69">
        <v>1.7154856768642601E-2</v>
      </c>
      <c r="G69">
        <v>2.8081756639230449E-2</v>
      </c>
      <c r="H69">
        <v>3.6266078701531777E-2</v>
      </c>
      <c r="I69">
        <v>6.4660788498225527E-2</v>
      </c>
      <c r="J69">
        <v>8.6472903711491272E-2</v>
      </c>
      <c r="K69">
        <v>0.1280963003218728</v>
      </c>
      <c r="L69">
        <v>0.1595416908744007</v>
      </c>
      <c r="M69">
        <v>0.2033948865993512</v>
      </c>
      <c r="N69">
        <v>0.23583462288382229</v>
      </c>
      <c r="O69">
        <v>0.2826564746476915</v>
      </c>
    </row>
    <row r="70" spans="1:15" x14ac:dyDescent="0.3">
      <c r="A70" s="10" t="s">
        <v>128</v>
      </c>
      <c r="B70" t="s">
        <v>129</v>
      </c>
      <c r="C70">
        <v>0</v>
      </c>
      <c r="D70">
        <v>5.7493576086152513E-2</v>
      </c>
      <c r="E70">
        <v>7.8547716413389118E-2</v>
      </c>
      <c r="F70">
        <v>9.1956823032163765E-2</v>
      </c>
      <c r="G70">
        <v>0.1013987469588766</v>
      </c>
      <c r="H70">
        <v>0.1076872275301335</v>
      </c>
      <c r="I70">
        <v>0.1127261162064455</v>
      </c>
      <c r="J70">
        <v>0.1160135350684504</v>
      </c>
      <c r="K70">
        <v>0.12081748592387349</v>
      </c>
      <c r="L70">
        <v>0.1239571070568718</v>
      </c>
      <c r="M70">
        <v>0.1285703039765915</v>
      </c>
      <c r="N70">
        <v>0.13158973390310619</v>
      </c>
      <c r="O70">
        <v>0.13547161262052121</v>
      </c>
    </row>
    <row r="71" spans="1:15" x14ac:dyDescent="0.3">
      <c r="A71" s="10" t="s">
        <v>130</v>
      </c>
      <c r="B71" t="s">
        <v>131</v>
      </c>
      <c r="C71">
        <v>0</v>
      </c>
      <c r="D71">
        <v>0</v>
      </c>
      <c r="E71">
        <v>2.205485783893088E-2</v>
      </c>
      <c r="F71">
        <v>3.6427796867081842E-2</v>
      </c>
      <c r="G71">
        <v>5.9476311503773471E-2</v>
      </c>
      <c r="H71">
        <v>7.6849554455997296E-2</v>
      </c>
      <c r="I71">
        <v>0.12971923512495981</v>
      </c>
      <c r="J71">
        <v>0.16731640402297751</v>
      </c>
      <c r="K71">
        <v>0.23500862489261731</v>
      </c>
      <c r="L71">
        <v>0.28268507924792469</v>
      </c>
      <c r="M71">
        <v>0.34246220309549019</v>
      </c>
      <c r="N71">
        <v>0.38412169181807432</v>
      </c>
      <c r="O71">
        <v>0.42753521945313111</v>
      </c>
    </row>
    <row r="72" spans="1:15" x14ac:dyDescent="0.3">
      <c r="A72" s="10" t="s">
        <v>132</v>
      </c>
      <c r="B72" t="s">
        <v>133</v>
      </c>
      <c r="C72">
        <v>0</v>
      </c>
      <c r="D72">
        <v>8.3961379845092748E-2</v>
      </c>
      <c r="E72">
        <v>9.0989027564611261E-2</v>
      </c>
      <c r="F72">
        <v>9.5418518776833897E-2</v>
      </c>
      <c r="G72">
        <v>0.10030087067219889</v>
      </c>
      <c r="H72">
        <v>0.10402220902413629</v>
      </c>
      <c r="I72">
        <v>0.1140257492030268</v>
      </c>
      <c r="J72">
        <v>0.1222531955676104</v>
      </c>
      <c r="K72">
        <v>0.13651052424220009</v>
      </c>
      <c r="L72">
        <v>0.14765117111907691</v>
      </c>
      <c r="M72">
        <v>0.16259977182155011</v>
      </c>
      <c r="N72">
        <v>0.17363076465963839</v>
      </c>
      <c r="O72">
        <v>0.19253261202344149</v>
      </c>
    </row>
    <row r="73" spans="1:15" x14ac:dyDescent="0.3">
      <c r="A73" s="10" t="s">
        <v>134</v>
      </c>
      <c r="B73" t="s">
        <v>135</v>
      </c>
      <c r="C73">
        <v>0.54390953555686794</v>
      </c>
      <c r="D73">
        <v>0.55141567385542345</v>
      </c>
      <c r="E73">
        <v>0.57616156148715236</v>
      </c>
      <c r="F73">
        <v>0.60747367215917658</v>
      </c>
      <c r="G73">
        <v>0.62889269203851728</v>
      </c>
      <c r="H73">
        <v>0.64268628089669233</v>
      </c>
      <c r="I73">
        <v>0.64524320457546003</v>
      </c>
      <c r="J73">
        <v>0.64713702830903841</v>
      </c>
      <c r="K73">
        <v>0.64667933788754217</v>
      </c>
      <c r="L73">
        <v>0.64643070274525416</v>
      </c>
      <c r="M73">
        <v>0.64563114754691964</v>
      </c>
      <c r="N73">
        <v>0.64509633601041005</v>
      </c>
      <c r="O73">
        <v>0.63178181541431944</v>
      </c>
    </row>
    <row r="74" spans="1:15" x14ac:dyDescent="0.3">
      <c r="A74" s="10" t="s">
        <v>136</v>
      </c>
      <c r="B74" t="s">
        <v>137</v>
      </c>
      <c r="C74">
        <v>0</v>
      </c>
      <c r="D74">
        <v>0.19549827543308071</v>
      </c>
      <c r="E74">
        <v>0.20783157220765219</v>
      </c>
      <c r="F74">
        <v>0.2135839619269454</v>
      </c>
      <c r="G74">
        <v>0.23161833025605441</v>
      </c>
      <c r="H74">
        <v>0.24354568887466579</v>
      </c>
      <c r="I74">
        <v>0.26852611253119463</v>
      </c>
      <c r="J74">
        <v>0.28619238831238158</v>
      </c>
      <c r="K74">
        <v>0.30899095320240649</v>
      </c>
      <c r="L74">
        <v>0.32496021697758137</v>
      </c>
      <c r="M74">
        <v>0.34816511863524507</v>
      </c>
      <c r="N74">
        <v>0.36414019759691463</v>
      </c>
      <c r="O74">
        <v>0.39188293053429513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74"/>
  <sheetViews>
    <sheetView workbookViewId="0">
      <selection activeCell="C2" sqref="C2:O77"/>
    </sheetView>
  </sheetViews>
  <sheetFormatPr baseColWidth="10" defaultColWidth="8.88671875" defaultRowHeight="14.4" x14ac:dyDescent="0.3"/>
  <sheetData>
    <row r="1" spans="1:15" x14ac:dyDescent="0.3">
      <c r="A1" s="10" t="s">
        <v>0</v>
      </c>
      <c r="B1" s="10" t="s">
        <v>1</v>
      </c>
      <c r="C1" s="1">
        <v>2019</v>
      </c>
      <c r="D1" s="1">
        <v>2020</v>
      </c>
      <c r="E1" s="1">
        <v>2023</v>
      </c>
      <c r="F1" s="1">
        <v>2025</v>
      </c>
      <c r="G1" s="1">
        <v>2028</v>
      </c>
      <c r="H1" s="1">
        <v>2030</v>
      </c>
      <c r="I1" s="1">
        <v>2033</v>
      </c>
      <c r="J1" s="1">
        <v>2035</v>
      </c>
      <c r="K1" s="1">
        <v>2038</v>
      </c>
      <c r="L1" s="1">
        <v>2040</v>
      </c>
      <c r="M1" s="1">
        <v>2043</v>
      </c>
      <c r="N1" s="1">
        <v>2045</v>
      </c>
      <c r="O1" s="1">
        <v>2050</v>
      </c>
    </row>
    <row r="2" spans="1:15" x14ac:dyDescent="0.3">
      <c r="A2" s="10" t="s">
        <v>2</v>
      </c>
      <c r="B2" t="s">
        <v>3</v>
      </c>
      <c r="C2">
        <v>113.559489778081</v>
      </c>
      <c r="D2">
        <v>113.559489778081</v>
      </c>
      <c r="E2">
        <v>113.559489778081</v>
      </c>
      <c r="F2">
        <v>113.559489778081</v>
      </c>
      <c r="G2">
        <v>113.559489778081</v>
      </c>
      <c r="H2">
        <v>113.559489778081</v>
      </c>
      <c r="I2">
        <v>113.559489778081</v>
      </c>
      <c r="J2">
        <v>113.559489778081</v>
      </c>
      <c r="K2">
        <v>113.559489778081</v>
      </c>
      <c r="L2">
        <v>113.559489778081</v>
      </c>
      <c r="M2">
        <v>113.559489778081</v>
      </c>
      <c r="N2">
        <v>113.559489778081</v>
      </c>
      <c r="O2">
        <v>113.559489778081</v>
      </c>
    </row>
    <row r="3" spans="1:15" x14ac:dyDescent="0.3">
      <c r="A3" s="10" t="s">
        <v>4</v>
      </c>
      <c r="B3" t="s">
        <v>5</v>
      </c>
      <c r="C3">
        <v>-0.20642310963571039</v>
      </c>
      <c r="D3">
        <v>-0.30363189419112041</v>
      </c>
      <c r="E3">
        <v>-0.30162459755991122</v>
      </c>
      <c r="F3">
        <v>-0.34104354827709371</v>
      </c>
      <c r="G3">
        <v>-0.45688961479256601</v>
      </c>
      <c r="H3">
        <v>-0.53250030490795808</v>
      </c>
      <c r="I3">
        <v>-0.62354408117936222</v>
      </c>
      <c r="J3">
        <v>-0.68341427223415019</v>
      </c>
      <c r="K3">
        <v>-0.76234192411223356</v>
      </c>
      <c r="L3">
        <v>-0.81282158676442418</v>
      </c>
      <c r="M3">
        <v>-0.85907442120012012</v>
      </c>
      <c r="N3">
        <v>-0.88798914475974677</v>
      </c>
      <c r="O3">
        <v>-0.95189828643248231</v>
      </c>
    </row>
    <row r="4" spans="1:15" x14ac:dyDescent="0.3">
      <c r="A4" s="10" t="s">
        <v>6</v>
      </c>
      <c r="B4" t="s">
        <v>7</v>
      </c>
      <c r="C4">
        <v>-0.2169718584978535</v>
      </c>
      <c r="D4">
        <v>-0.296668984106506</v>
      </c>
      <c r="E4">
        <v>-0.33127191943033768</v>
      </c>
      <c r="F4">
        <v>-0.36909227124643729</v>
      </c>
      <c r="G4">
        <v>-0.45469452325502102</v>
      </c>
      <c r="H4">
        <v>-0.51048125468846828</v>
      </c>
      <c r="I4">
        <v>-0.57904615763066558</v>
      </c>
      <c r="J4">
        <v>-0.62433300304093653</v>
      </c>
      <c r="K4">
        <v>-0.68490043178935234</v>
      </c>
      <c r="L4">
        <v>-0.72386213309902137</v>
      </c>
      <c r="M4">
        <v>-0.76087076261536424</v>
      </c>
      <c r="N4">
        <v>-0.78430270414608927</v>
      </c>
      <c r="O4">
        <v>-0.83063519610589742</v>
      </c>
    </row>
    <row r="5" spans="1:15" x14ac:dyDescent="0.3">
      <c r="A5" s="10" t="s">
        <v>8</v>
      </c>
      <c r="B5" t="s">
        <v>9</v>
      </c>
      <c r="C5">
        <v>-0.23955683252243559</v>
      </c>
      <c r="D5">
        <v>-0.3235791684113376</v>
      </c>
      <c r="E5">
        <v>-0.36201370033414693</v>
      </c>
      <c r="F5">
        <v>-0.40243232565287118</v>
      </c>
      <c r="G5">
        <v>-0.49608956234496709</v>
      </c>
      <c r="H5">
        <v>-0.55729032625290342</v>
      </c>
      <c r="I5">
        <v>-0.62953360511714695</v>
      </c>
      <c r="J5">
        <v>-0.67729638250420898</v>
      </c>
      <c r="K5">
        <v>-0.74159305845651935</v>
      </c>
      <c r="L5">
        <v>-0.78303901772629536</v>
      </c>
      <c r="M5">
        <v>-0.8241723629465324</v>
      </c>
      <c r="N5">
        <v>-0.85027864090123617</v>
      </c>
      <c r="O5">
        <v>-0.90302090174241123</v>
      </c>
    </row>
    <row r="6" spans="1:15" x14ac:dyDescent="0.3">
      <c r="A6" s="10" t="s">
        <v>10</v>
      </c>
      <c r="B6" t="s">
        <v>11</v>
      </c>
      <c r="C6">
        <v>-0.23955683252243559</v>
      </c>
      <c r="D6">
        <v>-0.3235791684113376</v>
      </c>
      <c r="E6">
        <v>-0.36201370033414693</v>
      </c>
      <c r="F6">
        <v>-0.40243232565287118</v>
      </c>
      <c r="G6">
        <v>-0.49608956234496709</v>
      </c>
      <c r="H6">
        <v>-0.55729032625290342</v>
      </c>
      <c r="I6">
        <v>-0.62953360511714695</v>
      </c>
      <c r="J6">
        <v>-0.67729638250420898</v>
      </c>
      <c r="K6">
        <v>-0.74159305845651935</v>
      </c>
      <c r="L6">
        <v>-0.78303901772629536</v>
      </c>
      <c r="M6">
        <v>-0.8241723629465324</v>
      </c>
      <c r="N6">
        <v>-0.85027864090123617</v>
      </c>
      <c r="O6">
        <v>-0.90302090174241123</v>
      </c>
    </row>
    <row r="7" spans="1:15" x14ac:dyDescent="0.3">
      <c r="A7" s="10" t="s">
        <v>12</v>
      </c>
      <c r="B7" t="s">
        <v>13</v>
      </c>
      <c r="C7">
        <v>-0.19766673292407891</v>
      </c>
      <c r="D7">
        <v>-0.29861595229902321</v>
      </c>
      <c r="E7">
        <v>-0.31965073037323799</v>
      </c>
      <c r="F7">
        <v>-0.3482584783860162</v>
      </c>
      <c r="G7">
        <v>-0.43182487332115099</v>
      </c>
      <c r="H7">
        <v>-0.48629378730467848</v>
      </c>
      <c r="I7">
        <v>-0.55630982394639106</v>
      </c>
      <c r="J7">
        <v>-0.60258242519427241</v>
      </c>
      <c r="K7">
        <v>-0.66433842707938495</v>
      </c>
      <c r="L7">
        <v>-0.70414366255807537</v>
      </c>
      <c r="M7">
        <v>-0.74200056441051698</v>
      </c>
      <c r="N7">
        <v>-0.76604735141597058</v>
      </c>
      <c r="O7">
        <v>-0.82094695250469418</v>
      </c>
    </row>
    <row r="8" spans="1:15" x14ac:dyDescent="0.3">
      <c r="A8" s="10" t="s">
        <v>14</v>
      </c>
      <c r="B8" t="s">
        <v>15</v>
      </c>
      <c r="C8">
        <v>-0.21957045788473781</v>
      </c>
      <c r="D8">
        <v>-0.32471442268079631</v>
      </c>
      <c r="E8">
        <v>-0.34946522176848899</v>
      </c>
      <c r="F8">
        <v>-0.38059286943278409</v>
      </c>
      <c r="G8">
        <v>-0.4719712799530571</v>
      </c>
      <c r="H8">
        <v>-0.53169091851657324</v>
      </c>
      <c r="I8">
        <v>-0.60527437721556665</v>
      </c>
      <c r="J8">
        <v>-0.65394822687674736</v>
      </c>
      <c r="K8">
        <v>-0.71932098762886176</v>
      </c>
      <c r="L8">
        <v>-0.76153554636071508</v>
      </c>
      <c r="M8">
        <v>-0.80339274673998595</v>
      </c>
      <c r="N8">
        <v>-0.83003320197013375</v>
      </c>
      <c r="O8">
        <v>-0.89114922883318137</v>
      </c>
    </row>
    <row r="9" spans="1:15" x14ac:dyDescent="0.3">
      <c r="A9" s="10" t="s">
        <v>16</v>
      </c>
      <c r="B9" t="s">
        <v>17</v>
      </c>
      <c r="C9">
        <v>-0.21957045788473781</v>
      </c>
      <c r="D9">
        <v>-0.32471442268079631</v>
      </c>
      <c r="E9">
        <v>-0.34946522176848899</v>
      </c>
      <c r="F9">
        <v>-0.38059286943278409</v>
      </c>
      <c r="G9">
        <v>-0.4719712799530571</v>
      </c>
      <c r="H9">
        <v>-0.53169091851657324</v>
      </c>
      <c r="I9">
        <v>-0.60527437721556665</v>
      </c>
      <c r="J9">
        <v>-0.65394822687674736</v>
      </c>
      <c r="K9">
        <v>-0.71932098762886176</v>
      </c>
      <c r="L9">
        <v>-0.76153554636071508</v>
      </c>
      <c r="M9">
        <v>-0.80339274673998595</v>
      </c>
      <c r="N9">
        <v>-0.83003320197013375</v>
      </c>
      <c r="O9">
        <v>-0.89114922883318137</v>
      </c>
    </row>
    <row r="10" spans="1:15" x14ac:dyDescent="0.3">
      <c r="A10" s="10" t="s">
        <v>18</v>
      </c>
      <c r="B10" t="s">
        <v>19</v>
      </c>
      <c r="C10">
        <v>5.2470454594676417</v>
      </c>
      <c r="D10">
        <v>2.5149028029978702</v>
      </c>
      <c r="E10">
        <v>3.9376153107558101</v>
      </c>
      <c r="F10">
        <v>4.8860903159277704</v>
      </c>
      <c r="G10">
        <v>4.7274318857946067</v>
      </c>
      <c r="H10">
        <v>4.6216595990391651</v>
      </c>
      <c r="I10">
        <v>4.39317143892114</v>
      </c>
      <c r="J10">
        <v>4.2408459988424552</v>
      </c>
      <c r="K10">
        <v>4.0625518517482124</v>
      </c>
      <c r="L10">
        <v>3.9436890870187149</v>
      </c>
      <c r="M10">
        <v>3.839326295192901</v>
      </c>
      <c r="N10">
        <v>3.7697511006423579</v>
      </c>
      <c r="O10">
        <v>3.3105630881670618</v>
      </c>
    </row>
    <row r="11" spans="1:15" x14ac:dyDescent="0.3">
      <c r="A11" s="10" t="s">
        <v>20</v>
      </c>
      <c r="B11" t="s">
        <v>22</v>
      </c>
      <c r="C11">
        <v>90.491025602009103</v>
      </c>
      <c r="D11">
        <v>79.735863467846301</v>
      </c>
      <c r="E11">
        <v>76.172669162540871</v>
      </c>
      <c r="F11">
        <v>68.258845086579598</v>
      </c>
      <c r="G11">
        <v>57.654941113052473</v>
      </c>
      <c r="H11">
        <v>51.009938879098051</v>
      </c>
      <c r="I11">
        <v>43.495397925273217</v>
      </c>
      <c r="J11">
        <v>38.758260713856536</v>
      </c>
      <c r="K11">
        <v>32.133325999100073</v>
      </c>
      <c r="L11">
        <v>28.106440712747759</v>
      </c>
      <c r="M11">
        <v>23.240924835352569</v>
      </c>
      <c r="N11">
        <v>20.239345201649261</v>
      </c>
      <c r="O11">
        <v>13.559992728319081</v>
      </c>
    </row>
    <row r="12" spans="1:15" x14ac:dyDescent="0.3">
      <c r="A12" s="10" t="s">
        <v>21</v>
      </c>
      <c r="B12" t="s">
        <v>23</v>
      </c>
      <c r="C12">
        <v>94.793602878772575</v>
      </c>
      <c r="D12">
        <v>81.798083766304558</v>
      </c>
      <c r="E12">
        <v>79.401513717360629</v>
      </c>
      <c r="F12">
        <v>72.265439145640372</v>
      </c>
      <c r="G12">
        <v>61.531435259404049</v>
      </c>
      <c r="H12">
        <v>54.799699750310168</v>
      </c>
      <c r="I12">
        <v>47.09779850518855</v>
      </c>
      <c r="J12">
        <v>42.235754432907363</v>
      </c>
      <c r="K12">
        <v>35.464618517533609</v>
      </c>
      <c r="L12">
        <v>31.340265764103101</v>
      </c>
      <c r="M12">
        <v>26.389172397410739</v>
      </c>
      <c r="N12">
        <v>23.330541104175989</v>
      </c>
      <c r="O12">
        <v>16.27465446061607</v>
      </c>
    </row>
    <row r="13" spans="1:15" x14ac:dyDescent="0.3">
      <c r="A13" s="10" t="s">
        <v>24</v>
      </c>
      <c r="B13" t="s">
        <v>25</v>
      </c>
      <c r="C13">
        <v>-0.41298949675023339</v>
      </c>
      <c r="D13">
        <v>-0.48275766541565268</v>
      </c>
      <c r="E13">
        <v>-0.5058719186625249</v>
      </c>
      <c r="F13">
        <v>-0.5572084774268341</v>
      </c>
      <c r="G13">
        <v>-0.62599544239382365</v>
      </c>
      <c r="H13">
        <v>-0.66910122088952906</v>
      </c>
      <c r="I13">
        <v>-0.71784765113109061</v>
      </c>
      <c r="J13">
        <v>-0.7485772100010164</v>
      </c>
      <c r="K13">
        <v>-0.79155281155967194</v>
      </c>
      <c r="L13">
        <v>-0.81767500370795354</v>
      </c>
      <c r="M13">
        <v>-0.8492373482029868</v>
      </c>
      <c r="N13">
        <v>-0.86870843674024956</v>
      </c>
      <c r="O13">
        <v>-0.91203704342436998</v>
      </c>
    </row>
    <row r="14" spans="1:15" x14ac:dyDescent="0.3">
      <c r="A14" s="10" t="s">
        <v>26</v>
      </c>
      <c r="B14" t="s">
        <v>27</v>
      </c>
      <c r="C14">
        <v>331.24136368341692</v>
      </c>
      <c r="D14">
        <v>300.87476023072583</v>
      </c>
      <c r="E14">
        <v>284.44434359517919</v>
      </c>
      <c r="F14">
        <v>271.00287890958521</v>
      </c>
      <c r="G14">
        <v>235.16186123636319</v>
      </c>
      <c r="H14">
        <v>211.54079459039249</v>
      </c>
      <c r="I14">
        <v>181.93746428115281</v>
      </c>
      <c r="J14">
        <v>162.1595514381448</v>
      </c>
      <c r="K14">
        <v>135.97677278272479</v>
      </c>
      <c r="L14">
        <v>118.9025935359802</v>
      </c>
      <c r="M14">
        <v>103.7177947133312</v>
      </c>
      <c r="N14">
        <v>94.027425175792828</v>
      </c>
      <c r="O14">
        <v>75.874432831973891</v>
      </c>
    </row>
    <row r="15" spans="1:15" x14ac:dyDescent="0.3">
      <c r="A15" s="10" t="s">
        <v>28</v>
      </c>
      <c r="B15" t="s">
        <v>29</v>
      </c>
      <c r="C15">
        <v>-0.15851306014485461</v>
      </c>
      <c r="D15">
        <v>-0.2356565060268794</v>
      </c>
      <c r="E15">
        <v>-0.27739640487720929</v>
      </c>
      <c r="F15">
        <v>-0.31154315774549468</v>
      </c>
      <c r="G15">
        <v>-0.40259382831319251</v>
      </c>
      <c r="H15">
        <v>-0.46260088439761782</v>
      </c>
      <c r="I15">
        <v>-0.53780530800713922</v>
      </c>
      <c r="J15">
        <v>-0.58804920016455386</v>
      </c>
      <c r="K15">
        <v>-0.65456404010680047</v>
      </c>
      <c r="L15">
        <v>-0.69793935617575986</v>
      </c>
      <c r="M15">
        <v>-0.73651488234645657</v>
      </c>
      <c r="N15">
        <v>-0.76113233747806319</v>
      </c>
      <c r="O15">
        <v>-0.80724827483187034</v>
      </c>
    </row>
    <row r="16" spans="1:15" x14ac:dyDescent="0.3">
      <c r="A16" s="10" t="s">
        <v>148</v>
      </c>
      <c r="B16" t="s">
        <v>149</v>
      </c>
      <c r="C16">
        <v>52.662640289673767</v>
      </c>
      <c r="D16">
        <v>52.502459534855568</v>
      </c>
      <c r="E16">
        <v>49.241616732581477</v>
      </c>
      <c r="F16">
        <v>47.057541381869513</v>
      </c>
      <c r="G16">
        <v>45.284322725188837</v>
      </c>
      <c r="H16">
        <v>44.100976479097483</v>
      </c>
      <c r="I16">
        <v>42.022613601157452</v>
      </c>
      <c r="J16">
        <v>40.635780429983363</v>
      </c>
      <c r="K16">
        <v>38.424813997517298</v>
      </c>
      <c r="L16">
        <v>36.948878343490193</v>
      </c>
      <c r="M16">
        <v>35.044720975433727</v>
      </c>
      <c r="N16">
        <v>33.772063900074272</v>
      </c>
      <c r="O16">
        <v>31.870953997889369</v>
      </c>
    </row>
    <row r="17" spans="1:15" x14ac:dyDescent="0.3">
      <c r="A17" s="10" t="s">
        <v>30</v>
      </c>
      <c r="B17" t="s">
        <v>31</v>
      </c>
      <c r="C17">
        <v>-4.83793311111963E-2</v>
      </c>
      <c r="D17">
        <v>-5.1273817908758068E-2</v>
      </c>
      <c r="E17">
        <v>-0.1101976658505367</v>
      </c>
      <c r="F17">
        <v>-0.1496641877475714</v>
      </c>
      <c r="G17">
        <v>-0.1817064764530891</v>
      </c>
      <c r="H17">
        <v>-0.20308969499356419</v>
      </c>
      <c r="I17">
        <v>-0.24064597894020789</v>
      </c>
      <c r="J17">
        <v>-0.26570623233294638</v>
      </c>
      <c r="K17">
        <v>-0.30565867952854597</v>
      </c>
      <c r="L17">
        <v>-0.33232902622207322</v>
      </c>
      <c r="M17">
        <v>-0.36673739424715202</v>
      </c>
      <c r="N17">
        <v>-0.38973447093487579</v>
      </c>
      <c r="O17">
        <v>-0.42408777086053601</v>
      </c>
    </row>
    <row r="18" spans="1:15" x14ac:dyDescent="0.3">
      <c r="A18" s="10" t="s">
        <v>150</v>
      </c>
      <c r="B18" t="s">
        <v>151</v>
      </c>
      <c r="C18">
        <v>33.120931394840781</v>
      </c>
      <c r="D18">
        <v>33.133473628497953</v>
      </c>
      <c r="E18">
        <v>32.664046246287668</v>
      </c>
      <c r="F18">
        <v>32.354263894223109</v>
      </c>
      <c r="G18">
        <v>31.25322489525054</v>
      </c>
      <c r="H18">
        <v>30.51963369554996</v>
      </c>
      <c r="I18">
        <v>28.925261915153921</v>
      </c>
      <c r="J18">
        <v>27.862778538266578</v>
      </c>
      <c r="K18">
        <v>26.103895164629691</v>
      </c>
      <c r="L18">
        <v>24.93197735134309</v>
      </c>
      <c r="M18">
        <v>23.509455589389109</v>
      </c>
      <c r="N18">
        <v>22.56221098048378</v>
      </c>
      <c r="O18">
        <v>21.619922123766781</v>
      </c>
    </row>
    <row r="19" spans="1:15" x14ac:dyDescent="0.3">
      <c r="A19" s="10" t="s">
        <v>32</v>
      </c>
      <c r="B19" t="s">
        <v>33</v>
      </c>
      <c r="C19">
        <v>-0.46129028699134411</v>
      </c>
      <c r="D19">
        <v>-0.46108628840768728</v>
      </c>
      <c r="E19">
        <v>-0.46872149308639077</v>
      </c>
      <c r="F19">
        <v>-0.47376008212805759</v>
      </c>
      <c r="G19">
        <v>-0.49166840711073762</v>
      </c>
      <c r="H19">
        <v>-0.50360021844614966</v>
      </c>
      <c r="I19">
        <v>-0.52953256781178504</v>
      </c>
      <c r="J19">
        <v>-0.54681378820429516</v>
      </c>
      <c r="K19">
        <v>-0.57542190752714784</v>
      </c>
      <c r="L19">
        <v>-0.59448307163932901</v>
      </c>
      <c r="M19">
        <v>-0.61762029205729618</v>
      </c>
      <c r="N19">
        <v>-0.63302716166881545</v>
      </c>
      <c r="O19">
        <v>-0.64835342630557435</v>
      </c>
    </row>
    <row r="20" spans="1:15" x14ac:dyDescent="0.3">
      <c r="A20" s="10" t="s">
        <v>152</v>
      </c>
      <c r="B20" t="s">
        <v>153</v>
      </c>
      <c r="C20">
        <v>14.54855432764387</v>
      </c>
      <c r="D20">
        <v>12.95802173594071</v>
      </c>
      <c r="E20">
        <v>9.9718377663674076</v>
      </c>
      <c r="F20">
        <v>7.9810484533185377</v>
      </c>
      <c r="G20">
        <v>6.3270795287523089</v>
      </c>
      <c r="H20">
        <v>5.224433579041488</v>
      </c>
      <c r="I20">
        <v>4.2439543333053784</v>
      </c>
      <c r="J20">
        <v>3.5903015028146368</v>
      </c>
      <c r="K20">
        <v>2.949837878586008</v>
      </c>
      <c r="L20">
        <v>2.5228621291002562</v>
      </c>
      <c r="M20">
        <v>2.289292364693249</v>
      </c>
      <c r="N20">
        <v>2.133579188421912</v>
      </c>
      <c r="O20">
        <v>1.9595602090676789</v>
      </c>
    </row>
    <row r="21" spans="1:15" x14ac:dyDescent="0.3">
      <c r="A21" s="10" t="s">
        <v>34</v>
      </c>
      <c r="B21" t="s">
        <v>35</v>
      </c>
      <c r="C21">
        <v>0.2354524672932061</v>
      </c>
      <c r="D21">
        <v>0.1003856166305144</v>
      </c>
      <c r="E21">
        <v>-0.15319891623201859</v>
      </c>
      <c r="F21">
        <v>-0.32225527147370758</v>
      </c>
      <c r="G21">
        <v>-0.46270908857902299</v>
      </c>
      <c r="H21">
        <v>-0.5563449666492335</v>
      </c>
      <c r="I21">
        <v>-0.63960653862362449</v>
      </c>
      <c r="J21">
        <v>-0.69511425327321863</v>
      </c>
      <c r="K21">
        <v>-0.74950195028730082</v>
      </c>
      <c r="L21">
        <v>-0.78576041496335547</v>
      </c>
      <c r="M21">
        <v>-0.80559498651067574</v>
      </c>
      <c r="N21">
        <v>-0.81881803420888932</v>
      </c>
      <c r="O21">
        <v>-0.8335955971582556</v>
      </c>
    </row>
    <row r="22" spans="1:15" x14ac:dyDescent="0.3">
      <c r="A22" s="10" t="s">
        <v>36</v>
      </c>
      <c r="B22" t="s">
        <v>37</v>
      </c>
      <c r="C22">
        <v>0.70393759286775615</v>
      </c>
      <c r="D22">
        <v>0.66706443914081148</v>
      </c>
      <c r="E22">
        <v>0.66445432550840255</v>
      </c>
      <c r="F22">
        <v>0.64564091011489066</v>
      </c>
      <c r="G22">
        <v>0.61850110836857575</v>
      </c>
      <c r="H22">
        <v>0.60109010390052797</v>
      </c>
      <c r="I22">
        <v>0.56650411408844858</v>
      </c>
      <c r="J22">
        <v>0.54406034983005869</v>
      </c>
      <c r="K22">
        <v>0.51127647769183071</v>
      </c>
      <c r="L22">
        <v>0.48998708010335917</v>
      </c>
      <c r="M22">
        <v>0.45073375262054521</v>
      </c>
      <c r="N22">
        <v>0.42590038314176248</v>
      </c>
      <c r="O22">
        <v>0.36803732866724997</v>
      </c>
    </row>
    <row r="23" spans="1:15" x14ac:dyDescent="0.3">
      <c r="A23" s="10" t="s">
        <v>38</v>
      </c>
      <c r="B23" t="s">
        <v>39</v>
      </c>
      <c r="C23">
        <v>0.27615919531935029</v>
      </c>
      <c r="D23">
        <v>0.32551521956352081</v>
      </c>
      <c r="E23">
        <v>0.32827970969035541</v>
      </c>
      <c r="F23">
        <v>0.35108464913331472</v>
      </c>
      <c r="G23">
        <v>0.38231844782372898</v>
      </c>
      <c r="H23">
        <v>0.40261631338943188</v>
      </c>
      <c r="I23">
        <v>0.44722844377560922</v>
      </c>
      <c r="J23">
        <v>0.47567890260663892</v>
      </c>
      <c r="K23">
        <v>0.51858456869517022</v>
      </c>
      <c r="L23">
        <v>0.54466897236188716</v>
      </c>
      <c r="M23">
        <v>0.58392207654595429</v>
      </c>
      <c r="N23">
        <v>0.60834076622872102</v>
      </c>
      <c r="O23">
        <v>0.66391652883481467</v>
      </c>
    </row>
    <row r="24" spans="1:15" x14ac:dyDescent="0.3">
      <c r="A24" s="10" t="s">
        <v>40</v>
      </c>
      <c r="B24" t="s">
        <v>154</v>
      </c>
      <c r="C24">
        <v>0.26830375129969031</v>
      </c>
      <c r="D24">
        <v>0.27709217208370712</v>
      </c>
      <c r="E24">
        <v>0.2933025535728529</v>
      </c>
      <c r="F24">
        <v>0.29895891112789907</v>
      </c>
      <c r="G24">
        <v>0.33062284543042197</v>
      </c>
      <c r="H24">
        <v>0.35427573118204009</v>
      </c>
      <c r="I24">
        <v>0.38462232488392128</v>
      </c>
      <c r="J24">
        <v>0.40642112346579179</v>
      </c>
      <c r="K24">
        <v>0.43682635688946542</v>
      </c>
      <c r="L24">
        <v>0.45892056326587399</v>
      </c>
      <c r="M24">
        <v>0.48226603098029142</v>
      </c>
      <c r="N24">
        <v>0.49879229603260739</v>
      </c>
      <c r="O24">
        <v>0.51424417835015668</v>
      </c>
    </row>
    <row r="25" spans="1:15" x14ac:dyDescent="0.3">
      <c r="A25" s="10" t="s">
        <v>41</v>
      </c>
      <c r="B25" t="s">
        <v>42</v>
      </c>
      <c r="C25">
        <v>103.5227305392188</v>
      </c>
      <c r="D25">
        <v>95.496752218201138</v>
      </c>
      <c r="E25">
        <v>116.8295255643566</v>
      </c>
      <c r="F25">
        <v>126.6482758104347</v>
      </c>
      <c r="G25">
        <v>132.33067258073649</v>
      </c>
      <c r="H25">
        <v>135.1318209657147</v>
      </c>
      <c r="I25">
        <v>145.32225214600049</v>
      </c>
      <c r="J25">
        <v>151.2982268237844</v>
      </c>
      <c r="K25">
        <v>157.44366700145301</v>
      </c>
      <c r="L25">
        <v>159.32231623940331</v>
      </c>
      <c r="M25">
        <v>169.9538882213223</v>
      </c>
      <c r="N25">
        <v>174.5115906153552</v>
      </c>
      <c r="O25">
        <v>209.45991500269639</v>
      </c>
    </row>
    <row r="26" spans="1:15" x14ac:dyDescent="0.3">
      <c r="A26" s="10" t="s">
        <v>43</v>
      </c>
      <c r="B26" t="s">
        <v>44</v>
      </c>
      <c r="C26">
        <v>0.53672356708306368</v>
      </c>
      <c r="D26">
        <v>0.4939034277020331</v>
      </c>
      <c r="E26">
        <v>0.55250191756784239</v>
      </c>
      <c r="F26">
        <v>0.56039109281023169</v>
      </c>
      <c r="G26">
        <v>0.57463135285893108</v>
      </c>
      <c r="H26">
        <v>0.58412485955806404</v>
      </c>
      <c r="I26">
        <v>0.59776498446965687</v>
      </c>
      <c r="J26">
        <v>0.60685840107738542</v>
      </c>
      <c r="K26">
        <v>0.6204997411199763</v>
      </c>
      <c r="L26">
        <v>0.62959396781503696</v>
      </c>
      <c r="M26">
        <v>0.64190676048100792</v>
      </c>
      <c r="N26">
        <v>0.6501152889249886</v>
      </c>
      <c r="O26">
        <v>0.66937713729205039</v>
      </c>
    </row>
    <row r="27" spans="1:15" x14ac:dyDescent="0.3">
      <c r="A27" s="10" t="s">
        <v>45</v>
      </c>
      <c r="B27" t="s">
        <v>46</v>
      </c>
      <c r="C27">
        <v>104.0594541063019</v>
      </c>
      <c r="D27">
        <v>95.990655645903175</v>
      </c>
      <c r="E27">
        <v>117.3820274819244</v>
      </c>
      <c r="F27">
        <v>127.2086669032449</v>
      </c>
      <c r="G27">
        <v>132.90530393359549</v>
      </c>
      <c r="H27">
        <v>135.71594582527271</v>
      </c>
      <c r="I27">
        <v>145.92001713047009</v>
      </c>
      <c r="J27">
        <v>151.90508522486181</v>
      </c>
      <c r="K27">
        <v>158.06416674257289</v>
      </c>
      <c r="L27">
        <v>159.9519102072183</v>
      </c>
      <c r="M27">
        <v>170.59579498180341</v>
      </c>
      <c r="N27">
        <v>175.16170590428021</v>
      </c>
      <c r="O27">
        <v>210.12929213998851</v>
      </c>
    </row>
    <row r="28" spans="1:15" x14ac:dyDescent="0.3">
      <c r="A28" s="10" t="s">
        <v>47</v>
      </c>
      <c r="B28" t="s">
        <v>48</v>
      </c>
      <c r="C28">
        <v>5.6664995147606582E-2</v>
      </c>
      <c r="D28">
        <v>5.8737850073739682E-2</v>
      </c>
      <c r="E28">
        <v>6.2330143144124869E-2</v>
      </c>
      <c r="F28">
        <v>6.9292530487453957E-2</v>
      </c>
      <c r="G28">
        <v>7.8000289079036139E-2</v>
      </c>
      <c r="H28">
        <v>8.410629543157587E-2</v>
      </c>
      <c r="I28">
        <v>0.1013993739839123</v>
      </c>
      <c r="J28">
        <v>0.11330499935940409</v>
      </c>
      <c r="K28">
        <v>0.13049233524239059</v>
      </c>
      <c r="L28">
        <v>0.14206045575260259</v>
      </c>
      <c r="M28">
        <v>0.15848659874862861</v>
      </c>
      <c r="N28">
        <v>0.1693240853104179</v>
      </c>
      <c r="O28">
        <v>0.19020501020512229</v>
      </c>
    </row>
    <row r="29" spans="1:15" x14ac:dyDescent="0.3">
      <c r="A29" s="10" t="s">
        <v>49</v>
      </c>
      <c r="B29" t="s">
        <v>50</v>
      </c>
      <c r="C29">
        <v>0.26676161090089229</v>
      </c>
      <c r="D29">
        <v>0.27983365706262298</v>
      </c>
      <c r="E29">
        <v>0.29450417594029132</v>
      </c>
      <c r="F29">
        <v>0.30434326377460302</v>
      </c>
      <c r="G29">
        <v>0.31757898901183601</v>
      </c>
      <c r="H29">
        <v>0.32685085246001733</v>
      </c>
      <c r="I29">
        <v>0.32899679977767332</v>
      </c>
      <c r="J29">
        <v>0.33030249127374989</v>
      </c>
      <c r="K29">
        <v>0.33167341853893739</v>
      </c>
      <c r="L29">
        <v>0.3325623983767943</v>
      </c>
      <c r="M29">
        <v>0.33457938285769329</v>
      </c>
      <c r="N29">
        <v>0.33594949724614298</v>
      </c>
      <c r="O29">
        <v>0.33823015503944109</v>
      </c>
    </row>
    <row r="30" spans="1:15" x14ac:dyDescent="0.3">
      <c r="A30" s="10" t="s">
        <v>51</v>
      </c>
      <c r="B30" t="s">
        <v>48</v>
      </c>
      <c r="C30">
        <v>0.26083529479258039</v>
      </c>
      <c r="D30">
        <v>0.24518339980164619</v>
      </c>
      <c r="E30">
        <v>0.27476909135940009</v>
      </c>
      <c r="F30">
        <v>0.30204842426349199</v>
      </c>
      <c r="G30">
        <v>0.30821533472004381</v>
      </c>
      <c r="H30">
        <v>0.31174560572509302</v>
      </c>
      <c r="I30">
        <v>0.31741321808844858</v>
      </c>
      <c r="J30">
        <v>0.32121318939881688</v>
      </c>
      <c r="K30">
        <v>0.32015472962819319</v>
      </c>
      <c r="L30">
        <v>0.31936398296083601</v>
      </c>
      <c r="M30">
        <v>0.32174922743975348</v>
      </c>
      <c r="N30">
        <v>0.32337690072448572</v>
      </c>
      <c r="O30">
        <v>0.32885484680880678</v>
      </c>
    </row>
    <row r="31" spans="1:15" x14ac:dyDescent="0.3">
      <c r="A31" s="10" t="s">
        <v>52</v>
      </c>
      <c r="B31" t="s">
        <v>53</v>
      </c>
      <c r="C31">
        <v>2.129002262620352E-4</v>
      </c>
      <c r="D31">
        <v>1.0348412384342039E-3</v>
      </c>
      <c r="E31">
        <v>1.07004260877736E-2</v>
      </c>
      <c r="F31">
        <v>1.559190620414508E-2</v>
      </c>
      <c r="G31">
        <v>2.2712017698366799E-2</v>
      </c>
      <c r="H31">
        <v>2.6547273682697749E-2</v>
      </c>
      <c r="I31">
        <v>3.1146879696948949E-2</v>
      </c>
      <c r="J31">
        <v>3.3327256048104402E-2</v>
      </c>
      <c r="K31">
        <v>4.9004060250911731E-2</v>
      </c>
      <c r="L31">
        <v>5.7696308349419648E-2</v>
      </c>
      <c r="M31">
        <v>7.1991164166659904E-2</v>
      </c>
      <c r="N31">
        <v>7.8778564379253541E-2</v>
      </c>
      <c r="O31">
        <v>0.12873796239859381</v>
      </c>
    </row>
    <row r="32" spans="1:15" x14ac:dyDescent="0.3">
      <c r="A32" s="10" t="s">
        <v>54</v>
      </c>
      <c r="B32" t="s">
        <v>55</v>
      </c>
      <c r="C32">
        <v>19.44415218895724</v>
      </c>
      <c r="D32">
        <v>18.535440063422531</v>
      </c>
      <c r="E32">
        <v>23.44421529862791</v>
      </c>
      <c r="F32">
        <v>28.50079514227853</v>
      </c>
      <c r="G32">
        <v>33.022680380358693</v>
      </c>
      <c r="H32">
        <v>36.122650260469193</v>
      </c>
      <c r="I32">
        <v>40.065417250079349</v>
      </c>
      <c r="J32">
        <v>42.755945051546313</v>
      </c>
      <c r="K32">
        <v>45.736486480982492</v>
      </c>
      <c r="L32">
        <v>47.627860572059497</v>
      </c>
      <c r="M32">
        <v>49.49898596241902</v>
      </c>
      <c r="N32">
        <v>50.50548599973532</v>
      </c>
      <c r="O32">
        <v>55.896254863605577</v>
      </c>
    </row>
    <row r="33" spans="1:15" x14ac:dyDescent="0.3">
      <c r="A33" s="10" t="s">
        <v>56</v>
      </c>
      <c r="B33" t="s">
        <v>57</v>
      </c>
      <c r="C33">
        <v>0.49750465939174532</v>
      </c>
      <c r="D33">
        <v>0.46427858411076228</v>
      </c>
      <c r="E33">
        <v>0.51462132892763723</v>
      </c>
      <c r="F33">
        <v>0.52317966369558455</v>
      </c>
      <c r="G33">
        <v>0.53647503052338108</v>
      </c>
      <c r="H33">
        <v>0.54533860840858184</v>
      </c>
      <c r="I33">
        <v>0.55807373702303853</v>
      </c>
      <c r="J33">
        <v>0.5665638227660067</v>
      </c>
      <c r="K33">
        <v>0.57930008616962703</v>
      </c>
      <c r="L33">
        <v>0.58779092843870806</v>
      </c>
      <c r="M33">
        <v>0.59928685345591792</v>
      </c>
      <c r="N33">
        <v>0.60695080346739405</v>
      </c>
      <c r="O33">
        <v>0.62493485884707645</v>
      </c>
    </row>
    <row r="34" spans="1:15" x14ac:dyDescent="0.3">
      <c r="A34" s="10" t="s">
        <v>58</v>
      </c>
      <c r="B34" t="s">
        <v>59</v>
      </c>
      <c r="C34">
        <v>19.94165684834898</v>
      </c>
      <c r="D34">
        <v>18.999718647533289</v>
      </c>
      <c r="E34">
        <v>23.958836627555549</v>
      </c>
      <c r="F34">
        <v>29.02397480597411</v>
      </c>
      <c r="G34">
        <v>33.559155410882077</v>
      </c>
      <c r="H34">
        <v>36.667988868877771</v>
      </c>
      <c r="I34">
        <v>40.623490987102393</v>
      </c>
      <c r="J34">
        <v>43.322508874312312</v>
      </c>
      <c r="K34">
        <v>46.315786567152117</v>
      </c>
      <c r="L34">
        <v>48.215651500498211</v>
      </c>
      <c r="M34">
        <v>50.098272815874942</v>
      </c>
      <c r="N34">
        <v>51.112436803202712</v>
      </c>
      <c r="O34">
        <v>56.521189722452661</v>
      </c>
    </row>
    <row r="35" spans="1:15" x14ac:dyDescent="0.3">
      <c r="A35" s="10" t="s">
        <v>60</v>
      </c>
      <c r="B35" t="s">
        <v>61</v>
      </c>
      <c r="C35">
        <v>31.43908444444444</v>
      </c>
      <c r="D35">
        <v>32.65154555555555</v>
      </c>
      <c r="E35">
        <v>40.964336574173757</v>
      </c>
      <c r="F35">
        <v>46.941675984424649</v>
      </c>
      <c r="G35">
        <v>55.315214066923453</v>
      </c>
      <c r="H35">
        <v>61.091225724919909</v>
      </c>
      <c r="I35">
        <v>70.498567758341522</v>
      </c>
      <c r="J35">
        <v>76.992812580470769</v>
      </c>
      <c r="K35">
        <v>86.476611770328219</v>
      </c>
      <c r="L35">
        <v>92.901000398225491</v>
      </c>
      <c r="M35">
        <v>103.02458403584799</v>
      </c>
      <c r="N35">
        <v>109.8518848230913</v>
      </c>
      <c r="O35">
        <v>123.1681851637414</v>
      </c>
    </row>
    <row r="36" spans="1:15" x14ac:dyDescent="0.3">
      <c r="A36" s="10" t="s">
        <v>62</v>
      </c>
      <c r="B36" t="s">
        <v>63</v>
      </c>
      <c r="C36">
        <v>154.40596717262051</v>
      </c>
      <c r="D36">
        <v>146.68373783717919</v>
      </c>
      <c r="E36">
        <v>181.2380774371583</v>
      </c>
      <c r="F36">
        <v>202.09074693713791</v>
      </c>
      <c r="G36">
        <v>220.66856702801871</v>
      </c>
      <c r="H36">
        <v>232.3456969511038</v>
      </c>
      <c r="I36">
        <v>255.88623715442131</v>
      </c>
      <c r="J36">
        <v>271.04698445580152</v>
      </c>
      <c r="K36">
        <v>289.65676525276359</v>
      </c>
      <c r="L36">
        <v>299.85117720968827</v>
      </c>
      <c r="M36">
        <v>322.47745821958932</v>
      </c>
      <c r="N36">
        <v>334.86896143818183</v>
      </c>
      <c r="O36">
        <v>388.52435503004341</v>
      </c>
    </row>
    <row r="37" spans="1:15" x14ac:dyDescent="0.3">
      <c r="A37" s="10" t="s">
        <v>64</v>
      </c>
      <c r="B37" t="s">
        <v>65</v>
      </c>
      <c r="C37">
        <v>1.0342282264748091</v>
      </c>
      <c r="D37">
        <v>0.95818201181279539</v>
      </c>
      <c r="E37">
        <v>1.0671232464954801</v>
      </c>
      <c r="F37">
        <v>1.0835707565058159</v>
      </c>
      <c r="G37">
        <v>1.111106383382312</v>
      </c>
      <c r="H37">
        <v>1.129463467966646</v>
      </c>
      <c r="I37">
        <v>1.155838721492696</v>
      </c>
      <c r="J37">
        <v>1.173422223843392</v>
      </c>
      <c r="K37">
        <v>1.1997998272896031</v>
      </c>
      <c r="L37">
        <v>1.217384896253745</v>
      </c>
      <c r="M37">
        <v>1.241193613936926</v>
      </c>
      <c r="N37">
        <v>1.2570660923923831</v>
      </c>
      <c r="O37">
        <v>1.294311996139127</v>
      </c>
    </row>
    <row r="38" spans="1:15" x14ac:dyDescent="0.3">
      <c r="A38" s="10" t="s">
        <v>66</v>
      </c>
      <c r="B38" t="s">
        <v>67</v>
      </c>
      <c r="C38">
        <v>155.4401953990953</v>
      </c>
      <c r="D38">
        <v>147.64191984899199</v>
      </c>
      <c r="E38">
        <v>182.30520068365371</v>
      </c>
      <c r="F38">
        <v>203.1743176936437</v>
      </c>
      <c r="G38">
        <v>221.77967341140101</v>
      </c>
      <c r="H38">
        <v>233.47516041907039</v>
      </c>
      <c r="I38">
        <v>257.04207587591401</v>
      </c>
      <c r="J38">
        <v>272.2204066796449</v>
      </c>
      <c r="K38">
        <v>290.85656508005331</v>
      </c>
      <c r="L38">
        <v>301.06856210594208</v>
      </c>
      <c r="M38">
        <v>323.71865183352622</v>
      </c>
      <c r="N38">
        <v>336.12602753057422</v>
      </c>
      <c r="O38">
        <v>389.81866702618248</v>
      </c>
    </row>
    <row r="39" spans="1:15" x14ac:dyDescent="0.3">
      <c r="A39" s="10" t="s">
        <v>68</v>
      </c>
      <c r="B39" t="s">
        <v>69</v>
      </c>
      <c r="C39">
        <v>36.202041934525631</v>
      </c>
      <c r="D39">
        <v>28.772993390478131</v>
      </c>
      <c r="E39">
        <v>26.965216382660021</v>
      </c>
      <c r="F39">
        <v>19.126295731813592</v>
      </c>
      <c r="G39">
        <v>12.25380549209545</v>
      </c>
      <c r="H39">
        <v>8.102613049573506</v>
      </c>
      <c r="I39">
        <v>7.0161521210543381</v>
      </c>
      <c r="J39">
        <v>6.3348987823779392</v>
      </c>
      <c r="K39">
        <v>5.4476450151793419</v>
      </c>
      <c r="L39">
        <v>4.8860593105227803</v>
      </c>
      <c r="M39">
        <v>4.2769338976147084</v>
      </c>
      <c r="N39">
        <v>3.869929367797571</v>
      </c>
      <c r="O39">
        <v>3.108388878906204</v>
      </c>
    </row>
    <row r="40" spans="1:15" x14ac:dyDescent="0.3">
      <c r="A40" s="10" t="s">
        <v>70</v>
      </c>
      <c r="B40" t="s">
        <v>71</v>
      </c>
      <c r="C40">
        <v>611.7189083564208</v>
      </c>
      <c r="D40">
        <v>586.5743767187613</v>
      </c>
      <c r="E40">
        <v>545.81540155259972</v>
      </c>
      <c r="F40">
        <v>508.45034756707378</v>
      </c>
      <c r="G40">
        <v>428.20014940480121</v>
      </c>
      <c r="H40">
        <v>375.29664053424312</v>
      </c>
      <c r="I40">
        <v>341.94458724667192</v>
      </c>
      <c r="J40">
        <v>319.8121058311807</v>
      </c>
      <c r="K40">
        <v>287.8188751609494</v>
      </c>
      <c r="L40">
        <v>266.44454874438958</v>
      </c>
      <c r="M40">
        <v>246.41403030596339</v>
      </c>
      <c r="N40">
        <v>232.9670648790285</v>
      </c>
      <c r="O40">
        <v>208.5623807348193</v>
      </c>
    </row>
    <row r="41" spans="1:15" x14ac:dyDescent="0.3">
      <c r="A41" s="10" t="s">
        <v>72</v>
      </c>
      <c r="B41" t="s">
        <v>73</v>
      </c>
      <c r="C41">
        <v>43.104436111303613</v>
      </c>
      <c r="D41">
        <v>41.664573167005962</v>
      </c>
      <c r="E41">
        <v>47.357100276392799</v>
      </c>
      <c r="F41">
        <v>52.866921943109737</v>
      </c>
      <c r="G41">
        <v>58.16748920568601</v>
      </c>
      <c r="H41">
        <v>61.66120404388996</v>
      </c>
      <c r="I41">
        <v>65.204498303456901</v>
      </c>
      <c r="J41">
        <v>67.545290041896138</v>
      </c>
      <c r="K41">
        <v>68.72625481251545</v>
      </c>
      <c r="L41">
        <v>69.488948539693865</v>
      </c>
      <c r="M41">
        <v>68.794771845590574</v>
      </c>
      <c r="N41">
        <v>68.301024235701377</v>
      </c>
      <c r="O41">
        <v>68.423763504668656</v>
      </c>
    </row>
    <row r="42" spans="1:15" x14ac:dyDescent="0.3">
      <c r="A42" s="10" t="s">
        <v>74</v>
      </c>
      <c r="B42" t="s">
        <v>75</v>
      </c>
      <c r="C42">
        <v>686.26242891216884</v>
      </c>
      <c r="D42">
        <v>660.89049544132286</v>
      </c>
      <c r="E42">
        <v>634.13683840316628</v>
      </c>
      <c r="F42">
        <v>608.25894549460827</v>
      </c>
      <c r="G42">
        <v>541.68285267741066</v>
      </c>
      <c r="H42">
        <v>498.04907030305299</v>
      </c>
      <c r="I42">
        <v>477.64765330847041</v>
      </c>
      <c r="J42">
        <v>464.35020845354762</v>
      </c>
      <c r="K42">
        <v>443.02174174379309</v>
      </c>
      <c r="L42">
        <v>428.83449768230901</v>
      </c>
      <c r="M42">
        <v>418.23338618740189</v>
      </c>
      <c r="N42">
        <v>411.11997393782121</v>
      </c>
      <c r="O42">
        <v>400.15432940322933</v>
      </c>
    </row>
    <row r="43" spans="1:15" x14ac:dyDescent="0.3">
      <c r="A43" s="10" t="s">
        <v>76</v>
      </c>
      <c r="B43" t="s">
        <v>77</v>
      </c>
      <c r="C43">
        <v>0.53672356708306368</v>
      </c>
      <c r="D43">
        <v>0.4939034277020331</v>
      </c>
      <c r="E43">
        <v>0.55250191756784239</v>
      </c>
      <c r="F43">
        <v>0.56039109281023169</v>
      </c>
      <c r="G43">
        <v>0.57463135285893108</v>
      </c>
      <c r="H43">
        <v>0.58412485955806404</v>
      </c>
      <c r="I43">
        <v>0.59776498446965687</v>
      </c>
      <c r="J43">
        <v>0.60685840107738542</v>
      </c>
      <c r="K43">
        <v>0.6204997411199763</v>
      </c>
      <c r="L43">
        <v>0.62959396781503696</v>
      </c>
      <c r="M43">
        <v>0.64190676048100792</v>
      </c>
      <c r="N43">
        <v>0.6501152889249886</v>
      </c>
      <c r="O43">
        <v>0.66937713729205039</v>
      </c>
    </row>
    <row r="44" spans="1:15" x14ac:dyDescent="0.3">
      <c r="A44" s="10" t="s">
        <v>78</v>
      </c>
      <c r="B44" t="s">
        <v>79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3">
      <c r="A45" s="10" t="s">
        <v>80</v>
      </c>
      <c r="B45" t="s">
        <v>81</v>
      </c>
      <c r="C45">
        <v>0.53672356708306368</v>
      </c>
      <c r="D45">
        <v>0.4939034277020331</v>
      </c>
      <c r="E45">
        <v>0.55250191756784239</v>
      </c>
      <c r="F45">
        <v>0.56039109281023169</v>
      </c>
      <c r="G45">
        <v>0.57463135285893108</v>
      </c>
      <c r="H45">
        <v>0.58412485955806404</v>
      </c>
      <c r="I45">
        <v>0.59776498446965687</v>
      </c>
      <c r="J45">
        <v>0.60685840107738542</v>
      </c>
      <c r="K45">
        <v>0.6204997411199763</v>
      </c>
      <c r="L45">
        <v>0.62959396781503696</v>
      </c>
      <c r="M45">
        <v>0.64190676048100792</v>
      </c>
      <c r="N45">
        <v>0.6501152889249886</v>
      </c>
      <c r="O45">
        <v>0.66937713729205039</v>
      </c>
    </row>
    <row r="46" spans="1:15" x14ac:dyDescent="0.3">
      <c r="A46" s="10" t="s">
        <v>82</v>
      </c>
      <c r="B46" t="s">
        <v>83</v>
      </c>
      <c r="C46">
        <v>686.79915247925192</v>
      </c>
      <c r="D46">
        <v>661.38439886902484</v>
      </c>
      <c r="E46">
        <v>634.68934032073412</v>
      </c>
      <c r="F46">
        <v>608.81933658741855</v>
      </c>
      <c r="G46">
        <v>542.25748403026955</v>
      </c>
      <c r="H46">
        <v>498.63319516261112</v>
      </c>
      <c r="I46">
        <v>478.24541829293997</v>
      </c>
      <c r="J46">
        <v>464.95706685462488</v>
      </c>
      <c r="K46">
        <v>443.64224148491309</v>
      </c>
      <c r="L46">
        <v>429.46409165012398</v>
      </c>
      <c r="M46">
        <v>418.87529294788288</v>
      </c>
      <c r="N46">
        <v>411.77008922674622</v>
      </c>
      <c r="O46">
        <v>400.82370654052141</v>
      </c>
    </row>
    <row r="47" spans="1:15" x14ac:dyDescent="0.3">
      <c r="A47" s="10" t="s">
        <v>84</v>
      </c>
      <c r="B47" t="s">
        <v>85</v>
      </c>
      <c r="C47">
        <v>0.22499551289348249</v>
      </c>
      <c r="D47">
        <v>0.2219486266620134</v>
      </c>
      <c r="E47">
        <v>0.28580278965268407</v>
      </c>
      <c r="F47">
        <v>0.33224459489503588</v>
      </c>
      <c r="G47">
        <v>0.40737595059047182</v>
      </c>
      <c r="H47">
        <v>0.46651165679262491</v>
      </c>
      <c r="I47">
        <v>0.53572175092246721</v>
      </c>
      <c r="J47">
        <v>0.58371242118849265</v>
      </c>
      <c r="K47">
        <v>0.65382065474402162</v>
      </c>
      <c r="L47">
        <v>0.69922354388528074</v>
      </c>
      <c r="M47">
        <v>0.77104666645405906</v>
      </c>
      <c r="N47">
        <v>0.81452856262543993</v>
      </c>
      <c r="O47">
        <v>0.97093627753439438</v>
      </c>
    </row>
    <row r="48" spans="1:15" x14ac:dyDescent="0.3">
      <c r="A48" s="10" t="s">
        <v>86</v>
      </c>
      <c r="B48" t="s">
        <v>87</v>
      </c>
      <c r="C48">
        <v>0.22632554923513989</v>
      </c>
      <c r="D48">
        <v>0.22323163367848031</v>
      </c>
      <c r="E48">
        <v>0.28723532774558269</v>
      </c>
      <c r="F48">
        <v>0.3337185688491523</v>
      </c>
      <c r="G48">
        <v>0.40899329182706301</v>
      </c>
      <c r="H48">
        <v>0.46823027966064512</v>
      </c>
      <c r="I48">
        <v>0.53746897731588472</v>
      </c>
      <c r="J48">
        <v>0.58547428587585759</v>
      </c>
      <c r="K48">
        <v>0.65561062018469762</v>
      </c>
      <c r="L48">
        <v>0.70103314330460187</v>
      </c>
      <c r="M48">
        <v>0.77282823141780244</v>
      </c>
      <c r="N48">
        <v>0.81629539474753432</v>
      </c>
      <c r="O48">
        <v>0.97254394055351034</v>
      </c>
    </row>
    <row r="49" spans="1:15" x14ac:dyDescent="0.3">
      <c r="A49" s="10" t="s">
        <v>88</v>
      </c>
      <c r="B49" t="s">
        <v>89</v>
      </c>
      <c r="C49">
        <v>-6.3284419700778805E-2</v>
      </c>
      <c r="D49">
        <v>-0.15641227560215179</v>
      </c>
      <c r="E49">
        <v>-0.1519966397233283</v>
      </c>
      <c r="F49">
        <v>-0.16509264893637701</v>
      </c>
      <c r="G49">
        <v>-0.21381412862398591</v>
      </c>
      <c r="H49">
        <v>-0.24593377822999241</v>
      </c>
      <c r="I49">
        <v>-0.28679855397118198</v>
      </c>
      <c r="J49">
        <v>-0.31403060025186902</v>
      </c>
      <c r="K49">
        <v>-0.3509684070324971</v>
      </c>
      <c r="L49">
        <v>-0.37563062961000399</v>
      </c>
      <c r="M49">
        <v>-0.39945011356266458</v>
      </c>
      <c r="N49">
        <v>-0.41526058428581442</v>
      </c>
      <c r="O49">
        <v>-0.45101661856501912</v>
      </c>
    </row>
    <row r="50" spans="1:15" x14ac:dyDescent="0.3">
      <c r="A50" s="10" t="s">
        <v>90</v>
      </c>
      <c r="B50" t="s">
        <v>91</v>
      </c>
      <c r="C50">
        <v>-1.129683895674605E-2</v>
      </c>
      <c r="D50">
        <v>-0.12650165393462789</v>
      </c>
      <c r="E50">
        <v>-0.114490801507249</v>
      </c>
      <c r="F50">
        <v>-0.12366123994876251</v>
      </c>
      <c r="G50">
        <v>-0.1768145430126695</v>
      </c>
      <c r="H50">
        <v>-0.21194128137291249</v>
      </c>
      <c r="I50">
        <v>-0.25768738848504957</v>
      </c>
      <c r="J50">
        <v>-0.28825039759267762</v>
      </c>
      <c r="K50">
        <v>-0.32996205608009549</v>
      </c>
      <c r="L50">
        <v>-0.35784364859184331</v>
      </c>
      <c r="M50">
        <v>-0.38617677413943879</v>
      </c>
      <c r="N50">
        <v>-0.40502066905254291</v>
      </c>
      <c r="O50">
        <v>-0.44666069675745668</v>
      </c>
    </row>
    <row r="51" spans="1:15" x14ac:dyDescent="0.3">
      <c r="A51" s="10" t="s">
        <v>92</v>
      </c>
      <c r="B51" t="s">
        <v>93</v>
      </c>
      <c r="C51">
        <v>-0.21423899574176589</v>
      </c>
      <c r="D51">
        <v>-0.5154585077306415</v>
      </c>
      <c r="E51">
        <v>-0.41490724863234479</v>
      </c>
      <c r="F51">
        <v>-0.3734883033275177</v>
      </c>
      <c r="G51">
        <v>-0.44000214892329542</v>
      </c>
      <c r="H51">
        <v>-0.48433960988235181</v>
      </c>
      <c r="I51">
        <v>-0.54449270684873019</v>
      </c>
      <c r="J51">
        <v>-0.58509615502999313</v>
      </c>
      <c r="K51">
        <v>-0.64710887449600851</v>
      </c>
      <c r="L51">
        <v>-0.68893875729484755</v>
      </c>
      <c r="M51">
        <v>-0.75269158707409101</v>
      </c>
      <c r="N51">
        <v>-0.79567326243706249</v>
      </c>
      <c r="O51">
        <v>-0.90488564706274632</v>
      </c>
    </row>
    <row r="52" spans="1:15" x14ac:dyDescent="0.3">
      <c r="A52" s="10" t="s">
        <v>94</v>
      </c>
      <c r="B52" t="s">
        <v>95</v>
      </c>
      <c r="C52">
        <v>1.7684704499054679E-2</v>
      </c>
      <c r="D52">
        <v>-5.3629266238061968E-2</v>
      </c>
      <c r="E52">
        <v>-0.1052321239725871</v>
      </c>
      <c r="F52">
        <v>-0.16236057508449939</v>
      </c>
      <c r="G52">
        <v>-0.27912137672603321</v>
      </c>
      <c r="H52">
        <v>-0.35521754096902131</v>
      </c>
      <c r="I52">
        <v>-0.45602673958477502</v>
      </c>
      <c r="J52">
        <v>-0.52135270987135351</v>
      </c>
      <c r="K52">
        <v>-0.62563131418029783</v>
      </c>
      <c r="L52">
        <v>-0.68912314392371865</v>
      </c>
      <c r="M52">
        <v>-0.76828202406358748</v>
      </c>
      <c r="N52">
        <v>-0.81566913503041993</v>
      </c>
      <c r="O52">
        <v>-1</v>
      </c>
    </row>
    <row r="53" spans="1:15" x14ac:dyDescent="0.3">
      <c r="A53" s="10" t="s">
        <v>96</v>
      </c>
      <c r="B53" t="s">
        <v>97</v>
      </c>
      <c r="C53">
        <v>-4.2503612967492277E-2</v>
      </c>
      <c r="D53">
        <v>-0.112401846517725</v>
      </c>
      <c r="E53">
        <v>0.1226773071947678</v>
      </c>
      <c r="F53">
        <v>0.20903780371499631</v>
      </c>
      <c r="G53">
        <v>0.23248920095580169</v>
      </c>
      <c r="H53">
        <v>0.2436075595213065</v>
      </c>
      <c r="I53">
        <v>0.2462200033817146</v>
      </c>
      <c r="J53">
        <v>0.23788536238753569</v>
      </c>
      <c r="K53">
        <v>0.23595123886849831</v>
      </c>
      <c r="L53">
        <v>0.21001984520705411</v>
      </c>
      <c r="M53">
        <v>0.26045383371720288</v>
      </c>
      <c r="N53">
        <v>0.27288865287103808</v>
      </c>
      <c r="O53">
        <v>0.45026989983447741</v>
      </c>
    </row>
    <row r="54" spans="1:15" x14ac:dyDescent="0.3">
      <c r="A54" s="10" t="s">
        <v>98</v>
      </c>
      <c r="B54" t="s">
        <v>99</v>
      </c>
      <c r="C54">
        <v>141.30294772261189</v>
      </c>
      <c r="D54">
        <v>130.9588811720005</v>
      </c>
      <c r="E54">
        <v>165.55038801725561</v>
      </c>
      <c r="F54">
        <v>178.2539214657844</v>
      </c>
      <c r="G54">
        <v>181.61021811911749</v>
      </c>
      <c r="H54">
        <v>183.17384936427669</v>
      </c>
      <c r="I54">
        <v>177.8053180804358</v>
      </c>
      <c r="J54">
        <v>172.99551424860871</v>
      </c>
      <c r="K54">
        <v>167.71692678832241</v>
      </c>
      <c r="L54">
        <v>160.8151422918861</v>
      </c>
      <c r="M54">
        <v>164.02031609553481</v>
      </c>
      <c r="N54">
        <v>163.28390832590841</v>
      </c>
      <c r="O54">
        <v>183.91578220555189</v>
      </c>
    </row>
    <row r="55" spans="1:15" x14ac:dyDescent="0.3">
      <c r="A55" s="10" t="s">
        <v>100</v>
      </c>
      <c r="B55" t="s">
        <v>101</v>
      </c>
      <c r="C55">
        <v>-2.8493057263943359E-2</v>
      </c>
      <c r="D55">
        <v>-0.13849347222414429</v>
      </c>
      <c r="E55">
        <v>-0.1003252564134922</v>
      </c>
      <c r="F55">
        <v>-0.11187941220132271</v>
      </c>
      <c r="G55">
        <v>-0.12921064588306841</v>
      </c>
      <c r="H55">
        <v>-0.1407648016708988</v>
      </c>
      <c r="I55">
        <v>-0.1769213409035062</v>
      </c>
      <c r="J55">
        <v>-0.20102570039191109</v>
      </c>
      <c r="K55">
        <v>-0.2371822396245187</v>
      </c>
      <c r="L55">
        <v>-0.26128659911292351</v>
      </c>
      <c r="M55">
        <v>-0.29853879104954939</v>
      </c>
      <c r="N55">
        <v>-0.32337358567396662</v>
      </c>
      <c r="O55">
        <v>-0.38546057223500951</v>
      </c>
    </row>
    <row r="56" spans="1:15" x14ac:dyDescent="0.3">
      <c r="A56" s="10" t="s">
        <v>102</v>
      </c>
      <c r="B56" t="s">
        <v>103</v>
      </c>
      <c r="C56">
        <v>0.57152269137751133</v>
      </c>
      <c r="D56">
        <v>0.67644780356817402</v>
      </c>
      <c r="E56">
        <v>0.92224416645655394</v>
      </c>
      <c r="F56">
        <v>1.1534854352961339</v>
      </c>
      <c r="G56">
        <v>1.4879690734005959</v>
      </c>
      <c r="H56">
        <v>1.715027631113204</v>
      </c>
      <c r="I56">
        <v>2.094521160832123</v>
      </c>
      <c r="J56">
        <v>2.3503993408299371</v>
      </c>
      <c r="K56">
        <v>2.7421240739163411</v>
      </c>
      <c r="L56">
        <v>3.0043976385115712</v>
      </c>
      <c r="M56">
        <v>3.4299348171983142</v>
      </c>
      <c r="N56">
        <v>3.7138419302840262</v>
      </c>
      <c r="O56">
        <v>4.3956455902259108</v>
      </c>
    </row>
    <row r="57" spans="1:15" x14ac:dyDescent="0.3">
      <c r="A57" s="10" t="s">
        <v>104</v>
      </c>
      <c r="B57" t="s">
        <v>105</v>
      </c>
      <c r="C57">
        <v>0.22451740447178389</v>
      </c>
      <c r="D57">
        <v>0.23064442801809901</v>
      </c>
      <c r="E57">
        <v>0.47038416398578953</v>
      </c>
      <c r="F57">
        <v>0.61974882003199938</v>
      </c>
      <c r="G57">
        <v>0.77845850315426235</v>
      </c>
      <c r="H57">
        <v>0.88348256457692287</v>
      </c>
      <c r="I57">
        <v>1.049988917032842</v>
      </c>
      <c r="J57">
        <v>1.156552246667202</v>
      </c>
      <c r="K57">
        <v>1.325808164472039</v>
      </c>
      <c r="L57">
        <v>1.425208178667515</v>
      </c>
      <c r="M57">
        <v>1.6387629240196959</v>
      </c>
      <c r="N57">
        <v>1.769252633687691</v>
      </c>
      <c r="O57">
        <v>2.1659915612253489</v>
      </c>
    </row>
    <row r="58" spans="1:15" x14ac:dyDescent="0.3">
      <c r="A58" s="10" t="s">
        <v>106</v>
      </c>
      <c r="B58" t="s">
        <v>107</v>
      </c>
      <c r="C58">
        <v>-9.3514447027356451E-2</v>
      </c>
      <c r="D58">
        <v>-0.1995941957940395</v>
      </c>
      <c r="E58">
        <v>-0.25791133525385329</v>
      </c>
      <c r="F58">
        <v>-0.29799220858051712</v>
      </c>
      <c r="G58">
        <v>-0.41067430337997912</v>
      </c>
      <c r="H58">
        <v>-0.4851347278179523</v>
      </c>
      <c r="I58">
        <v>-0.57785234305445887</v>
      </c>
      <c r="J58">
        <v>-0.63898159114707731</v>
      </c>
      <c r="K58">
        <v>-0.72139770812807213</v>
      </c>
      <c r="L58">
        <v>-0.77418291743189915</v>
      </c>
      <c r="M58">
        <v>-0.82568172305329246</v>
      </c>
      <c r="N58">
        <v>-0.85780127711949183</v>
      </c>
      <c r="O58">
        <v>-0.93391617575857</v>
      </c>
    </row>
    <row r="59" spans="1:15" x14ac:dyDescent="0.3">
      <c r="A59" s="10" t="s">
        <v>108</v>
      </c>
      <c r="B59" t="s">
        <v>109</v>
      </c>
      <c r="C59">
        <v>0.44668553992796378</v>
      </c>
      <c r="D59">
        <v>0.45141117977912087</v>
      </c>
      <c r="E59">
        <v>0.47296697703058582</v>
      </c>
      <c r="F59">
        <v>0.47941510964187728</v>
      </c>
      <c r="G59">
        <v>0.51059541719752011</v>
      </c>
      <c r="H59">
        <v>0.53350380778589346</v>
      </c>
      <c r="I59">
        <v>0.56492201294370759</v>
      </c>
      <c r="J59">
        <v>0.58802701646331001</v>
      </c>
      <c r="K59">
        <v>0.62029091158482919</v>
      </c>
      <c r="L59">
        <v>0.64406909052536954</v>
      </c>
      <c r="M59">
        <v>0.66172447887979624</v>
      </c>
      <c r="N59">
        <v>0.67423600050204757</v>
      </c>
      <c r="O59">
        <v>0.69578127901481424</v>
      </c>
    </row>
    <row r="60" spans="1:15" x14ac:dyDescent="0.3">
      <c r="A60" s="10" t="s">
        <v>110</v>
      </c>
      <c r="B60" t="s">
        <v>111</v>
      </c>
      <c r="C60">
        <v>0.47668475089468271</v>
      </c>
      <c r="D60">
        <v>0.46736705334324918</v>
      </c>
      <c r="E60">
        <v>0.43105862643587572</v>
      </c>
      <c r="F60">
        <v>0.41417298060710622</v>
      </c>
      <c r="G60">
        <v>0.36923958947719548</v>
      </c>
      <c r="H60">
        <v>0.3363273833305816</v>
      </c>
      <c r="I60">
        <v>0.29156157265948129</v>
      </c>
      <c r="J60">
        <v>0.25924042274850417</v>
      </c>
      <c r="K60">
        <v>0.21144477766212111</v>
      </c>
      <c r="L60">
        <v>0.17815307320527049</v>
      </c>
      <c r="M60">
        <v>0.1429788999253479</v>
      </c>
      <c r="N60">
        <v>0.1197874838149891</v>
      </c>
      <c r="O60">
        <v>5.9294455539719008E-2</v>
      </c>
    </row>
    <row r="61" spans="1:15" x14ac:dyDescent="0.3">
      <c r="A61" s="10" t="s">
        <v>112</v>
      </c>
      <c r="B61" t="s">
        <v>113</v>
      </c>
      <c r="C61">
        <v>-4.7301077074176412E-2</v>
      </c>
      <c r="D61">
        <v>-0.1209922053652009</v>
      </c>
      <c r="E61">
        <v>-0.1241225243331897</v>
      </c>
      <c r="F61">
        <v>-0.1324960817450497</v>
      </c>
      <c r="G61">
        <v>-0.19560030671855999</v>
      </c>
      <c r="H61">
        <v>-0.23775800235120631</v>
      </c>
      <c r="I61">
        <v>-0.27405967351364008</v>
      </c>
      <c r="J61">
        <v>-0.29823294002816197</v>
      </c>
      <c r="K61">
        <v>-0.33431993966906443</v>
      </c>
      <c r="L61">
        <v>-0.35848991301969779</v>
      </c>
      <c r="M61">
        <v>-0.38134577830552641</v>
      </c>
      <c r="N61">
        <v>-0.39671245577628911</v>
      </c>
      <c r="O61">
        <v>-0.41712970270614141</v>
      </c>
    </row>
    <row r="62" spans="1:15" x14ac:dyDescent="0.3">
      <c r="A62" s="10" t="s">
        <v>114</v>
      </c>
      <c r="B62" t="s">
        <v>115</v>
      </c>
      <c r="C62">
        <v>6.7478598237526333E-2</v>
      </c>
      <c r="D62">
        <v>-4.7216812055602131E-2</v>
      </c>
      <c r="E62">
        <v>-3.6961756820426572E-2</v>
      </c>
      <c r="F62">
        <v>-3.7797722561626827E-2</v>
      </c>
      <c r="G62">
        <v>-0.1113417954021831</v>
      </c>
      <c r="H62">
        <v>-0.1605928272455194</v>
      </c>
      <c r="I62">
        <v>-0.20628465074888469</v>
      </c>
      <c r="J62">
        <v>-0.236859495153493</v>
      </c>
      <c r="K62">
        <v>-0.28241207965878468</v>
      </c>
      <c r="L62">
        <v>-0.31296869621495871</v>
      </c>
      <c r="M62">
        <v>-0.34456842972191609</v>
      </c>
      <c r="N62">
        <v>-0.36582694809806698</v>
      </c>
      <c r="O62">
        <v>-0.39642034398642167</v>
      </c>
    </row>
    <row r="63" spans="1:15" x14ac:dyDescent="0.3">
      <c r="A63" s="10" t="s">
        <v>116</v>
      </c>
      <c r="B63" t="s">
        <v>117</v>
      </c>
      <c r="C63">
        <v>137.34478840823641</v>
      </c>
      <c r="D63">
        <v>126.27569763061651</v>
      </c>
      <c r="E63">
        <v>151.06843509938011</v>
      </c>
      <c r="F63">
        <v>162.73823705784261</v>
      </c>
      <c r="G63">
        <v>166.7202930391073</v>
      </c>
      <c r="H63">
        <v>168.3889828250376</v>
      </c>
      <c r="I63">
        <v>186.81991734498689</v>
      </c>
      <c r="J63">
        <v>198.29207989627821</v>
      </c>
      <c r="K63">
        <v>207.54335888568039</v>
      </c>
      <c r="L63">
        <v>211.49510797292041</v>
      </c>
      <c r="M63">
        <v>210.69523653934169</v>
      </c>
      <c r="N63">
        <v>207.6345318589587</v>
      </c>
      <c r="O63">
        <v>238.22853413978609</v>
      </c>
    </row>
    <row r="64" spans="1:15" x14ac:dyDescent="0.3">
      <c r="A64" s="10" t="s">
        <v>118</v>
      </c>
      <c r="B64" t="s">
        <v>155</v>
      </c>
      <c r="C64">
        <v>8.5359537237927482E-2</v>
      </c>
      <c r="D64">
        <v>8.5059454243566882E-2</v>
      </c>
      <c r="E64">
        <v>0.1021235525160684</v>
      </c>
      <c r="F64">
        <v>0.1110743303176813</v>
      </c>
      <c r="G64">
        <v>0.1227190854841088</v>
      </c>
      <c r="H64">
        <v>0.13080258939563891</v>
      </c>
      <c r="I64">
        <v>0.152376430135681</v>
      </c>
      <c r="J64">
        <v>0.16730461872634911</v>
      </c>
      <c r="K64">
        <v>0.18460303391412811</v>
      </c>
      <c r="L64">
        <v>0.19520564760867601</v>
      </c>
      <c r="M64">
        <v>0.20165188113481919</v>
      </c>
      <c r="N64">
        <v>0.20378432060723151</v>
      </c>
      <c r="O64">
        <v>0.24200113091582959</v>
      </c>
    </row>
    <row r="65" spans="1:15" x14ac:dyDescent="0.3">
      <c r="A65" s="10" t="s">
        <v>119</v>
      </c>
      <c r="B65" t="s">
        <v>120</v>
      </c>
      <c r="C65">
        <v>3.5742845547537082E-4</v>
      </c>
      <c r="D65">
        <v>1.5092524466428169E-3</v>
      </c>
      <c r="E65">
        <v>3.0723669667320291E-2</v>
      </c>
      <c r="F65">
        <v>5.0299343571961058E-2</v>
      </c>
      <c r="G65">
        <v>8.0343322086026639E-2</v>
      </c>
      <c r="H65">
        <v>0.1003801230816086</v>
      </c>
      <c r="I65">
        <v>0.1304787208863778</v>
      </c>
      <c r="J65">
        <v>0.15056253375065601</v>
      </c>
      <c r="K65">
        <v>0.2406437408810384</v>
      </c>
      <c r="L65">
        <v>0.30071315069419291</v>
      </c>
      <c r="M65">
        <v>0.42079166257445128</v>
      </c>
      <c r="N65">
        <v>0.50085539383987165</v>
      </c>
      <c r="O65">
        <v>1.001052934883663</v>
      </c>
    </row>
    <row r="66" spans="1:15" x14ac:dyDescent="0.3">
      <c r="A66" s="10" t="s">
        <v>121</v>
      </c>
      <c r="B66" t="s">
        <v>156</v>
      </c>
      <c r="C66">
        <v>0.20595997573025759</v>
      </c>
      <c r="D66">
        <v>0.20929350522490889</v>
      </c>
      <c r="E66">
        <v>0.20104214653810989</v>
      </c>
      <c r="F66">
        <v>0.19303756384148871</v>
      </c>
      <c r="G66">
        <v>0.1814521302639456</v>
      </c>
      <c r="H66">
        <v>0.1728415365949981</v>
      </c>
      <c r="I66">
        <v>0.15952414394022299</v>
      </c>
      <c r="J66">
        <v>0.14988813484568761</v>
      </c>
      <c r="K66">
        <v>0.14283636539514361</v>
      </c>
      <c r="L66">
        <v>0.13769357738842869</v>
      </c>
      <c r="M66">
        <v>0.1305590237792644</v>
      </c>
      <c r="N66">
        <v>0.1255587132961335</v>
      </c>
      <c r="O66">
        <v>0.1106505563502399</v>
      </c>
    </row>
    <row r="67" spans="1:15" x14ac:dyDescent="0.3">
      <c r="A67" s="10" t="s">
        <v>122</v>
      </c>
      <c r="B67" t="s">
        <v>123</v>
      </c>
      <c r="C67">
        <v>3.51634270804269E-3</v>
      </c>
      <c r="D67">
        <v>0.31298245076431641</v>
      </c>
      <c r="E67">
        <v>1.263557277625863</v>
      </c>
      <c r="F67">
        <v>2.2029228878929188</v>
      </c>
      <c r="G67">
        <v>3.8908647986603921</v>
      </c>
      <c r="H67">
        <v>4.1563217653235789</v>
      </c>
      <c r="I67">
        <v>6.4578938116116831</v>
      </c>
      <c r="J67">
        <v>7.3967411048692373</v>
      </c>
      <c r="K67">
        <v>8.2145341939868413</v>
      </c>
      <c r="L67">
        <v>8.1354633176402587</v>
      </c>
      <c r="M67">
        <v>6.5236793515606539</v>
      </c>
      <c r="N67">
        <v>5.0418456019104534</v>
      </c>
      <c r="O67">
        <v>0</v>
      </c>
    </row>
    <row r="68" spans="1:15" x14ac:dyDescent="0.3">
      <c r="A68" s="10" t="s">
        <v>124</v>
      </c>
      <c r="B68" t="s">
        <v>125</v>
      </c>
      <c r="C68">
        <v>9.3370208649968776E-3</v>
      </c>
      <c r="D68">
        <v>1.906375530901238E-2</v>
      </c>
      <c r="E68">
        <v>9.9171791980605384E-2</v>
      </c>
      <c r="F68">
        <v>0.15401841445518641</v>
      </c>
      <c r="G68">
        <v>0.23539941209805049</v>
      </c>
      <c r="H68">
        <v>0.28885703463214418</v>
      </c>
      <c r="I68">
        <v>0.34475238053860452</v>
      </c>
      <c r="J68">
        <v>0.38200271584922119</v>
      </c>
      <c r="K68">
        <v>0.45337376420496789</v>
      </c>
      <c r="L68">
        <v>0.49623136719018551</v>
      </c>
      <c r="M68">
        <v>0.56098057358019138</v>
      </c>
      <c r="N68">
        <v>0.5974488117962411</v>
      </c>
      <c r="O68">
        <v>0.66391652883481467</v>
      </c>
    </row>
    <row r="69" spans="1:15" x14ac:dyDescent="0.3">
      <c r="A69" s="10" t="s">
        <v>126</v>
      </c>
      <c r="B69" t="s">
        <v>127</v>
      </c>
      <c r="C69">
        <v>0</v>
      </c>
      <c r="D69">
        <v>0</v>
      </c>
      <c r="E69">
        <v>3.0473462481502161E-2</v>
      </c>
      <c r="F69">
        <v>0.18552965911564601</v>
      </c>
      <c r="G69">
        <v>0.92637818882379819</v>
      </c>
      <c r="H69">
        <v>1.6583522759664411</v>
      </c>
      <c r="I69">
        <v>2.4767758138379459</v>
      </c>
      <c r="J69">
        <v>3.110397254470707</v>
      </c>
      <c r="K69">
        <v>4.6853302438390534</v>
      </c>
      <c r="L69">
        <v>5.8523042923646331</v>
      </c>
      <c r="M69">
        <v>7.5611619482663981</v>
      </c>
      <c r="N69">
        <v>8.7228143240065599</v>
      </c>
      <c r="O69">
        <v>10.96299896402312</v>
      </c>
    </row>
    <row r="70" spans="1:15" x14ac:dyDescent="0.3">
      <c r="A70" s="10" t="s">
        <v>128</v>
      </c>
      <c r="B70" t="s">
        <v>129</v>
      </c>
      <c r="C70">
        <v>3.2255919237435447E-2</v>
      </c>
      <c r="D70">
        <v>5.5205017491564111E-2</v>
      </c>
      <c r="E70">
        <v>0.25201913777963408</v>
      </c>
      <c r="F70">
        <v>0.37665321104652799</v>
      </c>
      <c r="G70">
        <v>0.55298306504778316</v>
      </c>
      <c r="H70">
        <v>0.66370164285519051</v>
      </c>
      <c r="I70">
        <v>0.72797895016759795</v>
      </c>
      <c r="J70">
        <v>0.76930227532804774</v>
      </c>
      <c r="K70">
        <v>0.84469395231743039</v>
      </c>
      <c r="L70">
        <v>0.88893115747592111</v>
      </c>
      <c r="M70">
        <v>0.94832633207525097</v>
      </c>
      <c r="N70">
        <v>0.98019087987747877</v>
      </c>
      <c r="O70">
        <v>1.031953857502065</v>
      </c>
    </row>
    <row r="71" spans="1:15" x14ac:dyDescent="0.3">
      <c r="A71" s="10" t="s">
        <v>130</v>
      </c>
      <c r="B71" t="s">
        <v>131</v>
      </c>
      <c r="C71">
        <v>0</v>
      </c>
      <c r="D71">
        <v>0</v>
      </c>
      <c r="E71">
        <v>7.7440324374194319E-2</v>
      </c>
      <c r="F71">
        <v>0.45371420097697718</v>
      </c>
      <c r="G71">
        <v>2.1761798200066131</v>
      </c>
      <c r="H71">
        <v>3.8103663682390012</v>
      </c>
      <c r="I71">
        <v>5.2299585399276074</v>
      </c>
      <c r="J71">
        <v>6.263923228186929</v>
      </c>
      <c r="K71">
        <v>8.7293761440319209</v>
      </c>
      <c r="L71">
        <v>10.48360900273191</v>
      </c>
      <c r="M71">
        <v>12.781991595296169</v>
      </c>
      <c r="N71">
        <v>14.310888026624511</v>
      </c>
      <c r="O71">
        <v>17.040258194158621</v>
      </c>
    </row>
    <row r="72" spans="1:15" x14ac:dyDescent="0.3">
      <c r="A72" s="10" t="s">
        <v>132</v>
      </c>
      <c r="B72" t="s">
        <v>133</v>
      </c>
      <c r="C72">
        <v>7.5812083460053914E-2</v>
      </c>
      <c r="D72">
        <v>8.4036705456159211E-2</v>
      </c>
      <c r="E72">
        <v>9.4446226403525887E-2</v>
      </c>
      <c r="F72">
        <v>0.1022484208317784</v>
      </c>
      <c r="G72">
        <v>0.12356836300126139</v>
      </c>
      <c r="H72">
        <v>0.1419254667009571</v>
      </c>
      <c r="I72">
        <v>0.21483954777630959</v>
      </c>
      <c r="J72">
        <v>0.27760994802465111</v>
      </c>
      <c r="K72">
        <v>0.37189597193685542</v>
      </c>
      <c r="L72">
        <v>0.45418293561358591</v>
      </c>
      <c r="M72">
        <v>0.50788970592710958</v>
      </c>
      <c r="N72">
        <v>0.5542073732757552</v>
      </c>
      <c r="O72">
        <v>0.66314123137103964</v>
      </c>
    </row>
    <row r="73" spans="1:15" x14ac:dyDescent="0.3">
      <c r="A73" s="10" t="s">
        <v>134</v>
      </c>
      <c r="B73" t="s">
        <v>135</v>
      </c>
      <c r="C73">
        <v>0.54390953555686794</v>
      </c>
      <c r="D73">
        <v>0.55141567385542345</v>
      </c>
      <c r="E73">
        <v>0.5938845880946132</v>
      </c>
      <c r="F73">
        <v>0.61265975233313164</v>
      </c>
      <c r="G73">
        <v>0.65958860114612128</v>
      </c>
      <c r="H73">
        <v>0.6938222248572844</v>
      </c>
      <c r="I73">
        <v>0.73469740742654455</v>
      </c>
      <c r="J73">
        <v>0.76407746547710642</v>
      </c>
      <c r="K73">
        <v>0.80795756652022188</v>
      </c>
      <c r="L73">
        <v>0.8382724772411696</v>
      </c>
      <c r="M73">
        <v>0.87823594350802325</v>
      </c>
      <c r="N73">
        <v>0.90481226091114708</v>
      </c>
      <c r="O73">
        <v>0.9920166766152152</v>
      </c>
    </row>
    <row r="74" spans="1:15" x14ac:dyDescent="0.3">
      <c r="A74" s="10" t="s">
        <v>136</v>
      </c>
      <c r="B74" t="s">
        <v>137</v>
      </c>
      <c r="C74">
        <v>0.17416047011751939</v>
      </c>
      <c r="D74">
        <v>0.19203531869289719</v>
      </c>
      <c r="E74">
        <v>0.21979934713251559</v>
      </c>
      <c r="F74">
        <v>0.24325647718771989</v>
      </c>
      <c r="G74">
        <v>0.28732190705663141</v>
      </c>
      <c r="H74">
        <v>0.32086963346937919</v>
      </c>
      <c r="I74">
        <v>0.38196733428177593</v>
      </c>
      <c r="J74">
        <v>0.42572698432690981</v>
      </c>
      <c r="K74">
        <v>0.48818909108354319</v>
      </c>
      <c r="L74">
        <v>0.53091815272987253</v>
      </c>
      <c r="M74">
        <v>0.5830208003848123</v>
      </c>
      <c r="N74">
        <v>0.61679711191846376</v>
      </c>
      <c r="O74">
        <v>0.71536748698983244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C04B-8FA5-4730-A3CA-BDBD9FE0EA29}">
  <sheetPr codeName="Feuil7"/>
  <dimension ref="A2:AE45"/>
  <sheetViews>
    <sheetView tabSelected="1" zoomScale="85" zoomScaleNormal="85" workbookViewId="0">
      <selection activeCell="R11" sqref="R11"/>
    </sheetView>
  </sheetViews>
  <sheetFormatPr baseColWidth="10" defaultRowHeight="14.4" x14ac:dyDescent="0.3"/>
  <cols>
    <col min="1" max="1" width="10" bestFit="1" customWidth="1"/>
    <col min="2" max="2" width="16.77734375" customWidth="1"/>
    <col min="16" max="16" width="3.6640625" customWidth="1"/>
    <col min="18" max="18" width="14" customWidth="1"/>
  </cols>
  <sheetData>
    <row r="2" spans="1:31" x14ac:dyDescent="0.3">
      <c r="A2" s="4" t="s">
        <v>147</v>
      </c>
      <c r="B2" t="s">
        <v>189</v>
      </c>
    </row>
    <row r="3" spans="1:31" ht="35.4" customHeight="1" x14ac:dyDescent="0.35">
      <c r="A3" s="4" t="s">
        <v>138</v>
      </c>
      <c r="B3" s="5" t="s">
        <v>122</v>
      </c>
      <c r="C3" s="11" t="str">
        <f ca="1">INDEX(INDIRECT($B7&amp;"!$A$2:$O$78"),MATCH(Graphs!$B$3,Run2AME_MET!$A$2:$A$77,0),2)</f>
        <v>Consommation de gaz pour la production d'H2 (inclut utilisation pour engrais)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Q3" s="4" t="s">
        <v>138</v>
      </c>
      <c r="R3" s="5" t="s">
        <v>6</v>
      </c>
      <c r="S3" s="13" t="str">
        <f ca="1">INDEX(INDIRECT($R7&amp;"!$A$2:$O$78"),MATCH(Graphs!$R$3,Run2AME_MET!$A$2:$A$77,0),2)</f>
        <v>Variation des émissions de GES totales (hors soutes internationales) liées à la combustion d'énergie + process et sols 
sans LULUCF
par rapport à 1990</v>
      </c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</row>
    <row r="4" spans="1:31" x14ac:dyDescent="0.3">
      <c r="C4" s="2">
        <v>2019</v>
      </c>
      <c r="D4" s="2">
        <v>2020</v>
      </c>
      <c r="E4" s="2">
        <v>2023</v>
      </c>
      <c r="F4" s="2">
        <v>2025</v>
      </c>
      <c r="G4" s="2">
        <v>2028</v>
      </c>
      <c r="H4" s="2">
        <v>2030</v>
      </c>
      <c r="I4" s="2">
        <v>2033</v>
      </c>
      <c r="J4" s="2">
        <v>2035</v>
      </c>
      <c r="K4" s="2">
        <v>2038</v>
      </c>
      <c r="L4" s="2">
        <v>2040</v>
      </c>
      <c r="M4" s="2">
        <v>2043</v>
      </c>
      <c r="N4" s="2">
        <v>2045</v>
      </c>
      <c r="O4" s="2">
        <v>2050</v>
      </c>
      <c r="S4" s="2">
        <v>2019</v>
      </c>
      <c r="T4" s="2">
        <v>2020</v>
      </c>
      <c r="U4" s="2">
        <v>2023</v>
      </c>
      <c r="V4" s="2">
        <v>2025</v>
      </c>
      <c r="W4" s="2">
        <v>2028</v>
      </c>
      <c r="X4" s="2">
        <v>2030</v>
      </c>
      <c r="Y4" s="2">
        <v>2033</v>
      </c>
      <c r="Z4" s="2">
        <v>2035</v>
      </c>
      <c r="AA4" s="2">
        <v>2038</v>
      </c>
      <c r="AB4" s="2">
        <v>2040</v>
      </c>
      <c r="AC4" s="2">
        <v>2043</v>
      </c>
      <c r="AD4" s="2">
        <v>2045</v>
      </c>
      <c r="AE4" s="2">
        <v>2050</v>
      </c>
    </row>
    <row r="5" spans="1:31" x14ac:dyDescent="0.3">
      <c r="B5" s="3" t="s">
        <v>141</v>
      </c>
      <c r="C5" s="3">
        <f ca="1">INDEX(INDIRECT($B5&amp;"!$C$2:$O$78"),MATCH(Graphs!$B$3,Run2AME_MET!$A$2:$A$77,0),MATCH(Graphs!C$4,Run2AME_MET!$C$1:$O$1,0))</f>
        <v>0</v>
      </c>
      <c r="D5" s="3">
        <f ca="1">INDEX(INDIRECT($B5&amp;"!$C$2:$O$78"),MATCH(Graphs!$B$3,Run2AME_MET!$A$2:$A$77,0),MATCH(Graphs!D$4,Run2AME_MET!$C$1:$O$1,0))</f>
        <v>9.6078082493373324E-2</v>
      </c>
      <c r="E5" s="3">
        <f ca="1">INDEX(INDIRECT($B5&amp;"!$C$2:$O$78"),MATCH(Graphs!$B$3,Run2AME_MET!$A$2:$A$77,0),MATCH(Graphs!E$4,Run2AME_MET!$C$1:$O$1,0))</f>
        <v>0.37344129486083988</v>
      </c>
      <c r="F5" s="3">
        <f ca="1">INDEX(INDIRECT($B5&amp;"!$C$2:$O$78"),MATCH(Graphs!$B$3,Run2AME_MET!$A$2:$A$77,0),MATCH(Graphs!F$4,Run2AME_MET!$C$1:$O$1,0))</f>
        <v>0.52347101593017586</v>
      </c>
      <c r="G5" s="3">
        <f ca="1">INDEX(INDIRECT($B5&amp;"!$C$2:$O$78"),MATCH(Graphs!$B$3,Run2AME_MET!$A$2:$A$77,0),MATCH(Graphs!G$4,Run2AME_MET!$C$1:$O$1,0))</f>
        <v>0.76570048417679426</v>
      </c>
      <c r="H5" s="3">
        <f ca="1">INDEX(INDIRECT($B5&amp;"!$C$2:$O$78"),MATCH(Graphs!$B$3,Run2AME_MET!$A$2:$A$77,0),MATCH(Graphs!H$4,Run2AME_MET!$C$1:$O$1,0))</f>
        <v>0.92465890737085055</v>
      </c>
      <c r="I5" s="3">
        <f ca="1">INDEX(INDIRECT($B5&amp;"!$C$2:$O$78"),MATCH(Graphs!$B$3,Run2AME_MET!$A$2:$A$77,0),MATCH(Graphs!I$4,Run2AME_MET!$C$1:$O$1,0))</f>
        <v>2.1515117209898502</v>
      </c>
      <c r="J5" s="3">
        <f ca="1">INDEX(INDIRECT($B5&amp;"!$C$2:$O$78"),MATCH(Graphs!$B$3,Run2AME_MET!$A$2:$A$77,0),MATCH(Graphs!J$4,Run2AME_MET!$C$1:$O$1,0))</f>
        <v>2.969062824896417</v>
      </c>
      <c r="K5" s="3">
        <f ca="1">INDEX(INDIRECT($B5&amp;"!$C$2:$O$78"),MATCH(Graphs!$B$3,Run2AME_MET!$A$2:$A$77,0),MATCH(Graphs!K$4,Run2AME_MET!$C$1:$O$1,0))</f>
        <v>4.2975958571517587</v>
      </c>
      <c r="L5" s="3">
        <f ca="1">INDEX(INDIRECT($B5&amp;"!$C$2:$O$78"),MATCH(Graphs!$B$3,Run2AME_MET!$A$2:$A$77,0),MATCH(Graphs!L$4,Run2AME_MET!$C$1:$O$1,0))</f>
        <v>5.1885323977522679</v>
      </c>
      <c r="M5" s="3">
        <f ca="1">INDEX(INDIRECT($B5&amp;"!$C$2:$O$78"),MATCH(Graphs!$B$3,Run2AME_MET!$A$2:$A$77,0),MATCH(Graphs!M$4,Run2AME_MET!$C$1:$O$1,0))</f>
        <v>6.3946365684694744</v>
      </c>
      <c r="N5" s="3">
        <f ca="1">INDEX(INDIRECT($B5&amp;"!$C$2:$O$78"),MATCH(Graphs!$B$3,Run2AME_MET!$A$2:$A$77,0),MATCH(Graphs!N$4,Run2AME_MET!$C$1:$O$1,0))</f>
        <v>7.2053169248053104</v>
      </c>
      <c r="O5" s="3">
        <f ca="1">INDEX(INDIRECT($B5&amp;"!$C$2:$O$78"),MATCH(Graphs!$B$3,Run2AME_MET!$A$2:$A$77,0),MATCH(Graphs!O$4,Run2AME_MET!$C$1:$O$1,0))</f>
        <v>8.7644412686418303</v>
      </c>
      <c r="R5" s="3" t="s">
        <v>141</v>
      </c>
      <c r="S5" s="3">
        <f ca="1">INDEX(INDIRECT($R5&amp;"!$C$2:$O$78"),MATCH(Graphs!$R$3,Run2AME_MET!$A$2:$A$77,0),MATCH(Graphs!S$4,Run2AME_MET!$C$1:$O$1,0))</f>
        <v>-0.22431313744276959</v>
      </c>
      <c r="T5" s="3">
        <f ca="1">INDEX(INDIRECT($R5&amp;"!$C$2:$O$78"),MATCH(Graphs!$R$3,Run2AME_MET!$A$2:$A$77,0),MATCH(Graphs!T$4,Run2AME_MET!$C$1:$O$1,0))</f>
        <v>-0.30584407650755002</v>
      </c>
      <c r="U5" s="3">
        <f ca="1">INDEX(INDIRECT($R5&amp;"!$C$2:$O$78"),MATCH(Graphs!$R$3,Run2AME_MET!$A$2:$A$77,0),MATCH(Graphs!U$4,Run2AME_MET!$C$1:$O$1,0))</f>
        <v>-0.32393347016439228</v>
      </c>
      <c r="V5" s="3">
        <f ca="1">INDEX(INDIRECT($R5&amp;"!$C$2:$O$78"),MATCH(Graphs!$R$3,Run2AME_MET!$A$2:$A$77,0),MATCH(Graphs!V$4,Run2AME_MET!$C$1:$O$1,0))</f>
        <v>-0.336753281364079</v>
      </c>
      <c r="W5" s="3">
        <f ca="1">INDEX(INDIRECT($R5&amp;"!$C$2:$O$78"),MATCH(Graphs!$R$3,Run2AME_MET!$A$2:$A$77,0),MATCH(Graphs!W$4,Run2AME_MET!$C$1:$O$1,0))</f>
        <v>-0.37473216659596958</v>
      </c>
      <c r="X5" s="3">
        <f ca="1">INDEX(INDIRECT($R5&amp;"!$C$2:$O$78"),MATCH(Graphs!$R$3,Run2AME_MET!$A$2:$A$77,0),MATCH(Graphs!X$4,Run2AME_MET!$C$1:$O$1,0))</f>
        <v>-0.40052285474402421</v>
      </c>
      <c r="Y5" s="3">
        <f ca="1">INDEX(INDIRECT($R5&amp;"!$C$2:$O$78"),MATCH(Graphs!$R$3,Run2AME_MET!$A$2:$A$77,0),MATCH(Graphs!Y$4,Run2AME_MET!$C$1:$O$1,0))</f>
        <v>-0.42917870904934979</v>
      </c>
      <c r="Z5" s="3">
        <f ca="1">INDEX(INDIRECT($R5&amp;"!$C$2:$O$78"),MATCH(Graphs!$R$3,Run2AME_MET!$A$2:$A$77,0),MATCH(Graphs!Z$4,Run2AME_MET!$C$1:$O$1,0))</f>
        <v>-0.44847506725463698</v>
      </c>
      <c r="AA5" s="3">
        <f ca="1">INDEX(INDIRECT($R5&amp;"!$C$2:$O$78"),MATCH(Graphs!$R$3,Run2AME_MET!$A$2:$A$77,0),MATCH(Graphs!AA$4,Run2AME_MET!$C$1:$O$1,0))</f>
        <v>-0.47150234999574381</v>
      </c>
      <c r="AB5" s="3">
        <f ca="1">INDEX(INDIRECT($R5&amp;"!$C$2:$O$78"),MATCH(Graphs!$R$3,Run2AME_MET!$A$2:$A$77,0),MATCH(Graphs!AB$4,Run2AME_MET!$C$1:$O$1,0))</f>
        <v>-0.48684949101220132</v>
      </c>
      <c r="AC5" s="3">
        <f ca="1">INDEX(INDIRECT($R5&amp;"!$C$2:$O$78"),MATCH(Graphs!$R$3,Run2AME_MET!$A$2:$A$77,0),MATCH(Graphs!AC$4,Run2AME_MET!$C$1:$O$1,0))</f>
        <v>-0.50397381774421368</v>
      </c>
      <c r="AD5" s="3">
        <f ca="1">INDEX(INDIRECT($R5&amp;"!$C$2:$O$78"),MATCH(Graphs!$R$3,Run2AME_MET!$A$2:$A$77,0),MATCH(Graphs!AD$4,Run2AME_MET!$C$1:$O$1,0))</f>
        <v>-0.51496905083513744</v>
      </c>
      <c r="AE5" s="3">
        <f ca="1">INDEX(INDIRECT($R5&amp;"!$C$2:$O$78"),MATCH(Graphs!$R$3,Run2AME_MET!$A$2:$A$77,0),MATCH(Graphs!AE$4,Run2AME_MET!$C$1:$O$1,0))</f>
        <v>-0.5203119243498816</v>
      </c>
    </row>
    <row r="6" spans="1:31" x14ac:dyDescent="0.3">
      <c r="B6" s="3" t="s">
        <v>142</v>
      </c>
      <c r="C6" s="3">
        <f ca="1">INDEX(INDIRECT($B6&amp;"!$C$2:$O$78"),MATCH(Graphs!$B$3,Run2AME_MET!$A$2:$A$77,0),MATCH(Graphs!C$4,Run2AME_MET!$C$1:$O$1,0))</f>
        <v>3.51634270804269E-3</v>
      </c>
      <c r="D6" s="3">
        <f ca="1">INDEX(INDIRECT($B6&amp;"!$C$2:$O$78"),MATCH(Graphs!$B$3,Run2AME_MET!$A$2:$A$77,0),MATCH(Graphs!D$4,Run2AME_MET!$C$1:$O$1,0))</f>
        <v>0.31298245076431641</v>
      </c>
      <c r="E6" s="3">
        <f ca="1">INDEX(INDIRECT($B6&amp;"!$C$2:$O$78"),MATCH(Graphs!$B$3,Run2AME_MET!$A$2:$A$77,0),MATCH(Graphs!E$4,Run2AME_MET!$C$1:$O$1,0))</f>
        <v>1.2634221763335081</v>
      </c>
      <c r="F6" s="3">
        <f ca="1">INDEX(INDIRECT($B6&amp;"!$C$2:$O$78"),MATCH(Graphs!$B$3,Run2AME_MET!$A$2:$A$77,0),MATCH(Graphs!F$4,Run2AME_MET!$C$1:$O$1,0))</f>
        <v>2.2027298269763378</v>
      </c>
      <c r="G6" s="3">
        <f ca="1">INDEX(INDIRECT($B6&amp;"!$C$2:$O$78"),MATCH(Graphs!$B$3,Run2AME_MET!$A$2:$A$77,0),MATCH(Graphs!G$4,Run2AME_MET!$C$1:$O$1,0))</f>
        <v>3.8882900958743298</v>
      </c>
      <c r="H6" s="3">
        <f ca="1">INDEX(INDIRECT($B6&amp;"!$C$2:$O$78"),MATCH(Graphs!$B$3,Run2AME_MET!$A$2:$A$77,0),MATCH(Graphs!H$4,Run2AME_MET!$C$1:$O$1,0))</f>
        <v>4.1530501341653254</v>
      </c>
      <c r="I6" s="3">
        <f ca="1">INDEX(INDIRECT($B6&amp;"!$C$2:$O$78"),MATCH(Graphs!$B$3,Run2AME_MET!$A$2:$A$77,0),MATCH(Graphs!I$4,Run2AME_MET!$C$1:$O$1,0))</f>
        <v>6.4526167879954448</v>
      </c>
      <c r="J6" s="3">
        <f ca="1">INDEX(INDIRECT($B6&amp;"!$C$2:$O$78"),MATCH(Graphs!$B$3,Run2AME_MET!$A$2:$A$77,0),MATCH(Graphs!J$4,Run2AME_MET!$C$1:$O$1,0))</f>
        <v>7.3936451450443901</v>
      </c>
      <c r="K6" s="3">
        <f ca="1">INDEX(INDIRECT($B6&amp;"!$C$2:$O$78"),MATCH(Graphs!$B$3,Run2AME_MET!$A$2:$A$77,0),MATCH(Graphs!K$4,Run2AME_MET!$C$1:$O$1,0))</f>
        <v>8.2142301791745922</v>
      </c>
      <c r="L6" s="3">
        <f ca="1">INDEX(INDIRECT($B6&amp;"!$C$2:$O$78"),MATCH(Graphs!$B$3,Run2AME_MET!$A$2:$A$77,0),MATCH(Graphs!L$4,Run2AME_MET!$C$1:$O$1,0))</f>
        <v>8.1363504680545766</v>
      </c>
      <c r="M6" s="3">
        <f ca="1">INDEX(INDIRECT($B6&amp;"!$C$2:$O$78"),MATCH(Graphs!$B$3,Run2AME_MET!$A$2:$A$77,0),MATCH(Graphs!M$4,Run2AME_MET!$C$1:$O$1,0))</f>
        <v>6.5285476759995236</v>
      </c>
      <c r="N6" s="3">
        <f ca="1">INDEX(INDIRECT($B6&amp;"!$C$2:$O$78"),MATCH(Graphs!$B$3,Run2AME_MET!$A$2:$A$77,0),MATCH(Graphs!N$4,Run2AME_MET!$C$1:$O$1,0))</f>
        <v>5.0474032587408484</v>
      </c>
      <c r="O6" s="3">
        <f ca="1">INDEX(INDIRECT($B6&amp;"!$C$2:$O$78"),MATCH(Graphs!$B$3,Run2AME_MET!$A$2:$A$77,0),MATCH(Graphs!O$4,Run2AME_MET!$C$1:$O$1,0))</f>
        <v>0</v>
      </c>
      <c r="R6" s="3" t="s">
        <v>142</v>
      </c>
      <c r="S6" s="3">
        <f ca="1">INDEX(INDIRECT($R6&amp;"!$C$2:$O$78"),MATCH(Graphs!$R$3,Run2AME_MET!$A$2:$A$77,0),MATCH(Graphs!S$4,Run2AME_MET!$C$1:$O$1,0))</f>
        <v>-0.23525125575245659</v>
      </c>
      <c r="T6" s="3">
        <f ca="1">INDEX(INDIRECT($R6&amp;"!$C$2:$O$78"),MATCH(Graphs!$R$3,Run2AME_MET!$A$2:$A$77,0),MATCH(Graphs!T$4,Run2AME_MET!$C$1:$O$1,0))</f>
        <v>-0.3114864393855703</v>
      </c>
      <c r="U6" s="3">
        <f ca="1">INDEX(INDIRECT($R6&amp;"!$C$2:$O$78"),MATCH(Graphs!$R$3,Run2AME_MET!$A$2:$A$77,0),MATCH(Graphs!U$4,Run2AME_MET!$C$1:$O$1,0))</f>
        <v>-0.34460960622987252</v>
      </c>
      <c r="V6" s="3">
        <f ca="1">INDEX(INDIRECT($R6&amp;"!$C$2:$O$78"),MATCH(Graphs!$R$3,Run2AME_MET!$A$2:$A$77,0),MATCH(Graphs!V$4,Run2AME_MET!$C$1:$O$1,0))</f>
        <v>-0.38201140431632608</v>
      </c>
      <c r="W6" s="3">
        <f ca="1">INDEX(INDIRECT($R6&amp;"!$C$2:$O$78"),MATCH(Graphs!$R$3,Run2AME_MET!$A$2:$A$77,0),MATCH(Graphs!W$4,Run2AME_MET!$C$1:$O$1,0))</f>
        <v>-0.46726779404840357</v>
      </c>
      <c r="X6" s="3">
        <f ca="1">INDEX(INDIRECT($R6&amp;"!$C$2:$O$78"),MATCH(Graphs!$R$3,Run2AME_MET!$A$2:$A$77,0),MATCH(Graphs!X$4,Run2AME_MET!$C$1:$O$1,0))</f>
        <v>-0.52375926865348243</v>
      </c>
      <c r="Y6" s="3">
        <f ca="1">INDEX(INDIRECT($R6&amp;"!$C$2:$O$78"),MATCH(Graphs!$R$3,Run2AME_MET!$A$2:$A$77,0),MATCH(Graphs!Y$4,Run2AME_MET!$C$1:$O$1,0))</f>
        <v>-0.59237621864796242</v>
      </c>
      <c r="Z6" s="3">
        <f ca="1">INDEX(INDIRECT($R6&amp;"!$C$2:$O$78"),MATCH(Graphs!$R$3,Run2AME_MET!$A$2:$A$77,0),MATCH(Graphs!Z$4,Run2AME_MET!$C$1:$O$1,0))</f>
        <v>-0.6381226141765437</v>
      </c>
      <c r="AA6" s="3">
        <f ca="1">INDEX(INDIRECT($R6&amp;"!$C$2:$O$78"),MATCH(Graphs!$R$3,Run2AME_MET!$A$2:$A$77,0),MATCH(Graphs!AA$4,Run2AME_MET!$C$1:$O$1,0))</f>
        <v>-0.69885059786511694</v>
      </c>
      <c r="AB6" s="3">
        <f ca="1">INDEX(INDIRECT($R6&amp;"!$C$2:$O$78"),MATCH(Graphs!$R$3,Run2AME_MET!$A$2:$A$77,0),MATCH(Graphs!AB$4,Run2AME_MET!$C$1:$O$1,0))</f>
        <v>-0.73781658361186953</v>
      </c>
      <c r="AC6" s="3">
        <f ca="1">INDEX(INDIRECT($R6&amp;"!$C$2:$O$78"),MATCH(Graphs!$R$3,Run2AME_MET!$A$2:$A$77,0),MATCH(Graphs!AC$4,Run2AME_MET!$C$1:$O$1,0))</f>
        <v>-0.77553550205941635</v>
      </c>
      <c r="AD6" s="3">
        <f ca="1">INDEX(INDIRECT($R6&amp;"!$C$2:$O$78"),MATCH(Graphs!$R$3,Run2AME_MET!$A$2:$A$77,0),MATCH(Graphs!AD$4,Run2AME_MET!$C$1:$O$1,0))</f>
        <v>-0.79871446307799565</v>
      </c>
      <c r="AE6" s="3">
        <f ca="1">INDEX(INDIRECT($R6&amp;"!$C$2:$O$78"),MATCH(Graphs!$R$3,Run2AME_MET!$A$2:$A$77,0),MATCH(Graphs!AE$4,Run2AME_MET!$C$1:$O$1,0))</f>
        <v>-0.8453526173042315</v>
      </c>
    </row>
    <row r="7" spans="1:31" x14ac:dyDescent="0.3">
      <c r="B7" s="3" t="s">
        <v>139</v>
      </c>
      <c r="C7" s="3">
        <f ca="1">INDEX(INDIRECT($B7&amp;"!$C$2:$O$78"),MATCH(Graphs!$B$3,Run2AME_MET!$A$2:$A$77,0),MATCH(Graphs!C$4,Run2AME_MET!$C$1:$O$1,0))</f>
        <v>0</v>
      </c>
      <c r="D7" s="3">
        <f ca="1">INDEX(INDIRECT($B7&amp;"!$C$2:$O$78"),MATCH(Graphs!$B$3,Run2AME_MET!$A$2:$A$77,0),MATCH(Graphs!D$4,Run2AME_MET!$C$1:$O$1,0))</f>
        <v>9.6078082493373324E-2</v>
      </c>
      <c r="E7" s="3">
        <f ca="1">INDEX(INDIRECT($B7&amp;"!$C$2:$O$78"),MATCH(Graphs!$B$3,Run2AME_MET!$A$2:$A$77,0),MATCH(Graphs!E$4,Run2AME_MET!$C$1:$O$1,0))</f>
        <v>0.37344129486083988</v>
      </c>
      <c r="F7" s="3">
        <f ca="1">INDEX(INDIRECT($B7&amp;"!$C$2:$O$78"),MATCH(Graphs!$B$3,Run2AME_MET!$A$2:$A$77,0),MATCH(Graphs!F$4,Run2AME_MET!$C$1:$O$1,0))</f>
        <v>0.52347101593017586</v>
      </c>
      <c r="G7" s="3">
        <f ca="1">INDEX(INDIRECT($B7&amp;"!$C$2:$O$78"),MATCH(Graphs!$B$3,Run2AME_MET!$A$2:$A$77,0),MATCH(Graphs!G$4,Run2AME_MET!$C$1:$O$1,0))</f>
        <v>0.76755388251707457</v>
      </c>
      <c r="H7" s="3">
        <f ca="1">INDEX(INDIRECT($B7&amp;"!$C$2:$O$78"),MATCH(Graphs!$B$3,Run2AME_MET!$A$2:$A$77,0),MATCH(Graphs!H$4,Run2AME_MET!$C$1:$O$1,0))</f>
        <v>0.92772767099831632</v>
      </c>
      <c r="I7" s="3">
        <f ca="1">INDEX(INDIRECT($B7&amp;"!$C$2:$O$78"),MATCH(Graphs!$B$3,Run2AME_MET!$A$2:$A$77,0),MATCH(Graphs!I$4,Run2AME_MET!$C$1:$O$1,0))</f>
        <v>2.158490918472276</v>
      </c>
      <c r="J7" s="3">
        <f ca="1">INDEX(INDIRECT($B7&amp;"!$C$2:$O$78"),MATCH(Graphs!$B$3,Run2AME_MET!$A$2:$A$77,0),MATCH(Graphs!J$4,Run2AME_MET!$C$1:$O$1,0))</f>
        <v>2.978619991058983</v>
      </c>
      <c r="K7" s="3">
        <f ca="1">INDEX(INDIRECT($B7&amp;"!$C$2:$O$78"),MATCH(Graphs!$B$3,Run2AME_MET!$A$2:$A$77,0),MATCH(Graphs!K$4,Run2AME_MET!$C$1:$O$1,0))</f>
        <v>4.3115361214141208</v>
      </c>
      <c r="L7" s="3">
        <f ca="1">INDEX(INDIRECT($B7&amp;"!$C$2:$O$78"),MATCH(Graphs!$B$3,Run2AME_MET!$A$2:$A$77,0),MATCH(Graphs!L$4,Run2AME_MET!$C$1:$O$1,0))</f>
        <v>5.2053615669928606</v>
      </c>
      <c r="M7" s="3">
        <f ca="1">INDEX(INDIRECT($B7&amp;"!$C$2:$O$78"),MATCH(Graphs!$B$3,Run2AME_MET!$A$2:$A$77,0),MATCH(Graphs!M$4,Run2AME_MET!$C$1:$O$1,0))</f>
        <v>6.4147376239259613</v>
      </c>
      <c r="N7" s="3">
        <f ca="1">INDEX(INDIRECT($B7&amp;"!$C$2:$O$78"),MATCH(Graphs!$B$3,Run2AME_MET!$A$2:$A$77,0),MATCH(Graphs!N$4,Run2AME_MET!$C$1:$O$1,0))</f>
        <v>7.2275737072617634</v>
      </c>
      <c r="O7" s="3">
        <f ca="1">INDEX(INDIRECT($B7&amp;"!$C$2:$O$78"),MATCH(Graphs!$B$3,Run2AME_MET!$A$2:$A$77,0),MATCH(Graphs!O$4,Run2AME_MET!$C$1:$O$1,0))</f>
        <v>8.7886622085873967</v>
      </c>
      <c r="R7" s="3" t="s">
        <v>139</v>
      </c>
      <c r="S7" s="3">
        <f ca="1">INDEX(INDIRECT($R7&amp;"!$C$2:$O$78"),MATCH(Graphs!$R$3,Run2AME_MET!$A$2:$A$77,0),MATCH(Graphs!S$4,Run2AME_MET!$C$1:$O$1,0))</f>
        <v>-0.22132949761227891</v>
      </c>
      <c r="T7" s="3">
        <f ca="1">INDEX(INDIRECT($R7&amp;"!$C$2:$O$78"),MATCH(Graphs!$R$3,Run2AME_MET!$A$2:$A$77,0),MATCH(Graphs!T$4,Run2AME_MET!$C$1:$O$1,0))</f>
        <v>-0.30348107872859009</v>
      </c>
      <c r="U7" s="3">
        <f ca="1">INDEX(INDIRECT($R7&amp;"!$C$2:$O$78"),MATCH(Graphs!$R$3,Run2AME_MET!$A$2:$A$77,0),MATCH(Graphs!U$4,Run2AME_MET!$C$1:$O$1,0))</f>
        <v>-0.32153747611625422</v>
      </c>
      <c r="V7" s="3">
        <f ca="1">INDEX(INDIRECT($R7&amp;"!$C$2:$O$78"),MATCH(Graphs!$R$3,Run2AME_MET!$A$2:$A$77,0),MATCH(Graphs!V$4,Run2AME_MET!$C$1:$O$1,0))</f>
        <v>-0.33432273193202477</v>
      </c>
      <c r="W7" s="3">
        <f ca="1">INDEX(INDIRECT($R7&amp;"!$C$2:$O$78"),MATCH(Graphs!$R$3,Run2AME_MET!$A$2:$A$77,0),MATCH(Graphs!W$4,Run2AME_MET!$C$1:$O$1,0))</f>
        <v>-0.37241150753112379</v>
      </c>
      <c r="X7" s="3">
        <f ca="1">INDEX(INDIRECT($R7&amp;"!$C$2:$O$78"),MATCH(Graphs!$R$3,Run2AME_MET!$A$2:$A$77,0),MATCH(Graphs!X$4,Run2AME_MET!$C$1:$O$1,0))</f>
        <v>-0.3982779972829561</v>
      </c>
      <c r="Y7" s="3">
        <f ca="1">INDEX(INDIRECT($R7&amp;"!$C$2:$O$78"),MATCH(Graphs!$R$3,Run2AME_MET!$A$2:$A$77,0),MATCH(Graphs!Y$4,Run2AME_MET!$C$1:$O$1,0))</f>
        <v>-0.42703194363486258</v>
      </c>
      <c r="Z7" s="3">
        <f ca="1">INDEX(INDIRECT($R7&amp;"!$C$2:$O$78"),MATCH(Graphs!$R$3,Run2AME_MET!$A$2:$A$77,0),MATCH(Graphs!Z$4,Run2AME_MET!$C$1:$O$1,0))</f>
        <v>-0.44639192609218847</v>
      </c>
      <c r="AA7" s="3">
        <f ca="1">INDEX(INDIRECT($R7&amp;"!$C$2:$O$78"),MATCH(Graphs!$R$3,Run2AME_MET!$A$2:$A$77,0),MATCH(Graphs!AA$4,Run2AME_MET!$C$1:$O$1,0))</f>
        <v>-0.46949665093016368</v>
      </c>
      <c r="AB7" s="3">
        <f ca="1">INDEX(INDIRECT($R7&amp;"!$C$2:$O$78"),MATCH(Graphs!$R$3,Run2AME_MET!$A$2:$A$77,0),MATCH(Graphs!AB$4,Run2AME_MET!$C$1:$O$1,0))</f>
        <v>-0.48489436390335622</v>
      </c>
      <c r="AC7" s="3">
        <f ca="1">INDEX(INDIRECT($R7&amp;"!$C$2:$O$78"),MATCH(Graphs!$R$3,Run2AME_MET!$A$2:$A$77,0),MATCH(Graphs!AC$4,Run2AME_MET!$C$1:$O$1,0))</f>
        <v>-0.50206864609225765</v>
      </c>
      <c r="AD7" s="3">
        <f ca="1">INDEX(INDIRECT($R7&amp;"!$C$2:$O$78"),MATCH(Graphs!$R$3,Run2AME_MET!$A$2:$A$77,0),MATCH(Graphs!AD$4,Run2AME_MET!$C$1:$O$1,0))</f>
        <v>-0.51309703966966735</v>
      </c>
      <c r="AE7" s="3">
        <f ca="1">INDEX(INDIRECT($R7&amp;"!$C$2:$O$78"),MATCH(Graphs!$R$3,Run2AME_MET!$A$2:$A$77,0),MATCH(Graphs!AE$4,Run2AME_MET!$C$1:$O$1,0))</f>
        <v>-0.5184752728184282</v>
      </c>
    </row>
    <row r="8" spans="1:31" x14ac:dyDescent="0.3">
      <c r="B8" s="3" t="s">
        <v>140</v>
      </c>
      <c r="C8" s="3">
        <f ca="1">INDEX(INDIRECT($B8&amp;"!$C$2:$O$78"),MATCH(Graphs!$B$3,Run2AME_MET!$A$2:$A$77,0),MATCH(Graphs!C$4,Run2AME_MET!$C$1:$O$1,0))</f>
        <v>3.51634270804269E-3</v>
      </c>
      <c r="D8" s="3">
        <f ca="1">INDEX(INDIRECT($B8&amp;"!$C$2:$O$78"),MATCH(Graphs!$B$3,Run2AME_MET!$A$2:$A$77,0),MATCH(Graphs!D$4,Run2AME_MET!$C$1:$O$1,0))</f>
        <v>0.31298245076431641</v>
      </c>
      <c r="E8" s="3">
        <f ca="1">INDEX(INDIRECT($B8&amp;"!$C$2:$O$78"),MATCH(Graphs!$B$3,Run2AME_MET!$A$2:$A$77,0),MATCH(Graphs!E$4,Run2AME_MET!$C$1:$O$1,0))</f>
        <v>1.263557277625863</v>
      </c>
      <c r="F8" s="3">
        <f ca="1">INDEX(INDIRECT($B8&amp;"!$C$2:$O$78"),MATCH(Graphs!$B$3,Run2AME_MET!$A$2:$A$77,0),MATCH(Graphs!F$4,Run2AME_MET!$C$1:$O$1,0))</f>
        <v>2.2029228878929188</v>
      </c>
      <c r="G8" s="3">
        <f ca="1">INDEX(INDIRECT($B8&amp;"!$C$2:$O$78"),MATCH(Graphs!$B$3,Run2AME_MET!$A$2:$A$77,0),MATCH(Graphs!G$4,Run2AME_MET!$C$1:$O$1,0))</f>
        <v>3.8908647986603921</v>
      </c>
      <c r="H8" s="3">
        <f ca="1">INDEX(INDIRECT($B8&amp;"!$C$2:$O$78"),MATCH(Graphs!$B$3,Run2AME_MET!$A$2:$A$77,0),MATCH(Graphs!H$4,Run2AME_MET!$C$1:$O$1,0))</f>
        <v>4.1563217653235789</v>
      </c>
      <c r="I8" s="3">
        <f ca="1">INDEX(INDIRECT($B8&amp;"!$C$2:$O$78"),MATCH(Graphs!$B$3,Run2AME_MET!$A$2:$A$77,0),MATCH(Graphs!I$4,Run2AME_MET!$C$1:$O$1,0))</f>
        <v>6.4578938116116831</v>
      </c>
      <c r="J8" s="3">
        <f ca="1">INDEX(INDIRECT($B8&amp;"!$C$2:$O$78"),MATCH(Graphs!$B$3,Run2AME_MET!$A$2:$A$77,0),MATCH(Graphs!J$4,Run2AME_MET!$C$1:$O$1,0))</f>
        <v>7.3967411048692373</v>
      </c>
      <c r="K8" s="3">
        <f ca="1">INDEX(INDIRECT($B8&amp;"!$C$2:$O$78"),MATCH(Graphs!$B$3,Run2AME_MET!$A$2:$A$77,0),MATCH(Graphs!K$4,Run2AME_MET!$C$1:$O$1,0))</f>
        <v>8.2145341939868413</v>
      </c>
      <c r="L8" s="3">
        <f ca="1">INDEX(INDIRECT($B8&amp;"!$C$2:$O$78"),MATCH(Graphs!$B$3,Run2AME_MET!$A$2:$A$77,0),MATCH(Graphs!L$4,Run2AME_MET!$C$1:$O$1,0))</f>
        <v>8.1354633176402587</v>
      </c>
      <c r="M8" s="3">
        <f ca="1">INDEX(INDIRECT($B8&amp;"!$C$2:$O$78"),MATCH(Graphs!$B$3,Run2AME_MET!$A$2:$A$77,0),MATCH(Graphs!M$4,Run2AME_MET!$C$1:$O$1,0))</f>
        <v>6.5236793515606539</v>
      </c>
      <c r="N8" s="3">
        <f ca="1">INDEX(INDIRECT($B8&amp;"!$C$2:$O$78"),MATCH(Graphs!$B$3,Run2AME_MET!$A$2:$A$77,0),MATCH(Graphs!N$4,Run2AME_MET!$C$1:$O$1,0))</f>
        <v>5.0418456019104534</v>
      </c>
      <c r="O8" s="3">
        <f ca="1">INDEX(INDIRECT($B8&amp;"!$C$2:$O$78"),MATCH(Graphs!$B$3,Run2AME_MET!$A$2:$A$77,0),MATCH(Graphs!O$4,Run2AME_MET!$C$1:$O$1,0))</f>
        <v>0</v>
      </c>
      <c r="R8" s="3" t="s">
        <v>140</v>
      </c>
      <c r="S8" s="3">
        <f ca="1">INDEX(INDIRECT($R8&amp;"!$C$2:$O$78"),MATCH(Graphs!$R$3,Run2AME_MET!$A$2:$A$77,0),MATCH(Graphs!S$4,Run2AME_MET!$C$1:$O$1,0))</f>
        <v>-0.2322620497010969</v>
      </c>
      <c r="T8" s="3">
        <f ca="1">INDEX(INDIRECT($R8&amp;"!$C$2:$O$78"),MATCH(Graphs!$R$3,Run2AME_MET!$A$2:$A$77,0),MATCH(Graphs!T$4,Run2AME_MET!$C$1:$O$1,0))</f>
        <v>-0.30911526898431357</v>
      </c>
      <c r="U8" s="3">
        <f ca="1">INDEX(INDIRECT($R8&amp;"!$C$2:$O$78"),MATCH(Graphs!$R$3,Run2AME_MET!$A$2:$A$77,0),MATCH(Graphs!U$4,Run2AME_MET!$C$1:$O$1,0))</f>
        <v>-0.34223719392817448</v>
      </c>
      <c r="V8" s="3">
        <f ca="1">INDEX(INDIRECT($R8&amp;"!$C$2:$O$78"),MATCH(Graphs!$R$3,Run2AME_MET!$A$2:$A$77,0),MATCH(Graphs!V$4,Run2AME_MET!$C$1:$O$1,0))</f>
        <v>-0.37972118525852511</v>
      </c>
      <c r="W8" s="3">
        <f ca="1">INDEX(INDIRECT($R8&amp;"!$C$2:$O$78"),MATCH(Graphs!$R$3,Run2AME_MET!$A$2:$A$77,0),MATCH(Graphs!W$4,Run2AME_MET!$C$1:$O$1,0))</f>
        <v>-0.46573671143340672</v>
      </c>
      <c r="X8" s="3">
        <f ca="1">INDEX(INDIRECT($R8&amp;"!$C$2:$O$78"),MATCH(Graphs!$R$3,Run2AME_MET!$A$2:$A$77,0),MATCH(Graphs!X$4,Run2AME_MET!$C$1:$O$1,0))</f>
        <v>-0.52272969945372361</v>
      </c>
      <c r="Y8" s="3">
        <f ca="1">INDEX(INDIRECT($R8&amp;"!$C$2:$O$78"),MATCH(Graphs!$R$3,Run2AME_MET!$A$2:$A$77,0),MATCH(Graphs!Y$4,Run2AME_MET!$C$1:$O$1,0))</f>
        <v>-0.59158127329547638</v>
      </c>
      <c r="Z8" s="3">
        <f ca="1">INDEX(INDIRECT($R8&amp;"!$C$2:$O$78"),MATCH(Graphs!$R$3,Run2AME_MET!$A$2:$A$77,0),MATCH(Graphs!Z$4,Run2AME_MET!$C$1:$O$1,0))</f>
        <v>-0.63747710249505007</v>
      </c>
      <c r="AA8" s="3">
        <f ca="1">INDEX(INDIRECT($R8&amp;"!$C$2:$O$78"),MATCH(Graphs!$R$3,Run2AME_MET!$A$2:$A$77,0),MATCH(Graphs!AA$4,Run2AME_MET!$C$1:$O$1,0))</f>
        <v>-0.6983809214538359</v>
      </c>
      <c r="AB8" s="3">
        <f ca="1">INDEX(INDIRECT($R8&amp;"!$C$2:$O$78"),MATCH(Graphs!$R$3,Run2AME_MET!$A$2:$A$77,0),MATCH(Graphs!AB$4,Run2AME_MET!$C$1:$O$1,0))</f>
        <v>-0.73746148063842898</v>
      </c>
      <c r="AC8" s="3">
        <f ca="1">INDEX(INDIRECT($R8&amp;"!$C$2:$O$78"),MATCH(Graphs!$R$3,Run2AME_MET!$A$2:$A$77,0),MATCH(Graphs!AC$4,Run2AME_MET!$C$1:$O$1,0))</f>
        <v>-0.7752678058723157</v>
      </c>
      <c r="AD8" s="3">
        <f ca="1">INDEX(INDIRECT($R8&amp;"!$C$2:$O$78"),MATCH(Graphs!$R$3,Run2AME_MET!$A$2:$A$77,0),MATCH(Graphs!AD$4,Run2AME_MET!$C$1:$O$1,0))</f>
        <v>-0.79850448294468301</v>
      </c>
      <c r="AE8" s="3">
        <f ca="1">INDEX(INDIRECT($R8&amp;"!$C$2:$O$78"),MATCH(Graphs!$R$3,Run2AME_MET!$A$2:$A$77,0),MATCH(Graphs!AE$4,Run2AME_MET!$C$1:$O$1,0))</f>
        <v>-0.84530316440998288</v>
      </c>
    </row>
    <row r="9" spans="1:31" x14ac:dyDescent="0.3">
      <c r="B9" s="3" t="s">
        <v>143</v>
      </c>
      <c r="C9" s="3">
        <f ca="1">INDEX(INDIRECT($B9&amp;"!$C$2:$O$78"),MATCH(Graphs!$B$3,Run2AME_MET!$A$2:$A$77,0),MATCH(Graphs!C$4,Run2AME_MET!$C$1:$O$1,0))</f>
        <v>0</v>
      </c>
      <c r="D9" s="3">
        <f ca="1">INDEX(INDIRECT($B9&amp;"!$C$2:$O$78"),MATCH(Graphs!$B$3,Run2AME_MET!$A$2:$A$77,0),MATCH(Graphs!D$4,Run2AME_MET!$C$1:$O$1,0))</f>
        <v>9.6078082493373324E-2</v>
      </c>
      <c r="E9" s="3">
        <f ca="1">INDEX(INDIRECT($B9&amp;"!$C$2:$O$78"),MATCH(Graphs!$B$3,Run2AME_MET!$A$2:$A$77,0),MATCH(Graphs!E$4,Run2AME_MET!$C$1:$O$1,0))</f>
        <v>0.37344129486083988</v>
      </c>
      <c r="F9" s="3">
        <f ca="1">INDEX(INDIRECT($B9&amp;"!$C$2:$O$78"),MATCH(Graphs!$B$3,Run2AME_MET!$A$2:$A$77,0),MATCH(Graphs!F$4,Run2AME_MET!$C$1:$O$1,0))</f>
        <v>0.52347101593017586</v>
      </c>
      <c r="G9" s="3">
        <f ca="1">INDEX(INDIRECT($B9&amp;"!$C$2:$O$78"),MATCH(Graphs!$B$3,Run2AME_MET!$A$2:$A$77,0),MATCH(Graphs!G$4,Run2AME_MET!$C$1:$O$1,0))</f>
        <v>0.76755388251707457</v>
      </c>
      <c r="H9" s="3">
        <f ca="1">INDEX(INDIRECT($B9&amp;"!$C$2:$O$78"),MATCH(Graphs!$B$3,Run2AME_MET!$A$2:$A$77,0),MATCH(Graphs!H$4,Run2AME_MET!$C$1:$O$1,0))</f>
        <v>0.92772767099831632</v>
      </c>
      <c r="I9" s="3">
        <f ca="1">INDEX(INDIRECT($B9&amp;"!$C$2:$O$78"),MATCH(Graphs!$B$3,Run2AME_MET!$A$2:$A$77,0),MATCH(Graphs!I$4,Run2AME_MET!$C$1:$O$1,0))</f>
        <v>2.158490918472276</v>
      </c>
      <c r="J9" s="3">
        <f ca="1">INDEX(INDIRECT($B9&amp;"!$C$2:$O$78"),MATCH(Graphs!$B$3,Run2AME_MET!$A$2:$A$77,0),MATCH(Graphs!J$4,Run2AME_MET!$C$1:$O$1,0))</f>
        <v>2.978619991058983</v>
      </c>
      <c r="K9" s="3">
        <f ca="1">INDEX(INDIRECT($B9&amp;"!$C$2:$O$78"),MATCH(Graphs!$B$3,Run2AME_MET!$A$2:$A$77,0),MATCH(Graphs!K$4,Run2AME_MET!$C$1:$O$1,0))</f>
        <v>4.3115361214141208</v>
      </c>
      <c r="L9" s="3">
        <f ca="1">INDEX(INDIRECT($B9&amp;"!$C$2:$O$78"),MATCH(Graphs!$B$3,Run2AME_MET!$A$2:$A$77,0),MATCH(Graphs!L$4,Run2AME_MET!$C$1:$O$1,0))</f>
        <v>5.2053615669928606</v>
      </c>
      <c r="M9" s="3">
        <f ca="1">INDEX(INDIRECT($B9&amp;"!$C$2:$O$78"),MATCH(Graphs!$B$3,Run2AME_MET!$A$2:$A$77,0),MATCH(Graphs!M$4,Run2AME_MET!$C$1:$O$1,0))</f>
        <v>6.4147376239259613</v>
      </c>
      <c r="N9" s="3">
        <f ca="1">INDEX(INDIRECT($B9&amp;"!$C$2:$O$78"),MATCH(Graphs!$B$3,Run2AME_MET!$A$2:$A$77,0),MATCH(Graphs!N$4,Run2AME_MET!$C$1:$O$1,0))</f>
        <v>7.2275737072617634</v>
      </c>
      <c r="O9" s="3">
        <f ca="1">INDEX(INDIRECT($B9&amp;"!$C$2:$O$78"),MATCH(Graphs!$B$3,Run2AME_MET!$A$2:$A$77,0),MATCH(Graphs!O$4,Run2AME_MET!$C$1:$O$1,0))</f>
        <v>8.7886622085873967</v>
      </c>
      <c r="R9" s="3" t="s">
        <v>143</v>
      </c>
      <c r="S9" s="3">
        <f ca="1">INDEX(INDIRECT($R9&amp;"!$C$2:$O$78"),MATCH(Graphs!$R$3,Run2AME_MET!$A$2:$A$77,0),MATCH(Graphs!S$4,Run2AME_MET!$C$1:$O$1,0))</f>
        <v>-0.20552563387467199</v>
      </c>
      <c r="T9" s="3">
        <f ca="1">INDEX(INDIRECT($R9&amp;"!$C$2:$O$78"),MATCH(Graphs!$R$3,Run2AME_MET!$A$2:$A$77,0),MATCH(Graphs!T$4,Run2AME_MET!$C$1:$O$1,0))</f>
        <v>-0.28934171746870929</v>
      </c>
      <c r="U9" s="3">
        <f ca="1">INDEX(INDIRECT($R9&amp;"!$C$2:$O$78"),MATCH(Graphs!$R$3,Run2AME_MET!$A$2:$A$77,0),MATCH(Graphs!U$4,Run2AME_MET!$C$1:$O$1,0))</f>
        <v>-0.30973426642068258</v>
      </c>
      <c r="V9" s="3">
        <f ca="1">INDEX(INDIRECT($R9&amp;"!$C$2:$O$78"),MATCH(Graphs!$R$3,Run2AME_MET!$A$2:$A$77,0),MATCH(Graphs!V$4,Run2AME_MET!$C$1:$O$1,0))</f>
        <v>-0.323702463351485</v>
      </c>
      <c r="W9" s="3">
        <f ca="1">INDEX(INDIRECT($R9&amp;"!$C$2:$O$78"),MATCH(Graphs!$R$3,Run2AME_MET!$A$2:$A$77,0),MATCH(Graphs!W$4,Run2AME_MET!$C$1:$O$1,0))</f>
        <v>-0.36183850586932248</v>
      </c>
      <c r="X9" s="3">
        <f ca="1">INDEX(INDIRECT($R9&amp;"!$C$2:$O$78"),MATCH(Graphs!$R$3,Run2AME_MET!$A$2:$A$77,0),MATCH(Graphs!X$4,Run2AME_MET!$C$1:$O$1,0))</f>
        <v>-0.38735336942222298</v>
      </c>
      <c r="Y9" s="3">
        <f ca="1">INDEX(INDIRECT($R9&amp;"!$C$2:$O$78"),MATCH(Graphs!$R$3,Run2AME_MET!$A$2:$A$77,0),MATCH(Graphs!Y$4,Run2AME_MET!$C$1:$O$1,0))</f>
        <v>-0.41592741747525908</v>
      </c>
      <c r="Z9" s="3">
        <f ca="1">INDEX(INDIRECT($R9&amp;"!$C$2:$O$78"),MATCH(Graphs!$R$3,Run2AME_MET!$A$2:$A$77,0),MATCH(Graphs!Z$4,Run2AME_MET!$C$1:$O$1,0))</f>
        <v>-0.43493027463335082</v>
      </c>
      <c r="AA9" s="3">
        <f ca="1">INDEX(INDIRECT($R9&amp;"!$C$2:$O$78"),MATCH(Graphs!$R$3,Run2AME_MET!$A$2:$A$77,0),MATCH(Graphs!AA$4,Run2AME_MET!$C$1:$O$1,0))</f>
        <v>-0.45796019108720393</v>
      </c>
      <c r="AB9" s="3">
        <f ca="1">INDEX(INDIRECT($R9&amp;"!$C$2:$O$78"),MATCH(Graphs!$R$3,Run2AME_MET!$A$2:$A$77,0),MATCH(Graphs!AB$4,Run2AME_MET!$C$1:$O$1,0))</f>
        <v>-0.47336381025141733</v>
      </c>
      <c r="AC9" s="3">
        <f ca="1">INDEX(INDIRECT($R9&amp;"!$C$2:$O$78"),MATCH(Graphs!$R$3,Run2AME_MET!$A$2:$A$77,0),MATCH(Graphs!AC$4,Run2AME_MET!$C$1:$O$1,0))</f>
        <v>-0.48994762640372791</v>
      </c>
      <c r="AD9" s="3">
        <f ca="1">INDEX(INDIRECT($R9&amp;"!$C$2:$O$78"),MATCH(Graphs!$R$3,Run2AME_MET!$A$2:$A$77,0),MATCH(Graphs!AD$4,Run2AME_MET!$C$1:$O$1,0))</f>
        <v>-0.50100686021687957</v>
      </c>
      <c r="AE9" s="3">
        <f ca="1">INDEX(INDIRECT($R9&amp;"!$C$2:$O$78"),MATCH(Graphs!$R$3,Run2AME_MET!$A$2:$A$77,0),MATCH(Graphs!AE$4,Run2AME_MET!$C$1:$O$1,0))</f>
        <v>-0.50613359524305235</v>
      </c>
    </row>
    <row r="10" spans="1:31" x14ac:dyDescent="0.3">
      <c r="B10" s="3" t="s">
        <v>144</v>
      </c>
      <c r="C10" s="3">
        <f ca="1">INDEX(INDIRECT($B10&amp;"!$C$2:$O$78"),MATCH(Graphs!$B$3,Run2AME_MET!$A$2:$A$77,0),MATCH(Graphs!C$4,Run2AME_MET!$C$1:$O$1,0))</f>
        <v>3.51634270804269E-3</v>
      </c>
      <c r="D10" s="3">
        <f ca="1">INDEX(INDIRECT($B10&amp;"!$C$2:$O$78"),MATCH(Graphs!$B$3,Run2AME_MET!$A$2:$A$77,0),MATCH(Graphs!D$4,Run2AME_MET!$C$1:$O$1,0))</f>
        <v>0.31298245076431641</v>
      </c>
      <c r="E10" s="3">
        <f ca="1">INDEX(INDIRECT($B10&amp;"!$C$2:$O$78"),MATCH(Graphs!$B$3,Run2AME_MET!$A$2:$A$77,0),MATCH(Graphs!E$4,Run2AME_MET!$C$1:$O$1,0))</f>
        <v>1.263557277625863</v>
      </c>
      <c r="F10" s="3">
        <f ca="1">INDEX(INDIRECT($B10&amp;"!$C$2:$O$78"),MATCH(Graphs!$B$3,Run2AME_MET!$A$2:$A$77,0),MATCH(Graphs!F$4,Run2AME_MET!$C$1:$O$1,0))</f>
        <v>2.2029228878929188</v>
      </c>
      <c r="G10" s="3">
        <f ca="1">INDEX(INDIRECT($B10&amp;"!$C$2:$O$78"),MATCH(Graphs!$B$3,Run2AME_MET!$A$2:$A$77,0),MATCH(Graphs!G$4,Run2AME_MET!$C$1:$O$1,0))</f>
        <v>3.8908647986603921</v>
      </c>
      <c r="H10" s="3">
        <f ca="1">INDEX(INDIRECT($B10&amp;"!$C$2:$O$78"),MATCH(Graphs!$B$3,Run2AME_MET!$A$2:$A$77,0),MATCH(Graphs!H$4,Run2AME_MET!$C$1:$O$1,0))</f>
        <v>4.1563217653235789</v>
      </c>
      <c r="I10" s="3">
        <f ca="1">INDEX(INDIRECT($B10&amp;"!$C$2:$O$78"),MATCH(Graphs!$B$3,Run2AME_MET!$A$2:$A$77,0),MATCH(Graphs!I$4,Run2AME_MET!$C$1:$O$1,0))</f>
        <v>6.4578938116116831</v>
      </c>
      <c r="J10" s="3">
        <f ca="1">INDEX(INDIRECT($B10&amp;"!$C$2:$O$78"),MATCH(Graphs!$B$3,Run2AME_MET!$A$2:$A$77,0),MATCH(Graphs!J$4,Run2AME_MET!$C$1:$O$1,0))</f>
        <v>7.3967411048692373</v>
      </c>
      <c r="K10" s="3">
        <f ca="1">INDEX(INDIRECT($B10&amp;"!$C$2:$O$78"),MATCH(Graphs!$B$3,Run2AME_MET!$A$2:$A$77,0),MATCH(Graphs!K$4,Run2AME_MET!$C$1:$O$1,0))</f>
        <v>8.2145341939868413</v>
      </c>
      <c r="L10" s="3">
        <f ca="1">INDEX(INDIRECT($B10&amp;"!$C$2:$O$78"),MATCH(Graphs!$B$3,Run2AME_MET!$A$2:$A$77,0),MATCH(Graphs!L$4,Run2AME_MET!$C$1:$O$1,0))</f>
        <v>8.1354633176402587</v>
      </c>
      <c r="M10" s="3">
        <f ca="1">INDEX(INDIRECT($B10&amp;"!$C$2:$O$78"),MATCH(Graphs!$B$3,Run2AME_MET!$A$2:$A$77,0),MATCH(Graphs!M$4,Run2AME_MET!$C$1:$O$1,0))</f>
        <v>6.5236793515606539</v>
      </c>
      <c r="N10" s="3">
        <f ca="1">INDEX(INDIRECT($B10&amp;"!$C$2:$O$78"),MATCH(Graphs!$B$3,Run2AME_MET!$A$2:$A$77,0),MATCH(Graphs!N$4,Run2AME_MET!$C$1:$O$1,0))</f>
        <v>5.0418456019104534</v>
      </c>
      <c r="O10" s="3">
        <f ca="1">INDEX(INDIRECT($B10&amp;"!$C$2:$O$78"),MATCH(Graphs!$B$3,Run2AME_MET!$A$2:$A$77,0),MATCH(Graphs!O$4,Run2AME_MET!$C$1:$O$1,0))</f>
        <v>0</v>
      </c>
      <c r="R10" s="3" t="s">
        <v>144</v>
      </c>
      <c r="S10" s="3">
        <f ca="1">INDEX(INDIRECT($R10&amp;"!$C$2:$O$78"),MATCH(Graphs!$R$3,Run2AME_MET!$A$2:$A$77,0),MATCH(Graphs!S$4,Run2AME_MET!$C$1:$O$1,0))</f>
        <v>-0.2169718584978535</v>
      </c>
      <c r="T10" s="3">
        <f ca="1">INDEX(INDIRECT($R10&amp;"!$C$2:$O$78"),MATCH(Graphs!$R$3,Run2AME_MET!$A$2:$A$77,0),MATCH(Graphs!T$4,Run2AME_MET!$C$1:$O$1,0))</f>
        <v>-0.296668984106506</v>
      </c>
      <c r="U10" s="3">
        <f ca="1">INDEX(INDIRECT($R10&amp;"!$C$2:$O$78"),MATCH(Graphs!$R$3,Run2AME_MET!$A$2:$A$77,0),MATCH(Graphs!U$4,Run2AME_MET!$C$1:$O$1,0))</f>
        <v>-0.33127191943033768</v>
      </c>
      <c r="V10" s="3">
        <f ca="1">INDEX(INDIRECT($R10&amp;"!$C$2:$O$78"),MATCH(Graphs!$R$3,Run2AME_MET!$A$2:$A$77,0),MATCH(Graphs!V$4,Run2AME_MET!$C$1:$O$1,0))</f>
        <v>-0.36909227124643729</v>
      </c>
      <c r="W10" s="3">
        <f ca="1">INDEX(INDIRECT($R10&amp;"!$C$2:$O$78"),MATCH(Graphs!$R$3,Run2AME_MET!$A$2:$A$77,0),MATCH(Graphs!W$4,Run2AME_MET!$C$1:$O$1,0))</f>
        <v>-0.45469452325502102</v>
      </c>
      <c r="X10" s="3">
        <f ca="1">INDEX(INDIRECT($R10&amp;"!$C$2:$O$78"),MATCH(Graphs!$R$3,Run2AME_MET!$A$2:$A$77,0),MATCH(Graphs!X$4,Run2AME_MET!$C$1:$O$1,0))</f>
        <v>-0.51048125468846828</v>
      </c>
      <c r="Y10" s="3">
        <f ca="1">INDEX(INDIRECT($R10&amp;"!$C$2:$O$78"),MATCH(Graphs!$R$3,Run2AME_MET!$A$2:$A$77,0),MATCH(Graphs!Y$4,Run2AME_MET!$C$1:$O$1,0))</f>
        <v>-0.57904615763066558</v>
      </c>
      <c r="Z10" s="3">
        <f ca="1">INDEX(INDIRECT($R10&amp;"!$C$2:$O$78"),MATCH(Graphs!$R$3,Run2AME_MET!$A$2:$A$77,0),MATCH(Graphs!Z$4,Run2AME_MET!$C$1:$O$1,0))</f>
        <v>-0.62433300304093653</v>
      </c>
      <c r="AA10" s="3">
        <f ca="1">INDEX(INDIRECT($R10&amp;"!$C$2:$O$78"),MATCH(Graphs!$R$3,Run2AME_MET!$A$2:$A$77,0),MATCH(Graphs!AA$4,Run2AME_MET!$C$1:$O$1,0))</f>
        <v>-0.68490043178935234</v>
      </c>
      <c r="AB10" s="3">
        <f ca="1">INDEX(INDIRECT($R10&amp;"!$C$2:$O$78"),MATCH(Graphs!$R$3,Run2AME_MET!$A$2:$A$77,0),MATCH(Graphs!AB$4,Run2AME_MET!$C$1:$O$1,0))</f>
        <v>-0.72386213309902137</v>
      </c>
      <c r="AC10" s="3">
        <f ca="1">INDEX(INDIRECT($R10&amp;"!$C$2:$O$78"),MATCH(Graphs!$R$3,Run2AME_MET!$A$2:$A$77,0),MATCH(Graphs!AC$4,Run2AME_MET!$C$1:$O$1,0))</f>
        <v>-0.76087076261536424</v>
      </c>
      <c r="AD10" s="3">
        <f ca="1">INDEX(INDIRECT($R10&amp;"!$C$2:$O$78"),MATCH(Graphs!$R$3,Run2AME_MET!$A$2:$A$77,0),MATCH(Graphs!AD$4,Run2AME_MET!$C$1:$O$1,0))</f>
        <v>-0.78430270414608927</v>
      </c>
      <c r="AE10" s="3">
        <f ca="1">INDEX(INDIRECT($R10&amp;"!$C$2:$O$78"),MATCH(Graphs!$R$3,Run2AME_MET!$A$2:$A$77,0),MATCH(Graphs!AE$4,Run2AME_MET!$C$1:$O$1,0))</f>
        <v>-0.83063519610589742</v>
      </c>
    </row>
    <row r="13" spans="1:31" x14ac:dyDescent="0.3">
      <c r="C13" s="12" t="s">
        <v>145</v>
      </c>
      <c r="D13" s="12"/>
      <c r="E13" s="12"/>
      <c r="F13" s="12"/>
      <c r="G13" s="12"/>
      <c r="J13" s="12" t="s">
        <v>146</v>
      </c>
      <c r="K13" s="12"/>
      <c r="L13" s="12"/>
      <c r="M13" s="12"/>
      <c r="N13" s="12"/>
      <c r="S13" s="12" t="s">
        <v>145</v>
      </c>
      <c r="T13" s="12"/>
      <c r="U13" s="12"/>
      <c r="V13" s="12"/>
      <c r="W13" s="12"/>
      <c r="Z13" s="12" t="s">
        <v>146</v>
      </c>
      <c r="AA13" s="12"/>
      <c r="AB13" s="12"/>
      <c r="AC13" s="12"/>
      <c r="AD13" s="12"/>
    </row>
    <row r="34" spans="8:17" x14ac:dyDescent="0.3">
      <c r="H34" t="s">
        <v>18</v>
      </c>
      <c r="J34" t="s">
        <v>185</v>
      </c>
    </row>
    <row r="35" spans="8:17" x14ac:dyDescent="0.3">
      <c r="H35" t="s">
        <v>24</v>
      </c>
      <c r="J35" t="s">
        <v>157</v>
      </c>
    </row>
    <row r="36" spans="8:17" x14ac:dyDescent="0.3">
      <c r="H36" t="s">
        <v>152</v>
      </c>
      <c r="J36" t="s">
        <v>158</v>
      </c>
    </row>
    <row r="37" spans="8:17" x14ac:dyDescent="0.3">
      <c r="H37" t="s">
        <v>36</v>
      </c>
      <c r="J37" t="s">
        <v>186</v>
      </c>
    </row>
    <row r="38" spans="8:17" x14ac:dyDescent="0.3">
      <c r="H38" t="s">
        <v>94</v>
      </c>
      <c r="J38" t="s">
        <v>190</v>
      </c>
    </row>
    <row r="39" spans="8:17" x14ac:dyDescent="0.3">
      <c r="H39" t="s">
        <v>96</v>
      </c>
      <c r="J39" t="s">
        <v>191</v>
      </c>
    </row>
    <row r="40" spans="8:17" x14ac:dyDescent="0.3">
      <c r="H40" t="s">
        <v>98</v>
      </c>
      <c r="J40" t="s">
        <v>192</v>
      </c>
      <c r="Q40" t="s">
        <v>187</v>
      </c>
    </row>
    <row r="41" spans="8:17" x14ac:dyDescent="0.3">
      <c r="H41" t="s">
        <v>100</v>
      </c>
      <c r="J41" t="s">
        <v>193</v>
      </c>
    </row>
    <row r="42" spans="8:17" x14ac:dyDescent="0.3">
      <c r="H42" t="s">
        <v>108</v>
      </c>
      <c r="J42" t="s">
        <v>188</v>
      </c>
    </row>
    <row r="43" spans="8:17" x14ac:dyDescent="0.3">
      <c r="H43" t="s">
        <v>110</v>
      </c>
      <c r="J43" t="s">
        <v>184</v>
      </c>
    </row>
    <row r="44" spans="8:17" x14ac:dyDescent="0.3">
      <c r="H44" t="s">
        <v>114</v>
      </c>
      <c r="J44" t="s">
        <v>194</v>
      </c>
    </row>
    <row r="45" spans="8:17" x14ac:dyDescent="0.3">
      <c r="H45" t="s">
        <v>122</v>
      </c>
      <c r="J45" t="s">
        <v>195</v>
      </c>
    </row>
  </sheetData>
  <mergeCells count="6">
    <mergeCell ref="C3:O3"/>
    <mergeCell ref="C13:G13"/>
    <mergeCell ref="J13:N13"/>
    <mergeCell ref="S3:AE3"/>
    <mergeCell ref="S13:W13"/>
    <mergeCell ref="Z13:AD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00307E-C064-44D1-80C5-24D9815B271D}">
          <x14:formula1>
            <xm:f>Run2AME_MET!$A$2:$A$77</xm:f>
          </x14:formula1>
          <xm:sqref>B3 R3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866F-D546-434F-8292-8698B80A2EAF}">
  <sheetPr codeName="Feuil8"/>
  <dimension ref="A1:F15"/>
  <sheetViews>
    <sheetView workbookViewId="0">
      <selection activeCell="D5" sqref="D5"/>
    </sheetView>
  </sheetViews>
  <sheetFormatPr baseColWidth="10" defaultColWidth="11.44140625" defaultRowHeight="14.4" x14ac:dyDescent="0.3"/>
  <cols>
    <col min="1" max="1" width="81.21875" customWidth="1"/>
    <col min="2" max="2" width="17" bestFit="1" customWidth="1"/>
    <col min="5" max="5" width="38.33203125" bestFit="1" customWidth="1"/>
    <col min="6" max="6" width="15" bestFit="1" customWidth="1"/>
  </cols>
  <sheetData>
    <row r="1" spans="1:6" x14ac:dyDescent="0.3">
      <c r="A1" s="6" t="s">
        <v>159</v>
      </c>
      <c r="B1" s="6" t="s">
        <v>160</v>
      </c>
      <c r="C1" s="6" t="s">
        <v>161</v>
      </c>
      <c r="D1" s="6" t="s">
        <v>162</v>
      </c>
      <c r="E1" s="6" t="s">
        <v>163</v>
      </c>
      <c r="F1" s="6" t="s">
        <v>164</v>
      </c>
    </row>
    <row r="2" spans="1:6" ht="43.2" x14ac:dyDescent="0.3">
      <c r="A2" t="s">
        <v>165</v>
      </c>
      <c r="B2">
        <v>1990</v>
      </c>
      <c r="C2">
        <v>2030</v>
      </c>
      <c r="D2" s="7">
        <v>-0.4</v>
      </c>
      <c r="E2" s="8" t="s">
        <v>166</v>
      </c>
      <c r="F2" t="s">
        <v>167</v>
      </c>
    </row>
    <row r="3" spans="1:6" x14ac:dyDescent="0.3">
      <c r="A3" t="s">
        <v>168</v>
      </c>
      <c r="B3">
        <v>2012</v>
      </c>
      <c r="C3">
        <v>2050</v>
      </c>
      <c r="D3" s="7">
        <v>-0.5</v>
      </c>
      <c r="F3" t="s">
        <v>167</v>
      </c>
    </row>
    <row r="4" spans="1:6" x14ac:dyDescent="0.3">
      <c r="C4">
        <v>2023</v>
      </c>
      <c r="D4" s="7">
        <v>-7.0000000000000007E-2</v>
      </c>
      <c r="F4" t="s">
        <v>167</v>
      </c>
    </row>
    <row r="5" spans="1:6" x14ac:dyDescent="0.3">
      <c r="C5">
        <v>2030</v>
      </c>
      <c r="D5" s="7">
        <v>-0.2</v>
      </c>
      <c r="F5" t="s">
        <v>167</v>
      </c>
    </row>
    <row r="6" spans="1:6" x14ac:dyDescent="0.3">
      <c r="A6" t="s">
        <v>169</v>
      </c>
      <c r="B6">
        <v>2012</v>
      </c>
      <c r="C6">
        <v>2030</v>
      </c>
      <c r="D6" s="7">
        <v>-0.4</v>
      </c>
      <c r="E6" t="s">
        <v>170</v>
      </c>
      <c r="F6" t="s">
        <v>167</v>
      </c>
    </row>
    <row r="7" spans="1:6" x14ac:dyDescent="0.3">
      <c r="A7" t="s">
        <v>171</v>
      </c>
      <c r="C7">
        <v>2020</v>
      </c>
      <c r="D7" s="7">
        <v>0.23</v>
      </c>
      <c r="F7" t="s">
        <v>167</v>
      </c>
    </row>
    <row r="8" spans="1:6" x14ac:dyDescent="0.3">
      <c r="C8">
        <v>2030</v>
      </c>
      <c r="D8" s="7">
        <v>0.33</v>
      </c>
      <c r="F8" t="s">
        <v>167</v>
      </c>
    </row>
    <row r="9" spans="1:6" x14ac:dyDescent="0.3">
      <c r="A9" t="s">
        <v>172</v>
      </c>
      <c r="C9">
        <v>2030</v>
      </c>
      <c r="D9" s="7">
        <v>0.4</v>
      </c>
      <c r="F9" t="s">
        <v>167</v>
      </c>
    </row>
    <row r="10" spans="1:6" x14ac:dyDescent="0.3">
      <c r="A10" t="s">
        <v>173</v>
      </c>
      <c r="C10">
        <v>2030</v>
      </c>
      <c r="D10" s="7">
        <v>0.38</v>
      </c>
      <c r="E10" t="s">
        <v>174</v>
      </c>
      <c r="F10" t="s">
        <v>167</v>
      </c>
    </row>
    <row r="11" spans="1:6" x14ac:dyDescent="0.3">
      <c r="A11" t="s">
        <v>175</v>
      </c>
      <c r="C11">
        <v>2030</v>
      </c>
      <c r="D11" s="7">
        <v>0.15</v>
      </c>
      <c r="F11" t="s">
        <v>167</v>
      </c>
    </row>
    <row r="12" spans="1:6" x14ac:dyDescent="0.3">
      <c r="A12" t="s">
        <v>176</v>
      </c>
      <c r="C12">
        <v>2030</v>
      </c>
      <c r="D12" s="7">
        <v>0.1</v>
      </c>
      <c r="F12" t="s">
        <v>167</v>
      </c>
    </row>
    <row r="13" spans="1:6" x14ac:dyDescent="0.3">
      <c r="A13" t="s">
        <v>177</v>
      </c>
      <c r="C13">
        <v>2035</v>
      </c>
      <c r="D13" s="7">
        <v>0.5</v>
      </c>
      <c r="F13" t="s">
        <v>167</v>
      </c>
    </row>
    <row r="14" spans="1:6" x14ac:dyDescent="0.3">
      <c r="A14" t="s">
        <v>178</v>
      </c>
      <c r="C14">
        <v>2030</v>
      </c>
      <c r="D14" s="9" t="s">
        <v>179</v>
      </c>
      <c r="F14" t="s">
        <v>167</v>
      </c>
    </row>
    <row r="15" spans="1:6" x14ac:dyDescent="0.3">
      <c r="A15" t="s">
        <v>180</v>
      </c>
      <c r="C15">
        <v>2030</v>
      </c>
      <c r="D15" t="s">
        <v>181</v>
      </c>
      <c r="E15" t="s">
        <v>182</v>
      </c>
      <c r="F15" t="s">
        <v>183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AAC37BD05F7145AA350F90A845546C" ma:contentTypeVersion="11" ma:contentTypeDescription="Crée un document." ma:contentTypeScope="" ma:versionID="3e83b7218e19c03203cacedb8ee62db8">
  <xsd:schema xmlns:xsd="http://www.w3.org/2001/XMLSchema" xmlns:xs="http://www.w3.org/2001/XMLSchema" xmlns:p="http://schemas.microsoft.com/office/2006/metadata/properties" xmlns:ns2="1daa9b06-e6e8-4a5f-a5d5-3619779892a5" xmlns:ns3="123c5334-5dad-4194-9e00-48b8d9851b34" targetNamespace="http://schemas.microsoft.com/office/2006/metadata/properties" ma:root="true" ma:fieldsID="2454b1acacc5d5630cb8d35344f20aa6" ns2:_="" ns3:_="">
    <xsd:import namespace="1daa9b06-e6e8-4a5f-a5d5-3619779892a5"/>
    <xsd:import namespace="123c5334-5dad-4194-9e00-48b8d9851b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a9b06-e6e8-4a5f-a5d5-361977989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b217d2e-895e-4b73-b90f-e0c73e5e9f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3c5334-5dad-4194-9e00-48b8d9851b3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060bf3e5-5c79-4e71-8885-e5cbcb3687cd}" ma:internalName="TaxCatchAll" ma:showField="CatchAllData" ma:web="123c5334-5dad-4194-9e00-48b8d9851b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aa9b06-e6e8-4a5f-a5d5-3619779892a5">
      <Terms xmlns="http://schemas.microsoft.com/office/infopath/2007/PartnerControls"/>
    </lcf76f155ced4ddcb4097134ff3c332f>
    <SharedWithUsers xmlns="123c5334-5dad-4194-9e00-48b8d9851b34">
      <UserInfo>
        <DisplayName>Pacco BAILLY</DisplayName>
        <AccountId>13</AccountId>
        <AccountType/>
      </UserInfo>
      <UserInfo>
        <DisplayName>Frédéric PINTO DA ROCHA</DisplayName>
        <AccountId>11</AccountId>
        <AccountType/>
      </UserInfo>
    </SharedWithUsers>
    <TaxCatchAll xmlns="123c5334-5dad-4194-9e00-48b8d9851b3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FC2728-B139-4E3E-98BA-E31A823489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aa9b06-e6e8-4a5f-a5d5-3619779892a5"/>
    <ds:schemaRef ds:uri="123c5334-5dad-4194-9e00-48b8d9851b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44DF10-B2EC-4396-BF75-9152F0F19CB4}">
  <ds:schemaRefs>
    <ds:schemaRef ds:uri="http://schemas.microsoft.com/office/2006/metadata/properties"/>
    <ds:schemaRef ds:uri="http://schemas.microsoft.com/office/infopath/2007/PartnerControls"/>
    <ds:schemaRef ds:uri="96a292aa-678f-4b03-931b-8f5bf18268e2"/>
    <ds:schemaRef ds:uri="d52e630b-df82-4993-a359-696f63205ce8"/>
    <ds:schemaRef ds:uri="1daa9b06-e6e8-4a5f-a5d5-3619779892a5"/>
    <ds:schemaRef ds:uri="123c5334-5dad-4194-9e00-48b8d9851b34"/>
  </ds:schemaRefs>
</ds:datastoreItem>
</file>

<file path=customXml/itemProps3.xml><?xml version="1.0" encoding="utf-8"?>
<ds:datastoreItem xmlns:ds="http://schemas.openxmlformats.org/officeDocument/2006/customXml" ds:itemID="{C15DB2D6-0DF7-4400-BC7A-1FEA2FF822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Run2AME_CONT</vt:lpstr>
      <vt:lpstr>Run2AMS_CONT</vt:lpstr>
      <vt:lpstr>Run2AME_MET</vt:lpstr>
      <vt:lpstr>Run2AMS_MET</vt:lpstr>
      <vt:lpstr>Run2AME_KYO</vt:lpstr>
      <vt:lpstr>Run2AMS_KYO</vt:lpstr>
      <vt:lpstr>Graphs</vt:lpstr>
      <vt:lpstr>Objectifs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Florent GAUTHIER</cp:lastModifiedBy>
  <dcterms:created xsi:type="dcterms:W3CDTF">2023-02-08T08:16:20Z</dcterms:created>
  <dcterms:modified xsi:type="dcterms:W3CDTF">2023-02-16T13:42:17Z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0x010100976E061B16EFE149A8F6EEBB0DF09CA5</vt:lpwstr>
  </property>
  <property fmtid="{D5CDD505-2E9C-101B-9397-08002B2CF9AE}" pid="3" name="MediaServiceImageTags">
    <vt:lpwstr/>
  </property>
</Properties>
</file>