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GitHub\ThreeME\data\calibrations\"/>
    </mc:Choice>
  </mc:AlternateContent>
  <xr:revisionPtr revIDLastSave="0" documentId="13_ncr:1_{B5D9E06E-CB52-4AF5-B4D8-2274BAD75CDF}" xr6:coauthVersionLast="47" xr6:coauthVersionMax="47" xr10:uidLastSave="{00000000-0000-0000-0000-000000000000}"/>
  <bookViews>
    <workbookView xWindow="-120" yWindow="-120" windowWidth="29040" windowHeight="15840" activeTab="2" xr2:uid="{00000000-000D-0000-FFFF-FFFF00000000}"/>
  </bookViews>
  <sheets>
    <sheet name="Feuil1" sheetId="1" r:id="rId1"/>
    <sheet name="SNBC3 run3_brouillonnn" sheetId="3" r:id="rId2"/>
    <sheet name="SNBC3 run3" sheetId="2"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6" i="2" l="1"/>
  <c r="V35" i="2"/>
  <c r="N36" i="2"/>
  <c r="N35" i="2"/>
  <c r="M21" i="2" l="1"/>
  <c r="L21" i="2"/>
  <c r="K21" i="2"/>
  <c r="J21" i="2"/>
  <c r="I21" i="2"/>
  <c r="H21" i="2"/>
  <c r="G21" i="2"/>
  <c r="F21" i="2"/>
  <c r="E21" i="2"/>
  <c r="D21" i="2"/>
  <c r="C21" i="2"/>
  <c r="M20" i="2"/>
  <c r="L20" i="2"/>
  <c r="K20" i="2"/>
  <c r="J20" i="2"/>
  <c r="I20" i="2"/>
  <c r="H20" i="2"/>
  <c r="G20" i="2"/>
  <c r="F20" i="2"/>
  <c r="E20" i="2"/>
  <c r="D20" i="2"/>
  <c r="C20" i="2"/>
  <c r="B21" i="2"/>
  <c r="B20" i="2"/>
  <c r="V21" i="2" l="1"/>
  <c r="V20" i="2"/>
  <c r="I17" i="1"/>
  <c r="J17" i="1"/>
  <c r="K17" i="1"/>
  <c r="L17" i="1"/>
  <c r="M17" i="1"/>
  <c r="N17" i="1"/>
  <c r="O17" i="1"/>
  <c r="P17" i="1"/>
  <c r="Q17" i="1"/>
  <c r="R17" i="1"/>
  <c r="S17" i="1"/>
  <c r="T17" i="1"/>
  <c r="U17" i="1"/>
  <c r="G18" i="3"/>
  <c r="W14" i="3"/>
  <c r="X14" i="3"/>
  <c r="Y14" i="3"/>
  <c r="Z14" i="3"/>
  <c r="AA14" i="3"/>
  <c r="AB14" i="3"/>
  <c r="AC14" i="3"/>
  <c r="AD14" i="3"/>
  <c r="AE14" i="3"/>
  <c r="AF14" i="3"/>
  <c r="AG14" i="3"/>
  <c r="AH14" i="3"/>
  <c r="AI14" i="3"/>
  <c r="AJ14" i="3"/>
  <c r="AK14" i="3"/>
  <c r="AL14" i="3"/>
  <c r="AM14" i="3"/>
  <c r="AN14" i="3"/>
  <c r="AO14" i="3"/>
  <c r="AP14" i="3"/>
  <c r="AQ14" i="3"/>
  <c r="AR14" i="3"/>
  <c r="AS14" i="3"/>
  <c r="AT14" i="3"/>
  <c r="AU14" i="3"/>
  <c r="AV14" i="3"/>
  <c r="W15" i="3"/>
  <c r="X15" i="3"/>
  <c r="Y15" i="3"/>
  <c r="Z15" i="3"/>
  <c r="AA15" i="3"/>
  <c r="AB15" i="3"/>
  <c r="AC15" i="3"/>
  <c r="AD15" i="3"/>
  <c r="AE15" i="3"/>
  <c r="AF15" i="3"/>
  <c r="AG15" i="3"/>
  <c r="AH15" i="3"/>
  <c r="AI15" i="3"/>
  <c r="AJ15" i="3"/>
  <c r="AK15" i="3"/>
  <c r="AL15" i="3"/>
  <c r="AM15" i="3"/>
  <c r="AN15" i="3"/>
  <c r="AO15" i="3"/>
  <c r="AP15" i="3"/>
  <c r="AQ15" i="3"/>
  <c r="AR15" i="3"/>
  <c r="AS15" i="3"/>
  <c r="AT15" i="3"/>
  <c r="AU15" i="3"/>
  <c r="AV15" i="3"/>
  <c r="V15" i="3"/>
  <c r="V14" i="3"/>
  <c r="W24" i="2" l="1"/>
  <c r="X25" i="2"/>
  <c r="N21" i="2"/>
  <c r="O21" i="2" s="1"/>
  <c r="N20" i="2"/>
  <c r="O20" i="2" s="1"/>
  <c r="AU25" i="2"/>
  <c r="W25" i="2"/>
  <c r="AL24" i="2"/>
  <c r="AV25" i="2"/>
  <c r="AK24" i="2"/>
  <c r="AR24" i="2"/>
  <c r="Y25" i="2"/>
  <c r="AQ24" i="2"/>
  <c r="AP25" i="2"/>
  <c r="AO25" i="2"/>
  <c r="AE24" i="2"/>
  <c r="AJ25" i="2"/>
  <c r="AB24" i="2"/>
  <c r="AI25" i="2"/>
  <c r="Y24" i="2"/>
  <c r="AD25" i="2"/>
  <c r="AF24" i="2"/>
  <c r="AC25" i="2"/>
  <c r="AH25" i="2"/>
  <c r="AS25" i="2"/>
  <c r="AG25" i="2"/>
  <c r="AU24" i="2"/>
  <c r="AI24" i="2"/>
  <c r="W20" i="2"/>
  <c r="AR25" i="2"/>
  <c r="AF25" i="2"/>
  <c r="AT24" i="2"/>
  <c r="AH24" i="2"/>
  <c r="W21" i="2"/>
  <c r="AQ25" i="2"/>
  <c r="AE25" i="2"/>
  <c r="AS24" i="2"/>
  <c r="AG24" i="2"/>
  <c r="AN25" i="2"/>
  <c r="AB25" i="2"/>
  <c r="AP24" i="2"/>
  <c r="AD24" i="2"/>
  <c r="AM25" i="2"/>
  <c r="AA25" i="2"/>
  <c r="AO24" i="2"/>
  <c r="AC24" i="2"/>
  <c r="V24" i="2"/>
  <c r="AL25" i="2"/>
  <c r="Z25" i="2"/>
  <c r="AN24" i="2"/>
  <c r="V25" i="2"/>
  <c r="AK25" i="2"/>
  <c r="AM24" i="2"/>
  <c r="AA24" i="2"/>
  <c r="Z24" i="2"/>
  <c r="AT25" i="2"/>
  <c r="AV24" i="2"/>
  <c r="AJ24" i="2"/>
  <c r="X24" i="2"/>
  <c r="AO36" i="3"/>
  <c r="AN36" i="3"/>
  <c r="AM36" i="3"/>
  <c r="AL36" i="3"/>
  <c r="AC36" i="3"/>
  <c r="AB36" i="3"/>
  <c r="AA36" i="3"/>
  <c r="AR35" i="3"/>
  <c r="AQ35" i="3"/>
  <c r="AP35" i="3"/>
  <c r="AO35" i="3"/>
  <c r="AF35" i="3"/>
  <c r="AE35" i="3"/>
  <c r="AD35" i="3"/>
  <c r="V31" i="3"/>
  <c r="W31" i="3" s="1"/>
  <c r="X31" i="3" s="1"/>
  <c r="Y31" i="3" s="1"/>
  <c r="Z31" i="3" s="1"/>
  <c r="AA31" i="3" s="1"/>
  <c r="AB31" i="3" s="1"/>
  <c r="AC31" i="3" s="1"/>
  <c r="AD31" i="3" s="1"/>
  <c r="AE31" i="3" s="1"/>
  <c r="AF31" i="3" s="1"/>
  <c r="AG31" i="3" s="1"/>
  <c r="AH31" i="3" s="1"/>
  <c r="AI31" i="3" s="1"/>
  <c r="AJ31" i="3" s="1"/>
  <c r="AK31" i="3" s="1"/>
  <c r="AL31" i="3" s="1"/>
  <c r="AM31" i="3" s="1"/>
  <c r="AN31" i="3" s="1"/>
  <c r="AO31" i="3" s="1"/>
  <c r="AP31" i="3" s="1"/>
  <c r="AQ31" i="3" s="1"/>
  <c r="AR31" i="3" s="1"/>
  <c r="AS31" i="3" s="1"/>
  <c r="AT31" i="3" s="1"/>
  <c r="AU31" i="3" s="1"/>
  <c r="AV31" i="3" s="1"/>
  <c r="M31" i="3"/>
  <c r="L31" i="3"/>
  <c r="K31" i="3"/>
  <c r="J31" i="3"/>
  <c r="I31" i="3"/>
  <c r="H31" i="3"/>
  <c r="G31" i="3"/>
  <c r="F31" i="3"/>
  <c r="E31" i="3"/>
  <c r="D31" i="3"/>
  <c r="C31" i="3"/>
  <c r="B31" i="3"/>
  <c r="V30" i="3"/>
  <c r="W30" i="3" s="1"/>
  <c r="X30" i="3" s="1"/>
  <c r="Y30" i="3" s="1"/>
  <c r="Z30" i="3" s="1"/>
  <c r="AA30" i="3" s="1"/>
  <c r="AB30" i="3" s="1"/>
  <c r="AC30" i="3" s="1"/>
  <c r="AD30" i="3" s="1"/>
  <c r="AE30" i="3" s="1"/>
  <c r="AF30" i="3" s="1"/>
  <c r="AG30" i="3" s="1"/>
  <c r="AH30" i="3" s="1"/>
  <c r="AI30" i="3" s="1"/>
  <c r="AJ30" i="3" s="1"/>
  <c r="AK30" i="3" s="1"/>
  <c r="AL30" i="3" s="1"/>
  <c r="AM30" i="3" s="1"/>
  <c r="AN30" i="3" s="1"/>
  <c r="AO30" i="3" s="1"/>
  <c r="AP30" i="3" s="1"/>
  <c r="AQ30" i="3" s="1"/>
  <c r="AR30" i="3" s="1"/>
  <c r="AS30" i="3" s="1"/>
  <c r="AT30" i="3" s="1"/>
  <c r="AU30" i="3" s="1"/>
  <c r="AV30" i="3" s="1"/>
  <c r="M30" i="3"/>
  <c r="L30" i="3"/>
  <c r="K30" i="3"/>
  <c r="J30" i="3"/>
  <c r="I30" i="3"/>
  <c r="H30" i="3"/>
  <c r="G30" i="3"/>
  <c r="F30" i="3"/>
  <c r="E30" i="3"/>
  <c r="D30" i="3"/>
  <c r="C30" i="3"/>
  <c r="B30" i="3"/>
  <c r="R27" i="3"/>
  <c r="S27" i="3" s="1"/>
  <c r="T27" i="3" s="1"/>
  <c r="U27" i="3" s="1"/>
  <c r="M27" i="3"/>
  <c r="L27" i="3"/>
  <c r="K27" i="3"/>
  <c r="J27" i="3"/>
  <c r="I27" i="3"/>
  <c r="H27" i="3"/>
  <c r="G27" i="3"/>
  <c r="F27" i="3"/>
  <c r="E27" i="3"/>
  <c r="D27" i="3"/>
  <c r="C27" i="3"/>
  <c r="B27" i="3"/>
  <c r="R26" i="3"/>
  <c r="S26" i="3" s="1"/>
  <c r="T26" i="3" s="1"/>
  <c r="U26" i="3" s="1"/>
  <c r="M26" i="3"/>
  <c r="L26" i="3"/>
  <c r="K26" i="3"/>
  <c r="J26" i="3"/>
  <c r="I26" i="3"/>
  <c r="H26" i="3"/>
  <c r="G26" i="3"/>
  <c r="F26" i="3"/>
  <c r="E26" i="3"/>
  <c r="D26" i="3"/>
  <c r="C26" i="3"/>
  <c r="B26" i="3"/>
  <c r="I22" i="3"/>
  <c r="AV36" i="3"/>
  <c r="AU36" i="3"/>
  <c r="AT36" i="3"/>
  <c r="AS36" i="3"/>
  <c r="AR36" i="3"/>
  <c r="AQ36" i="3"/>
  <c r="AP36" i="3"/>
  <c r="AK36" i="3"/>
  <c r="AJ36" i="3"/>
  <c r="AI36" i="3"/>
  <c r="AH36" i="3"/>
  <c r="AG36" i="3"/>
  <c r="AF36" i="3"/>
  <c r="AE36" i="3"/>
  <c r="AD36" i="3"/>
  <c r="Z36" i="3"/>
  <c r="Y36" i="3"/>
  <c r="X36" i="3"/>
  <c r="W36" i="3"/>
  <c r="V36" i="3"/>
  <c r="AV35" i="3"/>
  <c r="AU35" i="3"/>
  <c r="AT35" i="3"/>
  <c r="AS35" i="3"/>
  <c r="AN35" i="3"/>
  <c r="AM35" i="3"/>
  <c r="AL35" i="3"/>
  <c r="AK35" i="3"/>
  <c r="AJ35" i="3"/>
  <c r="AI35" i="3"/>
  <c r="AH35" i="3"/>
  <c r="AG35" i="3"/>
  <c r="AC35" i="3"/>
  <c r="AB35" i="3"/>
  <c r="AA35" i="3"/>
  <c r="Z35" i="3"/>
  <c r="Y35" i="3"/>
  <c r="X35" i="3"/>
  <c r="W35" i="3"/>
  <c r="V35" i="3"/>
  <c r="P21" i="2" l="1"/>
  <c r="X20" i="2"/>
  <c r="X21" i="2"/>
  <c r="P20" i="2"/>
  <c r="N31" i="3"/>
  <c r="O31" i="3" s="1"/>
  <c r="P31" i="3" s="1"/>
  <c r="Q31" i="3" s="1"/>
  <c r="R31" i="3" s="1"/>
  <c r="S31" i="3" s="1"/>
  <c r="T31" i="3" s="1"/>
  <c r="U31" i="3" s="1"/>
  <c r="N27" i="3"/>
  <c r="O27" i="3" s="1"/>
  <c r="P27" i="3" s="1"/>
  <c r="Q27" i="3" s="1"/>
  <c r="N30" i="3"/>
  <c r="O30" i="3" s="1"/>
  <c r="P30" i="3" s="1"/>
  <c r="Q30" i="3" s="1"/>
  <c r="R30" i="3" s="1"/>
  <c r="S30" i="3" s="1"/>
  <c r="T30" i="3" s="1"/>
  <c r="U30" i="3" s="1"/>
  <c r="N26" i="3"/>
  <c r="O26" i="3" s="1"/>
  <c r="P26" i="3" s="1"/>
  <c r="Q26" i="3" s="1"/>
  <c r="G17" i="3"/>
  <c r="I23" i="3" s="1"/>
  <c r="Q21" i="2" l="1"/>
  <c r="Y21" i="2"/>
  <c r="Y20" i="2"/>
  <c r="Q20" i="2"/>
  <c r="AV27" i="3"/>
  <c r="V27" i="3" s="1"/>
  <c r="W27" i="3" s="1"/>
  <c r="X27" i="3" s="1"/>
  <c r="Y27" i="3" s="1"/>
  <c r="Z27" i="3" s="1"/>
  <c r="AA27" i="3" s="1"/>
  <c r="AB27" i="3" s="1"/>
  <c r="AC27" i="3" s="1"/>
  <c r="AD27" i="3" s="1"/>
  <c r="AE27" i="3" s="1"/>
  <c r="AF27" i="3" s="1"/>
  <c r="AG27" i="3" s="1"/>
  <c r="AH27" i="3" s="1"/>
  <c r="AI27" i="3" s="1"/>
  <c r="AJ27" i="3" s="1"/>
  <c r="AK27" i="3" s="1"/>
  <c r="AL27" i="3" s="1"/>
  <c r="AM27" i="3" s="1"/>
  <c r="AN27" i="3" s="1"/>
  <c r="AO27" i="3" s="1"/>
  <c r="AP27" i="3" s="1"/>
  <c r="AQ27" i="3" s="1"/>
  <c r="AR27" i="3" s="1"/>
  <c r="AS27" i="3" s="1"/>
  <c r="AT27" i="3" s="1"/>
  <c r="AU27" i="3" s="1"/>
  <c r="AV26" i="3"/>
  <c r="V26" i="3" s="1"/>
  <c r="W26" i="3" s="1"/>
  <c r="X26" i="3" s="1"/>
  <c r="Y26" i="3" s="1"/>
  <c r="Z26" i="3" s="1"/>
  <c r="AA26" i="3" s="1"/>
  <c r="AB26" i="3" s="1"/>
  <c r="AC26" i="3" s="1"/>
  <c r="AD26" i="3" s="1"/>
  <c r="AE26" i="3" s="1"/>
  <c r="AF26" i="3" s="1"/>
  <c r="AG26" i="3" s="1"/>
  <c r="AH26" i="3" s="1"/>
  <c r="AI26" i="3" s="1"/>
  <c r="AJ26" i="3" s="1"/>
  <c r="AK26" i="3" s="1"/>
  <c r="AL26" i="3" s="1"/>
  <c r="AM26" i="3" s="1"/>
  <c r="AN26" i="3" s="1"/>
  <c r="AO26" i="3" s="1"/>
  <c r="AP26" i="3" s="1"/>
  <c r="AQ26" i="3" s="1"/>
  <c r="AR26" i="3" s="1"/>
  <c r="AS26" i="3" s="1"/>
  <c r="AT26" i="3" s="1"/>
  <c r="AU26" i="3" s="1"/>
  <c r="O30" i="1"/>
  <c r="P30" i="1"/>
  <c r="Q30" i="1"/>
  <c r="R30" i="1"/>
  <c r="S30" i="1"/>
  <c r="T30" i="1" s="1"/>
  <c r="U30" i="1" s="1"/>
  <c r="O31" i="1"/>
  <c r="P31" i="1"/>
  <c r="Q31" i="1" s="1"/>
  <c r="R31" i="1" s="1"/>
  <c r="S31" i="1" s="1"/>
  <c r="T31" i="1" s="1"/>
  <c r="U31" i="1" s="1"/>
  <c r="N31" i="1"/>
  <c r="N30" i="1"/>
  <c r="C30" i="1"/>
  <c r="D30" i="1"/>
  <c r="E30" i="1"/>
  <c r="F30" i="1"/>
  <c r="G30" i="1"/>
  <c r="H30" i="1"/>
  <c r="I30" i="1"/>
  <c r="J30" i="1"/>
  <c r="K30" i="1"/>
  <c r="L30" i="1"/>
  <c r="M30" i="1"/>
  <c r="C31" i="1"/>
  <c r="D31" i="1"/>
  <c r="E31" i="1"/>
  <c r="F31" i="1"/>
  <c r="G31" i="1"/>
  <c r="H31" i="1"/>
  <c r="I31" i="1"/>
  <c r="J31" i="1"/>
  <c r="K31" i="1"/>
  <c r="L31" i="1"/>
  <c r="M31" i="1"/>
  <c r="B31" i="1"/>
  <c r="B30" i="1"/>
  <c r="V31" i="1"/>
  <c r="V30" i="1"/>
  <c r="AP35" i="1"/>
  <c r="AB36" i="1"/>
  <c r="V14" i="1"/>
  <c r="V35" i="1" s="1"/>
  <c r="V15" i="1"/>
  <c r="V36" i="1" s="1"/>
  <c r="W14" i="1"/>
  <c r="W35" i="1" s="1"/>
  <c r="X14" i="1"/>
  <c r="X35" i="1" s="1"/>
  <c r="Y14" i="1"/>
  <c r="Y35" i="1" s="1"/>
  <c r="Z14" i="1"/>
  <c r="Z35" i="1" s="1"/>
  <c r="AA14" i="1"/>
  <c r="AA35" i="1" s="1"/>
  <c r="AB14" i="1"/>
  <c r="AB35" i="1" s="1"/>
  <c r="AC14" i="1"/>
  <c r="AC35" i="1" s="1"/>
  <c r="AD14" i="1"/>
  <c r="AD35" i="1" s="1"/>
  <c r="AE14" i="1"/>
  <c r="AE35" i="1" s="1"/>
  <c r="AF14" i="1"/>
  <c r="AF35" i="1" s="1"/>
  <c r="AG14" i="1"/>
  <c r="AG35" i="1" s="1"/>
  <c r="AH14" i="1"/>
  <c r="AH35" i="1" s="1"/>
  <c r="AI14" i="1"/>
  <c r="AI35" i="1" s="1"/>
  <c r="AJ14" i="1"/>
  <c r="AJ35" i="1" s="1"/>
  <c r="AK14" i="1"/>
  <c r="AK35" i="1" s="1"/>
  <c r="AL14" i="1"/>
  <c r="AL35" i="1" s="1"/>
  <c r="AM14" i="1"/>
  <c r="AM35" i="1" s="1"/>
  <c r="AN14" i="1"/>
  <c r="AN35" i="1" s="1"/>
  <c r="AO14" i="1"/>
  <c r="AO35" i="1" s="1"/>
  <c r="AP14" i="1"/>
  <c r="AQ14" i="1"/>
  <c r="AQ35" i="1" s="1"/>
  <c r="AR14" i="1"/>
  <c r="AR35" i="1" s="1"/>
  <c r="AS14" i="1"/>
  <c r="AS35" i="1" s="1"/>
  <c r="AT14" i="1"/>
  <c r="AT35" i="1" s="1"/>
  <c r="AU14" i="1"/>
  <c r="AU35" i="1" s="1"/>
  <c r="AV14" i="1"/>
  <c r="AV35" i="1" s="1"/>
  <c r="W15" i="1"/>
  <c r="W36" i="1" s="1"/>
  <c r="X15" i="1"/>
  <c r="X36" i="1" s="1"/>
  <c r="Y15" i="1"/>
  <c r="Y36" i="1" s="1"/>
  <c r="Z15" i="1"/>
  <c r="Z36" i="1" s="1"/>
  <c r="AA15" i="1"/>
  <c r="AA36" i="1" s="1"/>
  <c r="AB15" i="1"/>
  <c r="AC15" i="1"/>
  <c r="AC36" i="1" s="1"/>
  <c r="AD15" i="1"/>
  <c r="AD36" i="1" s="1"/>
  <c r="AE15" i="1"/>
  <c r="AE36" i="1" s="1"/>
  <c r="AF15" i="1"/>
  <c r="AF36" i="1" s="1"/>
  <c r="AG15" i="1"/>
  <c r="AG36" i="1" s="1"/>
  <c r="AH15" i="1"/>
  <c r="AH36" i="1" s="1"/>
  <c r="AI15" i="1"/>
  <c r="AI36" i="1" s="1"/>
  <c r="AJ15" i="1"/>
  <c r="AJ36" i="1" s="1"/>
  <c r="AK15" i="1"/>
  <c r="AK36" i="1" s="1"/>
  <c r="AL15" i="1"/>
  <c r="AL36" i="1" s="1"/>
  <c r="AM15" i="1"/>
  <c r="AM36" i="1" s="1"/>
  <c r="AN15" i="1"/>
  <c r="AN36" i="1" s="1"/>
  <c r="AO15" i="1"/>
  <c r="AO36" i="1" s="1"/>
  <c r="AP15" i="1"/>
  <c r="AP36" i="1" s="1"/>
  <c r="AQ15" i="1"/>
  <c r="AQ36" i="1" s="1"/>
  <c r="AR15" i="1"/>
  <c r="AR36" i="1" s="1"/>
  <c r="AS15" i="1"/>
  <c r="AS36" i="1" s="1"/>
  <c r="AT15" i="1"/>
  <c r="AT36" i="1" s="1"/>
  <c r="AU15" i="1"/>
  <c r="AU36" i="1" s="1"/>
  <c r="AV15" i="1"/>
  <c r="AV36" i="1" s="1"/>
  <c r="C26" i="1"/>
  <c r="D26" i="1"/>
  <c r="E26" i="1"/>
  <c r="F26" i="1"/>
  <c r="G26" i="1"/>
  <c r="H26" i="1"/>
  <c r="I26" i="1"/>
  <c r="J26" i="1"/>
  <c r="K26" i="1"/>
  <c r="L26" i="1"/>
  <c r="M26" i="1"/>
  <c r="C27" i="1"/>
  <c r="D27" i="1"/>
  <c r="E27" i="1"/>
  <c r="F27" i="1"/>
  <c r="G27" i="1"/>
  <c r="H27" i="1"/>
  <c r="I27" i="1"/>
  <c r="J27" i="1"/>
  <c r="K27" i="1"/>
  <c r="L27" i="1"/>
  <c r="M27" i="1"/>
  <c r="R27" i="1" s="1"/>
  <c r="B27" i="1"/>
  <c r="B26" i="1"/>
  <c r="I22" i="1"/>
  <c r="G18" i="1"/>
  <c r="R21" i="2" l="1"/>
  <c r="Z20" i="2"/>
  <c r="Z21" i="2"/>
  <c r="R20" i="2"/>
  <c r="S27" i="1"/>
  <c r="R26" i="1"/>
  <c r="N26" i="1" s="1"/>
  <c r="N27" i="1"/>
  <c r="G17" i="1"/>
  <c r="I23" i="1" s="1"/>
  <c r="W31" i="1"/>
  <c r="S21" i="2" l="1"/>
  <c r="AA21" i="2"/>
  <c r="AA20" i="2"/>
  <c r="S20" i="2"/>
  <c r="O26" i="1"/>
  <c r="O27" i="1"/>
  <c r="S26" i="1"/>
  <c r="T27" i="1"/>
  <c r="W30" i="1"/>
  <c r="X31" i="1"/>
  <c r="T21" i="2" l="1"/>
  <c r="AB20" i="2"/>
  <c r="AB21" i="2"/>
  <c r="T20" i="2"/>
  <c r="U27" i="1"/>
  <c r="T26" i="1"/>
  <c r="P27" i="1"/>
  <c r="P26" i="1"/>
  <c r="X30" i="1"/>
  <c r="Y31" i="1"/>
  <c r="U21" i="2" l="1"/>
  <c r="AC21" i="2"/>
  <c r="AC20" i="2"/>
  <c r="U20" i="2"/>
  <c r="Q27" i="1"/>
  <c r="Q26" i="1"/>
  <c r="U26" i="1"/>
  <c r="AV27" i="1"/>
  <c r="Y30" i="1"/>
  <c r="Z31" i="1"/>
  <c r="AD20" i="2" l="1"/>
  <c r="AD21" i="2"/>
  <c r="AV26" i="1"/>
  <c r="V27" i="1"/>
  <c r="Z30" i="1"/>
  <c r="AA31" i="1"/>
  <c r="AE21" i="2" l="1"/>
  <c r="AE20" i="2"/>
  <c r="W27" i="1"/>
  <c r="V26" i="1"/>
  <c r="AB31" i="1"/>
  <c r="AA30" i="1"/>
  <c r="AF20" i="2" l="1"/>
  <c r="AF21" i="2"/>
  <c r="X27" i="1"/>
  <c r="W26" i="1"/>
  <c r="AB30" i="1"/>
  <c r="AC31" i="1"/>
  <c r="AG21" i="2" l="1"/>
  <c r="AG20" i="2"/>
  <c r="Y27" i="1"/>
  <c r="X26" i="1"/>
  <c r="AD31" i="1"/>
  <c r="AC30" i="1"/>
  <c r="AH20" i="2" l="1"/>
  <c r="AH21" i="2"/>
  <c r="Y26" i="1"/>
  <c r="Z27" i="1"/>
  <c r="AD30" i="1"/>
  <c r="AE31" i="1"/>
  <c r="AI21" i="2" l="1"/>
  <c r="AI20" i="2"/>
  <c r="AA27" i="1"/>
  <c r="Z26" i="1"/>
  <c r="AF31" i="1"/>
  <c r="AE30" i="1"/>
  <c r="AJ20" i="2" l="1"/>
  <c r="AJ21" i="2"/>
  <c r="AA26" i="1"/>
  <c r="AB27" i="1"/>
  <c r="AF30" i="1"/>
  <c r="AG31" i="1"/>
  <c r="AK21" i="2" l="1"/>
  <c r="AK20" i="2"/>
  <c r="AC27" i="1"/>
  <c r="AB26" i="1"/>
  <c r="AH31" i="1"/>
  <c r="AG30" i="1"/>
  <c r="AL21" i="2" l="1"/>
  <c r="AL20" i="2"/>
  <c r="AC26" i="1"/>
  <c r="AD27" i="1"/>
  <c r="AH30" i="1"/>
  <c r="AI31" i="1"/>
  <c r="AM20" i="2" l="1"/>
  <c r="AM21" i="2"/>
  <c r="AE27" i="1"/>
  <c r="AD26" i="1"/>
  <c r="AJ31" i="1"/>
  <c r="AI30" i="1"/>
  <c r="AN21" i="2" l="1"/>
  <c r="AN20" i="2"/>
  <c r="AE26" i="1"/>
  <c r="AF27" i="1"/>
  <c r="AJ30" i="1"/>
  <c r="AK31" i="1"/>
  <c r="AO20" i="2" l="1"/>
  <c r="AO21" i="2"/>
  <c r="AG27" i="1"/>
  <c r="AF26" i="1"/>
  <c r="AL31" i="1"/>
  <c r="AK30" i="1"/>
  <c r="AP21" i="2" l="1"/>
  <c r="AP20" i="2"/>
  <c r="AG26" i="1"/>
  <c r="AH27" i="1"/>
  <c r="AL30" i="1"/>
  <c r="AM31" i="1"/>
  <c r="AQ20" i="2" l="1"/>
  <c r="AQ21" i="2"/>
  <c r="AI27" i="1"/>
  <c r="AH26" i="1"/>
  <c r="AN31" i="1"/>
  <c r="AM30" i="1"/>
  <c r="AR21" i="2" l="1"/>
  <c r="AR20" i="2"/>
  <c r="AI26" i="1"/>
  <c r="AJ27" i="1"/>
  <c r="AN30" i="1"/>
  <c r="AO31" i="1"/>
  <c r="AS20" i="2" l="1"/>
  <c r="AS21" i="2"/>
  <c r="AK27" i="1"/>
  <c r="AJ26" i="1"/>
  <c r="AP31" i="1"/>
  <c r="AO30" i="1"/>
  <c r="AT21" i="2" l="1"/>
  <c r="AT20" i="2"/>
  <c r="AK26" i="1"/>
  <c r="AL27" i="1"/>
  <c r="AP30" i="1"/>
  <c r="AQ31" i="1"/>
  <c r="AU20" i="2" l="1"/>
  <c r="AU21" i="2"/>
  <c r="AM27" i="1"/>
  <c r="AL26" i="1"/>
  <c r="AR31" i="1"/>
  <c r="AQ30" i="1"/>
  <c r="AV21" i="2" l="1"/>
  <c r="AV20" i="2"/>
  <c r="AM26" i="1"/>
  <c r="AN27" i="1"/>
  <c r="AR30" i="1"/>
  <c r="AS31" i="1"/>
  <c r="AO27" i="1" l="1"/>
  <c r="AN26" i="1"/>
  <c r="AT31" i="1"/>
  <c r="AS30" i="1"/>
  <c r="AO26" i="1" l="1"/>
  <c r="AP27" i="1"/>
  <c r="AT30" i="1"/>
  <c r="AU31" i="1"/>
  <c r="AQ27" i="1" l="1"/>
  <c r="AP26" i="1"/>
  <c r="AV31" i="1"/>
  <c r="AU30" i="1"/>
  <c r="AQ26" i="1" l="1"/>
  <c r="AR27" i="1"/>
  <c r="AV30" i="1"/>
  <c r="AS27" i="1" l="1"/>
  <c r="AR26" i="1"/>
  <c r="AS26" i="1" l="1"/>
  <c r="AT27" i="1"/>
  <c r="AU27" i="1" l="1"/>
  <c r="AT26" i="1"/>
  <c r="AU2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U14" authorId="0" shapeId="0" xr:uid="{82924EC7-0539-4C26-8864-660460043008}">
      <text>
        <r>
          <rPr>
            <b/>
            <sz val="9"/>
            <color indexed="81"/>
            <rFont val="Tahoma"/>
            <family val="2"/>
          </rPr>
          <t>MONSERAND Alma:</t>
        </r>
        <r>
          <rPr>
            <sz val="9"/>
            <color indexed="81"/>
            <rFont val="Tahoma"/>
            <family val="2"/>
          </rPr>
          <t xml:space="preserve">
Cellules utilisées pour la répartition public/privé, c'est un peu arbitraire mais la part du privé est plutôt stable : 79% en 2004, 82% en 2023 d'après ces séries</t>
        </r>
      </text>
    </comment>
    <comment ref="V14" authorId="0" shapeId="0" xr:uid="{33D554C8-E331-436D-8EC0-EDD1BF52E62D}">
      <text>
        <r>
          <rPr>
            <b/>
            <sz val="9"/>
            <color indexed="81"/>
            <rFont val="Tahoma"/>
            <charset val="1"/>
          </rPr>
          <t>MONSERAND Alma:</t>
        </r>
        <r>
          <rPr>
            <sz val="9"/>
            <color indexed="81"/>
            <rFont val="Tahoma"/>
            <charset val="1"/>
          </rPr>
          <t xml:space="preserve">
comme la série I4CE est du M€2022 je divise par PGDP 2022 qui vaut 1.35 pour avoir des M€2006, qui seront ensuite multipliés par des prix dans le modèle</t>
        </r>
      </text>
    </comment>
    <comment ref="V16" authorId="0" shapeId="0" xr:uid="{0228BB6E-D0A5-4F15-A160-B86CEA58B66D}">
      <text>
        <r>
          <rPr>
            <b/>
            <sz val="9"/>
            <color indexed="81"/>
            <rFont val="Tahoma"/>
            <family val="2"/>
          </rPr>
          <t>MONSERAND Alma:</t>
        </r>
        <r>
          <rPr>
            <sz val="9"/>
            <color indexed="81"/>
            <rFont val="Tahoma"/>
            <family val="2"/>
          </rPr>
          <t xml:space="preserve">
Série copiée-collée du fichier d'I4CE pour l'AMS 2023, car leur fichier est trop large on ne peut pas faire de lien de cellules avec</t>
        </r>
      </text>
    </comment>
    <comment ref="G17" authorId="0" shapeId="0" xr:uid="{7D2DF5DF-6E6C-4F36-A9C7-B99CB90EC756}">
      <text>
        <r>
          <rPr>
            <b/>
            <sz val="9"/>
            <color indexed="81"/>
            <rFont val="Tahoma"/>
            <family val="2"/>
          </rPr>
          <t>MONSERAND Alma:</t>
        </r>
        <r>
          <rPr>
            <sz val="9"/>
            <color indexed="81"/>
            <rFont val="Tahoma"/>
            <family val="2"/>
          </rPr>
          <t xml:space="preserve">
il me semble que les montants d'I4CE sont des € constants, pour le calcul de la règle de 3 c'est bon car les 5 Mds/an sont aussi en constant (je pense)
pas besoin d'ajouter l'inflation dans les séries exogènes qu'on fabrique car I_MDE est un volume</t>
        </r>
      </text>
    </comment>
    <comment ref="G18" authorId="0" shapeId="0" xr:uid="{1E355E09-21ED-4D1C-ACA0-CCB2C383CBB0}">
      <text>
        <r>
          <rPr>
            <b/>
            <sz val="9"/>
            <color indexed="81"/>
            <rFont val="Tahoma"/>
            <family val="2"/>
          </rPr>
          <t>MONSERAND Alma:</t>
        </r>
        <r>
          <rPr>
            <sz val="9"/>
            <color indexed="81"/>
            <rFont val="Tahoma"/>
            <family val="2"/>
          </rPr>
          <t xml:space="preserve">
Provient de la ligne 229 du fichier d'I4CE</t>
        </r>
      </text>
    </comment>
    <comment ref="B20" authorId="0" shapeId="0" xr:uid="{70DF251D-C05B-425B-AD9B-071D685194B0}">
      <text>
        <r>
          <rPr>
            <b/>
            <sz val="9"/>
            <color indexed="81"/>
            <rFont val="Tahoma"/>
            <family val="2"/>
          </rPr>
          <t>MONSERAND Alma:</t>
        </r>
        <r>
          <rPr>
            <sz val="9"/>
            <color indexed="81"/>
            <rFont val="Tahoma"/>
            <family val="2"/>
          </rPr>
          <t xml:space="preserve">
La règle de 3 est effectuée sur des €2022 du fichier d'I4CE : leur série lissée pour l'AMS, et une série constante à 5Mds €2022 à partir de 2024 dans l'AME (cette hypothèse pour l'AME vient de nous car la DGEC n'a rien et I4CE non plus, faute de mieux on laisse constant)
En revanche les séries injectées dans les simulations sont ramenées à des €2006 car les I_MDE sont des volumes donc ils sont ensuite multipliés par des prix endogènes dans le modèle. Lignes 30-31 et 35-36 de ce fichier.</t>
        </r>
      </text>
    </comment>
    <comment ref="I22" authorId="0" shapeId="0" xr:uid="{6A50DB1A-7B20-473C-B320-B6137D7D9E21}">
      <text>
        <r>
          <rPr>
            <b/>
            <sz val="9"/>
            <color indexed="81"/>
            <rFont val="Tahoma"/>
            <family val="2"/>
          </rPr>
          <t>MONSERAND Alma:</t>
        </r>
        <r>
          <rPr>
            <sz val="9"/>
            <color indexed="81"/>
            <rFont val="Tahoma"/>
            <family val="2"/>
          </rPr>
          <t xml:space="preserve">
Autre option : on pourrait faire croître ces investissements de 1.3%/an (taux croiss tendanciel de l'économie) mais on aurait peut-être assez peu d'écart AME-AMS et visiblement les investissements n'ont pas cru entre 2015 et 2020 malgré une croissance de l'économie française</t>
        </r>
      </text>
    </comment>
    <comment ref="A26" authorId="0" shapeId="0" xr:uid="{F283401D-F9F4-4E49-8670-C1C78F317F2F}">
      <text>
        <r>
          <rPr>
            <b/>
            <sz val="9"/>
            <color indexed="81"/>
            <rFont val="Tahoma"/>
            <family val="2"/>
          </rPr>
          <t>MONSERAND Alma:</t>
        </r>
        <r>
          <rPr>
            <sz val="9"/>
            <color indexed="81"/>
            <rFont val="Tahoma"/>
            <family val="2"/>
          </rPr>
          <t xml:space="preserve">
2004-2015 : repris de E_oth_n_19 d'une simulation passée
2016-2023 : évolution exogène pour atteindre cible 2020
2020-2023 : on laisse constant car de toute façon le bilan cible évolue très peu entre 2020 et 2025
2024-2050 : on applique la baisse calculée par la règle de 3</t>
        </r>
      </text>
    </comment>
    <comment ref="A30" authorId="0" shapeId="0" xr:uid="{2F79ED95-712D-491F-9D4E-539FCE7515B9}">
      <text>
        <r>
          <rPr>
            <b/>
            <sz val="9"/>
            <color indexed="81"/>
            <rFont val="Tahoma"/>
            <charset val="1"/>
          </rPr>
          <t>MONSERAND Alma:</t>
        </r>
        <r>
          <rPr>
            <sz val="9"/>
            <color indexed="81"/>
            <rFont val="Tahoma"/>
            <charset val="1"/>
          </rPr>
          <t xml:space="preserve">
on met 5 Mds en 2024 et pour après 2024 on laisse à 5 Mds.  (cette hypothèse pour l'AME vient de nous car la DGEC n'a rien et I4CE non plus, faute de mieux on laisse constant)
Comme les I_MDE sont des volumes, on doit traduire les 5Mds €2022 en volumes (i.e. €2006) en divisant par PGDP 2006
on utilise les séries I_MDE_n de 2004 à 2015 pour qu'au moment de l'exogénisation (en 2016) le dlog(I_MDE_exo) prenne la bonne différence en compte pour arriver effectivement au montant qu'on souhaite en 2024. 
Pour la période 2016-2023 on met une croissance linéaire. </t>
        </r>
      </text>
    </comment>
    <comment ref="V30" authorId="0" shapeId="0" xr:uid="{919BCE81-CA16-4AE7-9F9D-FC3943B6C96C}">
      <text>
        <r>
          <rPr>
            <b/>
            <sz val="9"/>
            <color indexed="81"/>
            <rFont val="Tahoma"/>
            <charset val="1"/>
          </rPr>
          <t>MONSERAND Alma:</t>
        </r>
        <r>
          <rPr>
            <sz val="9"/>
            <color indexed="81"/>
            <rFont val="Tahoma"/>
            <charset val="1"/>
          </rPr>
          <t xml:space="preserve">
on traduit les 5Mds €2022 en volumes (i.e. €2006) en divisant par PGDP 2022</t>
        </r>
      </text>
    </comment>
    <comment ref="A33" authorId="0" shapeId="0" xr:uid="{145B52BA-7052-41DC-BE27-3A69D1165159}">
      <text>
        <r>
          <rPr>
            <b/>
            <sz val="9"/>
            <color indexed="81"/>
            <rFont val="Tahoma"/>
            <family val="2"/>
          </rPr>
          <t>MONSERAND Alma:</t>
        </r>
        <r>
          <rPr>
            <sz val="9"/>
            <color indexed="81"/>
            <rFont val="Tahoma"/>
            <family val="2"/>
          </rPr>
          <t xml:space="preserve">
Les chiffres d'I4CE sont en €2022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U14" authorId="0" shapeId="0" xr:uid="{2E46120A-37AC-41B1-8827-1AA10A75B572}">
      <text>
        <r>
          <rPr>
            <b/>
            <sz val="9"/>
            <color indexed="81"/>
            <rFont val="Tahoma"/>
            <family val="2"/>
          </rPr>
          <t>MONSERAND Alma:</t>
        </r>
        <r>
          <rPr>
            <sz val="9"/>
            <color indexed="81"/>
            <rFont val="Tahoma"/>
            <family val="2"/>
          </rPr>
          <t xml:space="preserve">
Cellules utilisées pour la répartition public/privé, c'est un peu arbitraire mais la part du privé est plutôt stable : 79% en 2004, 82% en 2023 d'après ces séries</t>
        </r>
      </text>
    </comment>
    <comment ref="V14" authorId="0" shapeId="0" xr:uid="{3626285B-187B-4C79-AA68-41DAEE88DCB0}">
      <text>
        <r>
          <rPr>
            <b/>
            <sz val="9"/>
            <color indexed="81"/>
            <rFont val="Tahoma"/>
            <charset val="1"/>
          </rPr>
          <t>MONSERAND Alma:</t>
        </r>
        <r>
          <rPr>
            <sz val="9"/>
            <color indexed="81"/>
            <rFont val="Tahoma"/>
            <charset val="1"/>
          </rPr>
          <t xml:space="preserve">
Même méthode qu'en feuille 1 : on répartit le total estimé par I4CE selon public et privé à partir de la répartition historique observée, et on divise par PGDP2022 car les séries I4CE sont en €2022, pour avoir des volumes I_MDE en €2006 qui seront multipliés dans le modèle par des PIA_13_19</t>
        </r>
      </text>
    </comment>
    <comment ref="G17" authorId="0" shapeId="0" xr:uid="{B0D47FEC-5EBD-4859-9F16-58223D0CCB37}">
      <text>
        <r>
          <rPr>
            <b/>
            <sz val="9"/>
            <color indexed="81"/>
            <rFont val="Tahoma"/>
            <family val="2"/>
          </rPr>
          <t>MONSERAND Alma:</t>
        </r>
        <r>
          <rPr>
            <sz val="9"/>
            <color indexed="81"/>
            <rFont val="Tahoma"/>
            <family val="2"/>
          </rPr>
          <t xml:space="preserve">
il me semble que les montants d'I4CE sont des € constants, pour le calcul de la règle de 3 c'est bon car les 5 Mds/an sont aussi en constant (je pense)
pas besoin d'ajouter l'inflation dans les séries exogènes qu'on fabrique car I_MDE est un volume</t>
        </r>
      </text>
    </comment>
    <comment ref="G18" authorId="0" shapeId="0" xr:uid="{4F1E45ED-F56D-4307-B5DF-144A4636ECE4}">
      <text>
        <r>
          <rPr>
            <b/>
            <sz val="9"/>
            <color indexed="81"/>
            <rFont val="Tahoma"/>
            <family val="2"/>
          </rPr>
          <t>MONSERAND Alma:</t>
        </r>
        <r>
          <rPr>
            <sz val="9"/>
            <color indexed="81"/>
            <rFont val="Tahoma"/>
            <family val="2"/>
          </rPr>
          <t xml:space="preserve">
Provient de la ligne 229 du fichier d'I4CE
Le 86 vient de leur fichier run2 (car pas renseigné en 2024 dans fichier run3) et le 43.6 vient du fichier run3 ("Besoins rénovation tertiaire_2025 DGEC")
Je comprends pas pourquoi I4CE estime une baisse de conso de 49% alors que les bilans cibles de la DGEC c'est une constance de la conso du tertiaire à environ 20 TWh de 2020 à 2050... La rénovation selon la DGEC empêcherait seulement d'augmenter la conso due à la croissance du secteur ?</t>
        </r>
      </text>
    </comment>
    <comment ref="B20" authorId="0" shapeId="0" xr:uid="{55A2C723-21A0-4C73-B886-1FBD5A0D5D09}">
      <text>
        <r>
          <rPr>
            <b/>
            <sz val="9"/>
            <color indexed="81"/>
            <rFont val="Tahoma"/>
            <family val="2"/>
          </rPr>
          <t>MONSERAND Alma:</t>
        </r>
        <r>
          <rPr>
            <sz val="9"/>
            <color indexed="81"/>
            <rFont val="Tahoma"/>
            <family val="2"/>
          </rPr>
          <t xml:space="preserve">
La règle de 3 est effectuée sur des €2022 du fichier d'I4CE : leur série lissée pour l'AMS, et une série constante à 5Mds €2022 à partir de 2024 dans l'AME (cette hypothèse pour l'AME vient de nous car la DGEC n'a rien et I4CE non plus, faute de mieux on laisse constant)
En revanche les séries injectées dans les simulations sont ramenées à des €2006 car les I_MDE sont des volumes donc ils sont ensuite multipliés par des prix endogènes dans le modèle. Lignes 30-31 et 35-36 de ce fichier.</t>
        </r>
      </text>
    </comment>
    <comment ref="I22" authorId="0" shapeId="0" xr:uid="{9CF39E76-0A52-4681-9912-0D020A5B1F0B}">
      <text>
        <r>
          <rPr>
            <b/>
            <sz val="9"/>
            <color indexed="81"/>
            <rFont val="Tahoma"/>
            <family val="2"/>
          </rPr>
          <t>MONSERAND Alma:</t>
        </r>
        <r>
          <rPr>
            <sz val="9"/>
            <color indexed="81"/>
            <rFont val="Tahoma"/>
            <family val="2"/>
          </rPr>
          <t xml:space="preserve">
Autre option : on pourrait faire croître ces investissements de 1.3%/an (taux croiss tendanciel de l'économie) mais on aurait peut-être assez peu d'écart AME-AMS et visiblement les investissements n'ont pas cru entre 2015 et 2020 malgré une croissance de l'économie française</t>
        </r>
      </text>
    </comment>
    <comment ref="A26" authorId="0" shapeId="0" xr:uid="{3E38C60D-887C-4B49-A87B-0DFAACF24D84}">
      <text>
        <r>
          <rPr>
            <b/>
            <sz val="9"/>
            <color indexed="81"/>
            <rFont val="Tahoma"/>
            <family val="2"/>
          </rPr>
          <t>MONSERAND Alma:</t>
        </r>
        <r>
          <rPr>
            <sz val="9"/>
            <color indexed="81"/>
            <rFont val="Tahoma"/>
            <family val="2"/>
          </rPr>
          <t xml:space="preserve">
2004-2015 : repris de E_oth_n_19 d'une simulation passée
2016-2023 : évolution exogène pour atteindre cible 2020
2020-2023 : on laisse constant car de toute façon le bilan cible évolue très peu entre 2020 et 2025
2024-2050 : on applique la baisse calculée par la règle de 3</t>
        </r>
      </text>
    </comment>
    <comment ref="A30" authorId="0" shapeId="0" xr:uid="{B8B527EF-8AB3-4E11-8129-43B56109B4E8}">
      <text>
        <r>
          <rPr>
            <b/>
            <sz val="9"/>
            <color indexed="81"/>
            <rFont val="Tahoma"/>
            <charset val="1"/>
          </rPr>
          <t>MONSERAND Alma:</t>
        </r>
        <r>
          <rPr>
            <sz val="9"/>
            <color indexed="81"/>
            <rFont val="Tahoma"/>
            <charset val="1"/>
          </rPr>
          <t xml:space="preserve">
on met 5 Mds en 2024 et pour après 2024 on laisse à 5 Mds.  (cette hypothèse pour l'AME vient de nous car la DGEC n'a rien et I4CE non plus, faute de mieux on laisse constant)
Comme les I_MDE sont des volumes, on doit traduire les 5Mds €2022 en volumes (i.e. €2006) en divisant par PGDP 2006
on utilise les séries I_MDE_n de 2004 à 2015 pour qu'au moment de l'exogénisation (en 2016) le dlog(I_MDE_exo) prenne la bonne différence en compte pour arriver effectivement au montant qu'on souhaite en 2024. 
Pour la période 2016-2023 on met une croissance linéaire. </t>
        </r>
      </text>
    </comment>
    <comment ref="V30" authorId="0" shapeId="0" xr:uid="{3E1EBABA-E73E-4F84-9314-96F281AA11EF}">
      <text>
        <r>
          <rPr>
            <b/>
            <sz val="9"/>
            <color indexed="81"/>
            <rFont val="Tahoma"/>
            <charset val="1"/>
          </rPr>
          <t>MONSERAND Alma:</t>
        </r>
        <r>
          <rPr>
            <sz val="9"/>
            <color indexed="81"/>
            <rFont val="Tahoma"/>
            <charset val="1"/>
          </rPr>
          <t xml:space="preserve">
on traduit les 5Mds €2022 en volumes (i.e. €2006) en divisant par PGDP 2006</t>
        </r>
      </text>
    </comment>
    <comment ref="A33" authorId="0" shapeId="0" xr:uid="{507A905D-462D-4CA5-BBCC-B7CAD2E44FA1}">
      <text>
        <r>
          <rPr>
            <b/>
            <sz val="9"/>
            <color indexed="81"/>
            <rFont val="Tahoma"/>
            <family val="2"/>
          </rPr>
          <t>MONSERAND Alma:</t>
        </r>
        <r>
          <rPr>
            <sz val="9"/>
            <color indexed="81"/>
            <rFont val="Tahoma"/>
            <family val="2"/>
          </rPr>
          <t xml:space="preserve">
Les chiffres d'I4CE sont en €2022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20" authorId="0" shapeId="0" xr:uid="{5CA6AEA2-EDE8-4C4F-983F-0AB7ED8A80F7}">
      <text>
        <r>
          <rPr>
            <b/>
            <sz val="9"/>
            <color indexed="81"/>
            <rFont val="Tahoma"/>
            <charset val="1"/>
          </rPr>
          <t>MONSERAND Alma:</t>
        </r>
        <r>
          <rPr>
            <sz val="9"/>
            <color indexed="81"/>
            <rFont val="Tahoma"/>
            <charset val="1"/>
          </rPr>
          <t xml:space="preserve">
on met 5 Mds en 2024 et pour après 2024 on laisse à 5 Mds.  (cette hypothèse pour l'AME vient de nous car la DGEC n'a rien et I4CE non plus, faute de mieux on laisse constant)
Comme les I_MDE sont des volumes, on doit traduire les 5Mds €2022 en volumes (i.e. €2006) en divisant par PGDP 2022
[obsolète] on utilise les séries I_MDE_n de 2004 à 2015 pour qu'au moment de l'exogénisation (en 2016) le dlog(I_MDE_exo) prenne la bonne différence en compte pour arriver effectivement au montant qu'on souhaite en 2024. 
Pour la période 2016-2023 on met une croissance linéaire. </t>
        </r>
      </text>
    </comment>
    <comment ref="V20" authorId="0" shapeId="0" xr:uid="{553F6A21-AC9A-4254-9F63-FE5E1B257CBB}">
      <text>
        <r>
          <rPr>
            <b/>
            <sz val="9"/>
            <color indexed="81"/>
            <rFont val="Tahoma"/>
            <charset val="1"/>
          </rPr>
          <t>MONSERAND Alma:</t>
        </r>
        <r>
          <rPr>
            <sz val="9"/>
            <color indexed="81"/>
            <rFont val="Tahoma"/>
            <charset val="1"/>
          </rPr>
          <t xml:space="preserve">
on traduit les 5Mds €2022 en volumes (i.e. €2006) en divisant par PGDP 2022</t>
        </r>
      </text>
    </comment>
    <comment ref="V24" authorId="0" shapeId="0" xr:uid="{60348ACC-6BBC-471B-94B2-FEF44359D7E6}">
      <text>
        <r>
          <rPr>
            <b/>
            <sz val="9"/>
            <color indexed="81"/>
            <rFont val="Tahoma"/>
            <charset val="1"/>
          </rPr>
          <t>MONSERAND Alma:</t>
        </r>
        <r>
          <rPr>
            <sz val="9"/>
            <color indexed="81"/>
            <rFont val="Tahoma"/>
            <charset val="1"/>
          </rPr>
          <t xml:space="preserve">
Même méthode qu'en feuille 1 : on répartit le total estimé par I4CE selon public et privé à partir de la répartition historique observée, et on divise par PGDP2022 car les séries I4CE sont en €2022, pour avoir des volumes I_MDE en €2006 qui seront multipliés dans le modèle par des PIA_13_19</t>
        </r>
      </text>
    </comment>
    <comment ref="N36" authorId="0" shapeId="0" xr:uid="{8A78DE8A-3EBC-4081-9461-98524EFA4AF6}">
      <text>
        <r>
          <rPr>
            <b/>
            <sz val="9"/>
            <color indexed="81"/>
            <rFont val="Tahoma"/>
            <charset val="1"/>
          </rPr>
          <t>MONSERAND Alma:</t>
        </r>
        <r>
          <rPr>
            <sz val="9"/>
            <color indexed="81"/>
            <rFont val="Tahoma"/>
            <charset val="1"/>
          </rPr>
          <t xml:space="preserve">
E_oth_n_19 n'évolue pas comme Q_mtep_sec_19 car les parts phi_E_oth[ce,ster] ne sont pas constantes. Donc on aurait dû construire des séries exogènes Q_mtep_sec_19_exo plutôt que des E_oth_exo_19. Mais comme la simulation actuelle (03/06/25, rendu de l'évaluation SNBC3 très proche) donne des Q_mtep proches des cibles pour le tertiaire, autant ne pas tout changer maintenant. 
On laisse donc les anciennes séries E_oth_exo, qui donnent ce résultat satisfaisant, plutôt que celles que j'avais recalculées sur la base des bilans énergétiques cibles hors chaleur de l'environnement des PAC dans reporting 1 et 2 (colonne supplémentaire dans les onglets T énergie usages)</t>
        </r>
      </text>
    </comment>
  </commentList>
</comments>
</file>

<file path=xl/sharedStrings.xml><?xml version="1.0" encoding="utf-8"?>
<sst xmlns="http://schemas.openxmlformats.org/spreadsheetml/2006/main" count="105" uniqueCount="56">
  <si>
    <t>E_OTH_N_19_2</t>
  </si>
  <si>
    <t>E_OTH_N_20_2</t>
  </si>
  <si>
    <t>I_MDE_exo_19</t>
  </si>
  <si>
    <t>I_MDE_exo_20</t>
  </si>
  <si>
    <t>somme cumulée des investissements EE tertiaire 2024-2050 :</t>
  </si>
  <si>
    <t>pour une baisse de consommation d'énergie de :</t>
  </si>
  <si>
    <t>ci-dessous : extrait de SCEN_AMS2 dans lequel, à partir de 2024, on a les séries d'I4CE (fichier 23-12-07, ligne 764), version lissée, que l'on a répartie entre 19 et 20 avec le même ratio que ce qui apparaissait dans la série pour 2023.</t>
  </si>
  <si>
    <t xml:space="preserve">règle de 3 : </t>
  </si>
  <si>
    <t>les investissements en EE du tertiaire sont constants à 5 Mds€ sur l'historique 2015-2020 (fichier I4CE ligne 764)</t>
  </si>
  <si>
    <t>M€</t>
  </si>
  <si>
    <t>on obtiendrait une baisse de conso d'énergie en AME de :</t>
  </si>
  <si>
    <t>ce qui représenterait en cumulé sur 2024-2050, s'ils restaient à 5 Mds/an en AME :</t>
  </si>
  <si>
    <t>donc les séries de E_oth_exo_19 et 20 pour SAM_FRA_AME seraient constituées comme ceci :</t>
  </si>
  <si>
    <t>E_oth_exo_19</t>
  </si>
  <si>
    <t>E_oth_exo_20</t>
  </si>
  <si>
    <t>pour AMS, on prend les mêmes séries qu'AME jusqu'en 2023, puis les séries I4CE pour I_MDE et une baisse de 36% pour les E_oth_exo mais avec point de passage en 2030, basé sur fichier I4CE ligne 229</t>
  </si>
  <si>
    <t>les chroniques sur 2004-2023 de ce SCEN_AMS2 étaient tirées d'un SAM_FRA_AME avant modifications des 13-14/12/2023 : ='https://ademecloud-my.sharepoint.com/Users\callonnecg\Documents\Github\ThreeME\data\calibrations\[SAM_FRA_AME.xls]exo_realistic_1'!V309</t>
  </si>
  <si>
    <t>série I4CE version lissée (ligne 764), M€2022 :</t>
  </si>
  <si>
    <t>P_GDP_0 en 2022 :</t>
  </si>
  <si>
    <t>I_MDE_N_19_0</t>
  </si>
  <si>
    <t>I_MDE_N_19_2</t>
  </si>
  <si>
    <t>I_MDE_N_20_0</t>
  </si>
  <si>
    <t>I_MDE_N_20_2</t>
  </si>
  <si>
    <t>I_MDE_19_0/I_MDE_N_19_0</t>
  </si>
  <si>
    <t>on utilise le début de ces séries pour qu'au moment de l'exogénisation le dlog prenne la bonne différence en compte, pour arriver effectivement aux chroniques qu'on souhaite</t>
  </si>
  <si>
    <t>ci-dessous, extraits d'une simulation 14/12/2023. on utilise le début de ces séries pour qu'au moment de l'exogénisation le dlog(I_MDE_exo) prenne la bonne différence en compte, pour arriver effectivement aux chroniques qu'on souhaite</t>
  </si>
  <si>
    <t>en fait, il n'y a que l'année juste avant l'exogénisation qui importe, on pourrait même mettre 0 sur les années qui précèdent</t>
  </si>
  <si>
    <t xml:space="preserve">et pour les I_MDE_exo en AME : </t>
  </si>
  <si>
    <t>P_GDP_1 en 2022 :</t>
  </si>
  <si>
    <t>E_OTH_N_19_1</t>
  </si>
  <si>
    <t>E_OTH_N_20_1</t>
  </si>
  <si>
    <t>ci-dessus : extraits d'une simulation 09/05/2025</t>
  </si>
  <si>
    <t>les chroniques sur 2004-2023 de ce SCEN_AMS2 sont tirées d'une simulation 09/05/2025 pour avoir le bon raccord en 2024</t>
  </si>
  <si>
    <t>Je n'actualise pas ce fichier au-delà de cette ligne car je ne vois pas de cohérence entre les consos cibles DGEC et les consos estimées par I4CE (voir note cellule I23). Je vais juste envoyer les chroniques exogènes en AMS, pour une première approximation. Je laisse les séries E_oth_exo comme elles étaient, de toute façon elles arrivent pas trop loin des cibles...</t>
  </si>
  <si>
    <t>ci-dessus : extraits d'une simulation 16/05/2025</t>
  </si>
  <si>
    <t>I_MDE_N_19_1</t>
  </si>
  <si>
    <t>I_MDE_N_20_1</t>
  </si>
  <si>
    <t>PGDP_1</t>
  </si>
  <si>
    <t xml:space="preserve">pour les I_MDE_exo en AME : </t>
  </si>
  <si>
    <t>pour les I_MDE_exo AMS, on prend les mêmes séries qu'AME jusqu'en 2023, puis les séries I4CE</t>
  </si>
  <si>
    <t>I_MDE_19_1</t>
  </si>
  <si>
    <t>I_MDE_19_2</t>
  </si>
  <si>
    <t>I_MDE_20_1</t>
  </si>
  <si>
    <t>I_MDE_20_2</t>
  </si>
  <si>
    <t>ER_TERTIARY_1</t>
  </si>
  <si>
    <t>Q_MTEP_SEC_19_1</t>
  </si>
  <si>
    <t>Q_MTEP_SEC_19_2</t>
  </si>
  <si>
    <t>Q_MTEP_SEC_20_1</t>
  </si>
  <si>
    <t>sortir les q_mtep_sec_s pour _1 et _2</t>
  </si>
  <si>
    <t>q_mtep_s pour _1 et _2</t>
  </si>
  <si>
    <t>e_oth_n_19 _1 et _2</t>
  </si>
  <si>
    <t>e_oth_19 _1 et _2</t>
  </si>
  <si>
    <t>regarder en %</t>
  </si>
  <si>
    <t>faire une branche martyr avec des phi_e_oth constants</t>
  </si>
  <si>
    <t>ci-dessus : extraits d'une simulation 03/06/2025 après révision des séries exo</t>
  </si>
  <si>
    <t>comme l'équation d'I_MDE est désormais écrite en niveau, on n'a plus besoin d'actualiser le morceau 2004-2015 pour arriver effectivement aux chroniques qu'on souhaite (quand l'équation était en dlog il fallait assurer le raccord 2015-2016)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</si>
</sst>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name val="Arial"/>
      <family val="2"/>
    </font>
    <font>
      <sz val="11"/>
      <color rgb="FFFF0000"/>
      <name val="Calibri"/>
      <family val="2"/>
      <scheme val="minor"/>
    </font>
    <font>
      <sz val="9"/>
      <color indexed="81"/>
      <name val="Tahoma"/>
      <charset val="1"/>
    </font>
    <font>
      <b/>
      <sz val="9"/>
      <color indexed="81"/>
      <name val="Tahoma"/>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2" borderId="0" xfId="0" applyFill="1"/>
    <xf numFmtId="0" fontId="2" fillId="0" borderId="0" xfId="0" applyFont="1"/>
    <xf numFmtId="9" fontId="2" fillId="0" borderId="0" xfId="1" applyFont="1"/>
    <xf numFmtId="164" fontId="5" fillId="0" borderId="0" xfId="0" applyNumberFormat="1" applyFont="1"/>
    <xf numFmtId="0" fontId="6" fillId="0" borderId="0" xfId="0" applyFont="1"/>
    <xf numFmtId="1" fontId="0" fillId="0" borderId="0" xfId="0" applyNumberFormat="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GitHub\ThreeME\data\calibrations\Documents%20MTE\run%203\B&#226;timents\Besoins%20r&#233;novation%20tertiaire_2025%20DGEC.xlsx" TargetMode="External"/><Relationship Id="rId1" Type="http://schemas.openxmlformats.org/officeDocument/2006/relationships/externalLinkPath" Target="Documents%20MTE/run%203/B&#226;timents/Besoins%20r&#233;novation%20tertiaire_2025%20DGE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_RENO"/>
      <sheetName val="axTER"/>
    </sheetNames>
    <sheetDataSet>
      <sheetData sheetId="0">
        <row r="818">
          <cell r="LL818">
            <v>8526.3145215714958</v>
          </cell>
          <cell r="LM818">
            <v>9069.7356273999394</v>
          </cell>
          <cell r="LN818">
            <v>9422.850095405749</v>
          </cell>
          <cell r="LO818">
            <v>9545.3422101872493</v>
          </cell>
          <cell r="LP818">
            <v>9422.850095405749</v>
          </cell>
          <cell r="LQ818">
            <v>9069.7356273999394</v>
          </cell>
          <cell r="LR818">
            <v>8526.3145215714958</v>
          </cell>
          <cell r="LS818">
            <v>8535.0165659997838</v>
          </cell>
          <cell r="LT818">
            <v>8437.0919110245504</v>
          </cell>
          <cell r="LU818">
            <v>8154.7993527818189</v>
          </cell>
          <cell r="LV818">
            <v>8437.0919110245504</v>
          </cell>
          <cell r="LW818">
            <v>8535.0165659997838</v>
          </cell>
          <cell r="LX818">
            <v>8437.0919110245504</v>
          </cell>
          <cell r="LY818">
            <v>8154.7993527818189</v>
          </cell>
          <cell r="LZ818">
            <v>7720.3687415589393</v>
          </cell>
          <cell r="MA818">
            <v>7180.7254382066803</v>
          </cell>
          <cell r="MB818">
            <v>6589.169704934784</v>
          </cell>
          <cell r="MC818">
            <v>6630.3423829829007</v>
          </cell>
          <cell r="MD818">
            <v>7028.8800011165404</v>
          </cell>
          <cell r="ME818">
            <v>7028.8800011165404</v>
          </cell>
          <cell r="MF818">
            <v>7349.7158939471992</v>
          </cell>
          <cell r="MG818">
            <v>7558.1947226105676</v>
          </cell>
          <cell r="MH818">
            <v>7630.5140833956539</v>
          </cell>
          <cell r="MI818">
            <v>7558.1947226105676</v>
          </cell>
          <cell r="MJ818">
            <v>7349.7158939471992</v>
          </cell>
          <cell r="MK818">
            <v>7028.8800011165404</v>
          </cell>
          <cell r="ML818">
            <v>6630.3423829829007</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5"/>
  <sheetViews>
    <sheetView workbookViewId="0">
      <pane xSplit="1" ySplit="1" topLeftCell="G11" activePane="bottomRight" state="frozen"/>
      <selection pane="topRight" activeCell="B1" sqref="B1"/>
      <selection pane="bottomLeft" activeCell="A2" sqref="A2"/>
      <selection pane="bottomRight" activeCell="I17" sqref="I17"/>
    </sheetView>
  </sheetViews>
  <sheetFormatPr baseColWidth="10" defaultRowHeight="15" x14ac:dyDescent="0.25"/>
  <cols>
    <col min="1" max="1" width="18.42578125" customWidth="1"/>
  </cols>
  <sheetData>
    <row r="1" spans="1:48" x14ac:dyDescent="0.25">
      <c r="B1">
        <v>2004</v>
      </c>
      <c r="C1">
        <v>2005</v>
      </c>
      <c r="D1">
        <v>2006</v>
      </c>
      <c r="E1">
        <v>2007</v>
      </c>
      <c r="F1">
        <v>2008</v>
      </c>
      <c r="G1">
        <v>2009</v>
      </c>
      <c r="H1">
        <v>2010</v>
      </c>
      <c r="I1">
        <v>2011</v>
      </c>
      <c r="J1">
        <v>2012</v>
      </c>
      <c r="K1">
        <v>2013</v>
      </c>
      <c r="L1">
        <v>2014</v>
      </c>
      <c r="M1">
        <v>2015</v>
      </c>
      <c r="N1">
        <v>2016</v>
      </c>
      <c r="O1">
        <v>2017</v>
      </c>
      <c r="P1">
        <v>2018</v>
      </c>
      <c r="Q1">
        <v>2019</v>
      </c>
      <c r="R1">
        <v>2020</v>
      </c>
      <c r="S1">
        <v>2021</v>
      </c>
      <c r="T1">
        <v>2022</v>
      </c>
      <c r="U1">
        <v>2023</v>
      </c>
      <c r="V1">
        <v>2024</v>
      </c>
      <c r="W1">
        <v>2025</v>
      </c>
      <c r="X1">
        <v>2026</v>
      </c>
      <c r="Y1">
        <v>2027</v>
      </c>
      <c r="Z1">
        <v>2028</v>
      </c>
      <c r="AA1">
        <v>2029</v>
      </c>
      <c r="AB1">
        <v>2030</v>
      </c>
      <c r="AC1">
        <v>2031</v>
      </c>
      <c r="AD1">
        <v>2032</v>
      </c>
      <c r="AE1">
        <v>2033</v>
      </c>
      <c r="AF1">
        <v>2034</v>
      </c>
      <c r="AG1">
        <v>2035</v>
      </c>
      <c r="AH1">
        <v>2036</v>
      </c>
      <c r="AI1">
        <v>2037</v>
      </c>
      <c r="AJ1">
        <v>2038</v>
      </c>
      <c r="AK1">
        <v>2039</v>
      </c>
      <c r="AL1">
        <v>2040</v>
      </c>
      <c r="AM1">
        <v>2041</v>
      </c>
      <c r="AN1">
        <v>2042</v>
      </c>
      <c r="AO1">
        <v>2043</v>
      </c>
      <c r="AP1">
        <v>2044</v>
      </c>
      <c r="AQ1">
        <v>2045</v>
      </c>
      <c r="AR1">
        <v>2046</v>
      </c>
      <c r="AS1">
        <v>2047</v>
      </c>
      <c r="AT1">
        <v>2048</v>
      </c>
      <c r="AU1">
        <v>2049</v>
      </c>
      <c r="AV1">
        <v>2050</v>
      </c>
    </row>
    <row r="2" spans="1:48" x14ac:dyDescent="0.25">
      <c r="A2" t="s">
        <v>29</v>
      </c>
      <c r="B2">
        <v>27867.9582147734</v>
      </c>
      <c r="C2">
        <v>28315.3872980581</v>
      </c>
      <c r="D2">
        <v>28687.663809999998</v>
      </c>
      <c r="E2">
        <v>29273.851299999998</v>
      </c>
      <c r="F2">
        <v>28523.504929999999</v>
      </c>
      <c r="G2">
        <v>27151.693220000001</v>
      </c>
      <c r="H2">
        <v>27250.01539</v>
      </c>
      <c r="I2">
        <v>26901.924630000001</v>
      </c>
      <c r="J2">
        <v>26262.881270000002</v>
      </c>
      <c r="K2">
        <v>25975.75244</v>
      </c>
      <c r="L2">
        <v>26115.488600000001</v>
      </c>
      <c r="M2">
        <v>26548.131850000002</v>
      </c>
      <c r="N2">
        <v>25565.641930000002</v>
      </c>
      <c r="O2">
        <v>24583.152010000002</v>
      </c>
      <c r="P2">
        <v>23600.662090000002</v>
      </c>
      <c r="Q2">
        <v>22618.172170000002</v>
      </c>
      <c r="R2">
        <v>21635.682260000001</v>
      </c>
      <c r="S2">
        <v>21635.682260000001</v>
      </c>
      <c r="T2">
        <v>21635.682260000001</v>
      </c>
      <c r="U2">
        <v>21635.682260000001</v>
      </c>
      <c r="V2">
        <v>21471.577290000001</v>
      </c>
      <c r="W2">
        <v>21307.472330000001</v>
      </c>
      <c r="X2">
        <v>21143.36736</v>
      </c>
      <c r="Y2">
        <v>20979.2624</v>
      </c>
      <c r="Z2">
        <v>20815.157429999999</v>
      </c>
      <c r="AA2">
        <v>20651.052469999999</v>
      </c>
      <c r="AB2">
        <v>20486.947499999998</v>
      </c>
      <c r="AC2">
        <v>20322.842540000001</v>
      </c>
      <c r="AD2">
        <v>20158.737580000001</v>
      </c>
      <c r="AE2">
        <v>19994.632610000001</v>
      </c>
      <c r="AF2">
        <v>19830.52765</v>
      </c>
      <c r="AG2">
        <v>19666.42268</v>
      </c>
      <c r="AH2">
        <v>19502.317719999999</v>
      </c>
      <c r="AI2">
        <v>19338.212749999999</v>
      </c>
      <c r="AJ2">
        <v>19174.107789999998</v>
      </c>
      <c r="AK2">
        <v>19010.002820000002</v>
      </c>
      <c r="AL2">
        <v>18845.897860000001</v>
      </c>
      <c r="AM2">
        <v>18681.792890000001</v>
      </c>
      <c r="AN2">
        <v>18517.68793</v>
      </c>
      <c r="AO2">
        <v>18353.58296</v>
      </c>
      <c r="AP2">
        <v>18189.477999999999</v>
      </c>
      <c r="AQ2">
        <v>18025.373039999999</v>
      </c>
      <c r="AR2">
        <v>17861.268069999998</v>
      </c>
      <c r="AS2">
        <v>17697.163110000001</v>
      </c>
      <c r="AT2">
        <v>17533.058140000001</v>
      </c>
      <c r="AU2">
        <v>17368.95318</v>
      </c>
      <c r="AV2">
        <v>17204.84821</v>
      </c>
    </row>
    <row r="3" spans="1:48" x14ac:dyDescent="0.25">
      <c r="A3" t="s">
        <v>0</v>
      </c>
      <c r="B3">
        <v>27867.9582147734</v>
      </c>
      <c r="C3">
        <v>28315.3872980581</v>
      </c>
      <c r="D3">
        <v>28687.663809999998</v>
      </c>
      <c r="E3">
        <v>29273.851299999998</v>
      </c>
      <c r="F3">
        <v>28523.504929999999</v>
      </c>
      <c r="G3">
        <v>27151.693220000001</v>
      </c>
      <c r="H3">
        <v>27250.01539</v>
      </c>
      <c r="I3">
        <v>26901.924630000001</v>
      </c>
      <c r="J3">
        <v>26262.881270000002</v>
      </c>
      <c r="K3">
        <v>25975.75244</v>
      </c>
      <c r="L3">
        <v>26115.488600000001</v>
      </c>
      <c r="M3">
        <v>26548.131850000002</v>
      </c>
      <c r="N3">
        <v>25565.641930000002</v>
      </c>
      <c r="O3">
        <v>24583.152010000002</v>
      </c>
      <c r="P3">
        <v>23600.662090000002</v>
      </c>
      <c r="Q3">
        <v>22618.172170000002</v>
      </c>
      <c r="R3">
        <v>21635.682260000001</v>
      </c>
      <c r="S3">
        <v>21635.682260000001</v>
      </c>
      <c r="T3">
        <v>21635.682260000001</v>
      </c>
      <c r="U3">
        <v>21635.682260000001</v>
      </c>
      <c r="V3">
        <v>20952.82849</v>
      </c>
      <c r="W3">
        <v>20269.974740000001</v>
      </c>
      <c r="X3">
        <v>19587.120989999999</v>
      </c>
      <c r="Y3">
        <v>18904.267230000001</v>
      </c>
      <c r="Z3">
        <v>18221.41347</v>
      </c>
      <c r="AA3">
        <v>17538.559710000001</v>
      </c>
      <c r="AB3">
        <v>16855.70595</v>
      </c>
      <c r="AC3">
        <v>16704.759330000001</v>
      </c>
      <c r="AD3">
        <v>16553.812709999998</v>
      </c>
      <c r="AE3">
        <v>16402.86609</v>
      </c>
      <c r="AF3">
        <v>16251.919470000001</v>
      </c>
      <c r="AG3">
        <v>16100.97285</v>
      </c>
      <c r="AH3">
        <v>15950.02622</v>
      </c>
      <c r="AI3">
        <v>15799.079599999999</v>
      </c>
      <c r="AJ3">
        <v>15648.13298</v>
      </c>
      <c r="AK3">
        <v>15497.18636</v>
      </c>
      <c r="AL3">
        <v>15346.239740000001</v>
      </c>
      <c r="AM3">
        <v>15195.29312</v>
      </c>
      <c r="AN3">
        <v>15044.3465</v>
      </c>
      <c r="AO3">
        <v>14893.399880000001</v>
      </c>
      <c r="AP3">
        <v>14742.45326</v>
      </c>
      <c r="AQ3">
        <v>14591.50664</v>
      </c>
      <c r="AR3">
        <v>14440.560020000001</v>
      </c>
      <c r="AS3">
        <v>14289.6134</v>
      </c>
      <c r="AT3">
        <v>14138.66678</v>
      </c>
      <c r="AU3">
        <v>13987.720160000001</v>
      </c>
      <c r="AV3">
        <v>13836.77354</v>
      </c>
    </row>
    <row r="4" spans="1:48" x14ac:dyDescent="0.25">
      <c r="A4" t="s">
        <v>30</v>
      </c>
      <c r="B4">
        <v>6240.0203969263302</v>
      </c>
      <c r="C4">
        <v>6340.2059427907698</v>
      </c>
      <c r="D4">
        <v>6469.0100670000002</v>
      </c>
      <c r="E4">
        <v>6478.6200410000001</v>
      </c>
      <c r="F4">
        <v>6352.8579319999999</v>
      </c>
      <c r="G4">
        <v>6370.1049780000003</v>
      </c>
      <c r="H4">
        <v>6318.395614</v>
      </c>
      <c r="I4">
        <v>6250.3411880000003</v>
      </c>
      <c r="J4">
        <v>6207.0009639999998</v>
      </c>
      <c r="K4">
        <v>6208.5861459999996</v>
      </c>
      <c r="L4">
        <v>6195.6507600000004</v>
      </c>
      <c r="M4">
        <v>6220.1421039999996</v>
      </c>
      <c r="N4">
        <v>5989.9478689999996</v>
      </c>
      <c r="O4">
        <v>5759.7536339999997</v>
      </c>
      <c r="P4">
        <v>5529.5593989999998</v>
      </c>
      <c r="Q4">
        <v>5299.3651630000004</v>
      </c>
      <c r="R4">
        <v>5069.1709279999995</v>
      </c>
      <c r="S4">
        <v>5069.1709279999995</v>
      </c>
      <c r="T4">
        <v>5069.1709279999995</v>
      </c>
      <c r="U4">
        <v>5069.1709279999995</v>
      </c>
      <c r="V4">
        <v>5030.7216619999999</v>
      </c>
      <c r="W4">
        <v>4992.272395</v>
      </c>
      <c r="X4">
        <v>4953.8231290000003</v>
      </c>
      <c r="Y4">
        <v>4915.3738620000004</v>
      </c>
      <c r="Z4">
        <v>4876.9245950000004</v>
      </c>
      <c r="AA4">
        <v>4838.4753289999999</v>
      </c>
      <c r="AB4">
        <v>4800.0260619999999</v>
      </c>
      <c r="AC4">
        <v>4761.5767949999999</v>
      </c>
      <c r="AD4">
        <v>4723.1275290000003</v>
      </c>
      <c r="AE4">
        <v>4684.6782620000004</v>
      </c>
      <c r="AF4">
        <v>4646.2289950000004</v>
      </c>
      <c r="AG4">
        <v>4607.7797289999999</v>
      </c>
      <c r="AH4">
        <v>4569.3304619999999</v>
      </c>
      <c r="AI4">
        <v>4530.8811949999999</v>
      </c>
      <c r="AJ4">
        <v>4492.4319290000003</v>
      </c>
      <c r="AK4">
        <v>4453.9826620000003</v>
      </c>
      <c r="AL4">
        <v>4415.5333959999998</v>
      </c>
      <c r="AM4">
        <v>4377.0841289999998</v>
      </c>
      <c r="AN4">
        <v>4338.6348619999999</v>
      </c>
      <c r="AO4">
        <v>4300.1855960000003</v>
      </c>
      <c r="AP4">
        <v>4261.7363290000003</v>
      </c>
      <c r="AQ4">
        <v>4223.2870629999998</v>
      </c>
      <c r="AR4">
        <v>4184.8377959999998</v>
      </c>
      <c r="AS4">
        <v>4146.3885289999998</v>
      </c>
      <c r="AT4">
        <v>4107.9392630000002</v>
      </c>
      <c r="AU4">
        <v>4069.4899959999998</v>
      </c>
      <c r="AV4">
        <v>4031.0407300000002</v>
      </c>
    </row>
    <row r="5" spans="1:48" x14ac:dyDescent="0.25">
      <c r="A5" t="s">
        <v>1</v>
      </c>
      <c r="B5">
        <v>6240.0203969263302</v>
      </c>
      <c r="C5">
        <v>6340.2059427907698</v>
      </c>
      <c r="D5">
        <v>6469.0100670000002</v>
      </c>
      <c r="E5">
        <v>6478.6200410000001</v>
      </c>
      <c r="F5">
        <v>6352.8579319999999</v>
      </c>
      <c r="G5">
        <v>6370.1049780000003</v>
      </c>
      <c r="H5">
        <v>6318.395614</v>
      </c>
      <c r="I5">
        <v>6250.3411880000003</v>
      </c>
      <c r="J5">
        <v>6207.0009639999998</v>
      </c>
      <c r="K5">
        <v>6208.5861459999996</v>
      </c>
      <c r="L5">
        <v>6195.6507600000004</v>
      </c>
      <c r="M5">
        <v>6220.1421039999996</v>
      </c>
      <c r="N5">
        <v>5989.9478689999996</v>
      </c>
      <c r="O5">
        <v>5759.7536339999997</v>
      </c>
      <c r="P5">
        <v>5529.5593989999998</v>
      </c>
      <c r="Q5">
        <v>5299.3651630000004</v>
      </c>
      <c r="R5">
        <v>5069.1709279999995</v>
      </c>
      <c r="S5">
        <v>5069.1709279999995</v>
      </c>
      <c r="T5">
        <v>5069.1709279999995</v>
      </c>
      <c r="U5">
        <v>5069.1709279999995</v>
      </c>
      <c r="V5">
        <v>4909.1804830000001</v>
      </c>
      <c r="W5">
        <v>4749.1900400000004</v>
      </c>
      <c r="X5">
        <v>4589.1995960000004</v>
      </c>
      <c r="Y5">
        <v>4429.209151</v>
      </c>
      <c r="Z5">
        <v>4269.2187059999997</v>
      </c>
      <c r="AA5">
        <v>4109.2282619999996</v>
      </c>
      <c r="AB5">
        <v>3949.2378170000002</v>
      </c>
      <c r="AC5">
        <v>3913.8715080000002</v>
      </c>
      <c r="AD5">
        <v>3878.5051990000002</v>
      </c>
      <c r="AE5">
        <v>3843.1388900000002</v>
      </c>
      <c r="AF5">
        <v>3807.7725820000001</v>
      </c>
      <c r="AG5">
        <v>3772.4062730000001</v>
      </c>
      <c r="AH5">
        <v>3737.0399640000001</v>
      </c>
      <c r="AI5">
        <v>3701.6736550000001</v>
      </c>
      <c r="AJ5">
        <v>3666.3073460000001</v>
      </c>
      <c r="AK5">
        <v>3630.9410379999999</v>
      </c>
      <c r="AL5">
        <v>3595.5747289999999</v>
      </c>
      <c r="AM5">
        <v>3560.2084199999999</v>
      </c>
      <c r="AN5">
        <v>3524.8421109999999</v>
      </c>
      <c r="AO5">
        <v>3489.4758019999999</v>
      </c>
      <c r="AP5">
        <v>3454.1094939999998</v>
      </c>
      <c r="AQ5">
        <v>3418.7431849999998</v>
      </c>
      <c r="AR5">
        <v>3383.3768759999998</v>
      </c>
      <c r="AS5">
        <v>3348.0105669999998</v>
      </c>
      <c r="AT5">
        <v>3312.6442590000001</v>
      </c>
      <c r="AU5">
        <v>3277.2779500000001</v>
      </c>
      <c r="AV5">
        <v>3241.9116410000001</v>
      </c>
    </row>
    <row r="7" spans="1:48" x14ac:dyDescent="0.25">
      <c r="A7" t="s">
        <v>34</v>
      </c>
    </row>
    <row r="8" spans="1:48" x14ac:dyDescent="0.25">
      <c r="A8" t="s">
        <v>24</v>
      </c>
    </row>
    <row r="12" spans="1:48" x14ac:dyDescent="0.25">
      <c r="A12" t="s">
        <v>6</v>
      </c>
    </row>
    <row r="13" spans="1:48" x14ac:dyDescent="0.25">
      <c r="A13" t="s">
        <v>16</v>
      </c>
    </row>
    <row r="14" spans="1:48" x14ac:dyDescent="0.25">
      <c r="A14" t="s">
        <v>2</v>
      </c>
      <c r="B14">
        <v>4268.2656550321699</v>
      </c>
      <c r="C14">
        <v>4336.7940407333499</v>
      </c>
      <c r="D14">
        <v>4406.4516720000001</v>
      </c>
      <c r="E14">
        <v>4633.1550889999999</v>
      </c>
      <c r="F14">
        <v>4795.4195829999999</v>
      </c>
      <c r="G14">
        <v>4340.9476610000002</v>
      </c>
      <c r="H14">
        <v>4352.8189460000003</v>
      </c>
      <c r="I14">
        <v>4526.2267339999999</v>
      </c>
      <c r="J14">
        <v>4647.8005940000003</v>
      </c>
      <c r="K14">
        <v>4653.9947339999999</v>
      </c>
      <c r="L14">
        <v>4742.7561750000004</v>
      </c>
      <c r="M14">
        <v>4912.3937050000004</v>
      </c>
      <c r="N14">
        <v>5199.8120820000004</v>
      </c>
      <c r="O14">
        <v>5504.0884489999999</v>
      </c>
      <c r="P14">
        <v>5826.2206319999996</v>
      </c>
      <c r="Q14">
        <v>6167.2616150000003</v>
      </c>
      <c r="R14">
        <v>6247.4360159950002</v>
      </c>
      <c r="S14">
        <v>6328.6526842029343</v>
      </c>
      <c r="T14">
        <v>6410.9251690975716</v>
      </c>
      <c r="U14" s="1">
        <v>6494.2671962958393</v>
      </c>
      <c r="V14">
        <f>V$16*$U$14/($U$14+$U$15)</f>
        <v>8162.3712114143236</v>
      </c>
      <c r="W14">
        <f t="shared" ref="W14:AV14" si="0">W$16*$U$14/($U$14+$U$15)</f>
        <v>9640.0025676169698</v>
      </c>
      <c r="X14">
        <f t="shared" si="0"/>
        <v>11115.659778175272</v>
      </c>
      <c r="Y14">
        <f t="shared" si="0"/>
        <v>12461.819551349594</v>
      </c>
      <c r="Z14">
        <f t="shared" si="0"/>
        <v>13545.522451822777</v>
      </c>
      <c r="AA14">
        <f t="shared" si="0"/>
        <v>14249.711466700215</v>
      </c>
      <c r="AB14">
        <f t="shared" si="0"/>
        <v>14493.988066651988</v>
      </c>
      <c r="AC14">
        <f t="shared" si="0"/>
        <v>14281.232973893584</v>
      </c>
      <c r="AD14">
        <f t="shared" si="0"/>
        <v>13559.871879292321</v>
      </c>
      <c r="AE14">
        <f t="shared" si="0"/>
        <v>12449.742220930695</v>
      </c>
      <c r="AF14">
        <f t="shared" si="0"/>
        <v>11070.755518540534</v>
      </c>
      <c r="AG14">
        <f t="shared" si="0"/>
        <v>9559.1135045709543</v>
      </c>
      <c r="AH14">
        <f t="shared" si="0"/>
        <v>8045.4492042083493</v>
      </c>
      <c r="AI14">
        <f t="shared" si="0"/>
        <v>6637.1444028296846</v>
      </c>
      <c r="AJ14">
        <f t="shared" si="0"/>
        <v>5407.8754245915197</v>
      </c>
      <c r="AK14">
        <f t="shared" si="0"/>
        <v>4395.147452154949</v>
      </c>
      <c r="AL14">
        <f t="shared" si="0"/>
        <v>3604.520710527142</v>
      </c>
      <c r="AM14">
        <f t="shared" si="0"/>
        <v>3017.9816789916849</v>
      </c>
      <c r="AN14">
        <f t="shared" si="0"/>
        <v>2603.6474600292745</v>
      </c>
      <c r="AO14">
        <f t="shared" si="0"/>
        <v>2324.5256090617781</v>
      </c>
      <c r="AP14">
        <f t="shared" si="0"/>
        <v>2144.9969187336478</v>
      </c>
      <c r="AQ14">
        <f t="shared" si="0"/>
        <v>2034.6475994258881</v>
      </c>
      <c r="AR14">
        <f t="shared" si="0"/>
        <v>1969.7811567697227</v>
      </c>
      <c r="AS14">
        <f t="shared" si="0"/>
        <v>1933.293658773699</v>
      </c>
      <c r="AT14">
        <f t="shared" si="0"/>
        <v>1913.6440082116519</v>
      </c>
      <c r="AU14">
        <f t="shared" si="0"/>
        <v>1903.5088650272698</v>
      </c>
      <c r="AV14">
        <f t="shared" si="0"/>
        <v>1898.5002376485368</v>
      </c>
    </row>
    <row r="15" spans="1:48" x14ac:dyDescent="0.25">
      <c r="A15" t="s">
        <v>3</v>
      </c>
      <c r="B15">
        <v>1128.8440994832742</v>
      </c>
      <c r="C15">
        <v>1143.5190727765566</v>
      </c>
      <c r="D15">
        <v>1158.3848207226517</v>
      </c>
      <c r="E15">
        <v>1173.4438233920462</v>
      </c>
      <c r="F15">
        <v>1188.6985930961428</v>
      </c>
      <c r="G15">
        <v>1204.1516748063925</v>
      </c>
      <c r="H15">
        <v>1219.8056465788754</v>
      </c>
      <c r="I15">
        <v>1235.6631199844007</v>
      </c>
      <c r="J15">
        <v>1251.7267405441978</v>
      </c>
      <c r="K15">
        <v>1267.9991881712722</v>
      </c>
      <c r="L15">
        <v>1284.4831776174985</v>
      </c>
      <c r="M15">
        <v>1301.1814589265259</v>
      </c>
      <c r="N15">
        <v>1318.0968178925707</v>
      </c>
      <c r="O15">
        <v>1335.2320765251741</v>
      </c>
      <c r="P15">
        <v>1352.5900935200011</v>
      </c>
      <c r="Q15">
        <v>1370.1737647357611</v>
      </c>
      <c r="R15">
        <v>1387.9860236773259</v>
      </c>
      <c r="S15">
        <v>1406.029841985131</v>
      </c>
      <c r="T15">
        <v>1424.3082299309376</v>
      </c>
      <c r="U15" s="1">
        <v>1442.8242369200398</v>
      </c>
      <c r="V15">
        <f>V$16*$U$15/($U$14+$U$15)</f>
        <v>1813.4250807056706</v>
      </c>
      <c r="W15">
        <f t="shared" ref="W15:AV15" si="1">W$16*$U$15/($U$14+$U$15)</f>
        <v>2141.708822276732</v>
      </c>
      <c r="X15">
        <f t="shared" si="1"/>
        <v>2469.553970070117</v>
      </c>
      <c r="Y15">
        <f t="shared" si="1"/>
        <v>2768.6288138970717</v>
      </c>
      <c r="Z15">
        <f t="shared" si="1"/>
        <v>3009.3939014985003</v>
      </c>
      <c r="AA15">
        <f t="shared" si="1"/>
        <v>3165.8428044043631</v>
      </c>
      <c r="AB15">
        <f t="shared" si="1"/>
        <v>3220.1134693261674</v>
      </c>
      <c r="AC15">
        <f t="shared" si="1"/>
        <v>3172.8459031664197</v>
      </c>
      <c r="AD15">
        <f t="shared" si="1"/>
        <v>3012.5818980981462</v>
      </c>
      <c r="AE15">
        <f t="shared" si="1"/>
        <v>2765.9456066130201</v>
      </c>
      <c r="AF15">
        <f t="shared" si="1"/>
        <v>2459.5776398416801</v>
      </c>
      <c r="AG15">
        <f t="shared" si="1"/>
        <v>2123.7377876492824</v>
      </c>
      <c r="AH15">
        <f t="shared" si="1"/>
        <v>1787.448646301749</v>
      </c>
      <c r="AI15">
        <f t="shared" si="1"/>
        <v>1474.5671095582404</v>
      </c>
      <c r="AJ15">
        <f t="shared" si="1"/>
        <v>1201.4617657393744</v>
      </c>
      <c r="AK15">
        <f t="shared" si="1"/>
        <v>976.46510023848475</v>
      </c>
      <c r="AL15">
        <f t="shared" si="1"/>
        <v>800.81242216137048</v>
      </c>
      <c r="AM15">
        <f t="shared" si="1"/>
        <v>670.50168732100883</v>
      </c>
      <c r="AN15">
        <f t="shared" si="1"/>
        <v>578.44950726206764</v>
      </c>
      <c r="AO15">
        <f t="shared" si="1"/>
        <v>516.43731105006236</v>
      </c>
      <c r="AP15">
        <f t="shared" si="1"/>
        <v>476.55161836164302</v>
      </c>
      <c r="AQ15">
        <f t="shared" si="1"/>
        <v>452.03543083617797</v>
      </c>
      <c r="AR15">
        <f t="shared" si="1"/>
        <v>437.6241242486571</v>
      </c>
      <c r="AS15">
        <f t="shared" si="1"/>
        <v>429.51773674380325</v>
      </c>
      <c r="AT15">
        <f t="shared" si="1"/>
        <v>425.15219537924389</v>
      </c>
      <c r="AU15">
        <f t="shared" si="1"/>
        <v>422.90048170792738</v>
      </c>
      <c r="AV15">
        <f t="shared" si="1"/>
        <v>421.78772044367588</v>
      </c>
    </row>
    <row r="16" spans="1:48" x14ac:dyDescent="0.25">
      <c r="A16" t="s">
        <v>17</v>
      </c>
      <c r="V16" s="4">
        <v>9975.7962921199942</v>
      </c>
      <c r="W16" s="4">
        <v>11781.7113898937</v>
      </c>
      <c r="X16" s="4">
        <v>13585.213748245389</v>
      </c>
      <c r="Y16" s="4">
        <v>15230.448365246666</v>
      </c>
      <c r="Z16" s="4">
        <v>16554.916353321278</v>
      </c>
      <c r="AA16" s="4">
        <v>17415.554271104578</v>
      </c>
      <c r="AB16" s="4">
        <v>17714.101535978156</v>
      </c>
      <c r="AC16" s="4">
        <v>17454.078877060005</v>
      </c>
      <c r="AD16" s="4">
        <v>16572.453777390467</v>
      </c>
      <c r="AE16" s="4">
        <v>15215.687827543716</v>
      </c>
      <c r="AF16" s="4">
        <v>13530.333158382215</v>
      </c>
      <c r="AG16" s="4">
        <v>11682.851292220237</v>
      </c>
      <c r="AH16" s="4">
        <v>9832.8978505100986</v>
      </c>
      <c r="AI16" s="4">
        <v>8111.7115123879248</v>
      </c>
      <c r="AJ16" s="4">
        <v>6609.3371903308944</v>
      </c>
      <c r="AK16" s="4">
        <v>5371.6125523934334</v>
      </c>
      <c r="AL16" s="4">
        <v>4405.3331326885127</v>
      </c>
      <c r="AM16" s="4">
        <v>3688.4833663126938</v>
      </c>
      <c r="AN16" s="4">
        <v>3182.096967291342</v>
      </c>
      <c r="AO16" s="4">
        <v>2840.9629201118405</v>
      </c>
      <c r="AP16" s="4">
        <v>2621.5485370952911</v>
      </c>
      <c r="AQ16" s="4">
        <v>2486.683030262066</v>
      </c>
      <c r="AR16" s="4">
        <v>2407.4052810183798</v>
      </c>
      <c r="AS16" s="4">
        <v>2362.8113955175022</v>
      </c>
      <c r="AT16" s="4">
        <v>2338.7962035908959</v>
      </c>
      <c r="AU16" s="4">
        <v>2326.4093467351972</v>
      </c>
      <c r="AV16" s="4">
        <v>2320.2879580922126</v>
      </c>
    </row>
    <row r="17" spans="1:48" x14ac:dyDescent="0.25">
      <c r="B17" t="s">
        <v>4</v>
      </c>
      <c r="G17">
        <f>SUM(V14:AV15)</f>
        <v>237619.52413284476</v>
      </c>
      <c r="I17">
        <f t="shared" ref="I17:T17" si="2">I14/I15</f>
        <v>3.6629941128753116</v>
      </c>
      <c r="J17">
        <f t="shared" si="2"/>
        <v>3.7131112114608444</v>
      </c>
      <c r="K17">
        <f t="shared" si="2"/>
        <v>3.6703452000722985</v>
      </c>
      <c r="L17">
        <f t="shared" si="2"/>
        <v>3.6923458848227346</v>
      </c>
      <c r="M17">
        <f t="shared" si="2"/>
        <v>3.7753333105843074</v>
      </c>
      <c r="N17">
        <f t="shared" si="2"/>
        <v>3.9449394091654675</v>
      </c>
      <c r="O17">
        <f t="shared" si="2"/>
        <v>4.1221960929248445</v>
      </c>
      <c r="P17">
        <f t="shared" si="2"/>
        <v>4.3074547565535939</v>
      </c>
      <c r="Q17">
        <f t="shared" si="2"/>
        <v>4.5010799168157778</v>
      </c>
      <c r="R17">
        <f t="shared" si="2"/>
        <v>4.5010799168157778</v>
      </c>
      <c r="S17">
        <f t="shared" si="2"/>
        <v>4.5010799168157778</v>
      </c>
      <c r="T17">
        <f t="shared" si="2"/>
        <v>4.5010799168157769</v>
      </c>
      <c r="U17">
        <f>U14/U15</f>
        <v>4.5010799168157769</v>
      </c>
    </row>
    <row r="18" spans="1:48" x14ac:dyDescent="0.25">
      <c r="B18" t="s">
        <v>5</v>
      </c>
      <c r="G18" s="3">
        <f>(55-86)/86</f>
        <v>-0.36046511627906974</v>
      </c>
    </row>
    <row r="20" spans="1:48" x14ac:dyDescent="0.25">
      <c r="B20" t="s">
        <v>7</v>
      </c>
    </row>
    <row r="21" spans="1:48" x14ac:dyDescent="0.25">
      <c r="B21" t="s">
        <v>8</v>
      </c>
    </row>
    <row r="22" spans="1:48" x14ac:dyDescent="0.25">
      <c r="B22" t="s">
        <v>11</v>
      </c>
      <c r="I22">
        <f>(2050-2023)*5000</f>
        <v>135000</v>
      </c>
      <c r="J22" t="s">
        <v>9</v>
      </c>
    </row>
    <row r="23" spans="1:48" x14ac:dyDescent="0.25">
      <c r="B23" t="s">
        <v>10</v>
      </c>
      <c r="I23" s="3">
        <f>G18*I22/G17</f>
        <v>-0.20479289686006083</v>
      </c>
    </row>
    <row r="25" spans="1:48" x14ac:dyDescent="0.25">
      <c r="A25" s="2" t="s">
        <v>12</v>
      </c>
    </row>
    <row r="26" spans="1:48" x14ac:dyDescent="0.25">
      <c r="A26" t="s">
        <v>13</v>
      </c>
      <c r="B26">
        <f>B2</f>
        <v>27867.9582147734</v>
      </c>
      <c r="C26">
        <f t="shared" ref="C26:M26" si="3">C2</f>
        <v>28315.3872980581</v>
      </c>
      <c r="D26">
        <f t="shared" si="3"/>
        <v>28687.663809999998</v>
      </c>
      <c r="E26">
        <f t="shared" si="3"/>
        <v>29273.851299999998</v>
      </c>
      <c r="F26">
        <f t="shared" si="3"/>
        <v>28523.504929999999</v>
      </c>
      <c r="G26">
        <f t="shared" si="3"/>
        <v>27151.693220000001</v>
      </c>
      <c r="H26">
        <f t="shared" si="3"/>
        <v>27250.01539</v>
      </c>
      <c r="I26">
        <f t="shared" si="3"/>
        <v>26901.924630000001</v>
      </c>
      <c r="J26">
        <f t="shared" si="3"/>
        <v>26262.881270000002</v>
      </c>
      <c r="K26">
        <f t="shared" si="3"/>
        <v>25975.75244</v>
      </c>
      <c r="L26">
        <f t="shared" si="3"/>
        <v>26115.488600000001</v>
      </c>
      <c r="M26">
        <f t="shared" si="3"/>
        <v>26548.131850000002</v>
      </c>
      <c r="N26">
        <f>M26+($R$26-$M$26)/5</f>
        <v>25565.641931141734</v>
      </c>
      <c r="O26">
        <f t="shared" ref="O26:Q26" si="4">N26+($R$26-$M$26)/5</f>
        <v>24583.152012283466</v>
      </c>
      <c r="P26">
        <f t="shared" si="4"/>
        <v>23600.662093425199</v>
      </c>
      <c r="Q26">
        <f t="shared" si="4"/>
        <v>22618.172174566931</v>
      </c>
      <c r="R26">
        <f>M26*20.7/25.4</f>
        <v>21635.682255708663</v>
      </c>
      <c r="S26">
        <f>R26</f>
        <v>21635.682255708663</v>
      </c>
      <c r="T26">
        <f t="shared" ref="T26:U26" si="5">S26</f>
        <v>21635.682255708663</v>
      </c>
      <c r="U26">
        <f t="shared" si="5"/>
        <v>21635.682255708663</v>
      </c>
      <c r="V26">
        <f>U26+($AV$26-$U$26)/(2050-2023)</f>
        <v>21471.5772910905</v>
      </c>
      <c r="W26">
        <f t="shared" ref="W26:AU26" si="6">V26+($AV$26-$U$26)/(2050-2023)</f>
        <v>21307.472326472336</v>
      </c>
      <c r="X26">
        <f t="shared" si="6"/>
        <v>21143.367361854172</v>
      </c>
      <c r="Y26">
        <f t="shared" si="6"/>
        <v>20979.262397236009</v>
      </c>
      <c r="Z26">
        <f t="shared" si="6"/>
        <v>20815.157432617845</v>
      </c>
      <c r="AA26">
        <f t="shared" si="6"/>
        <v>20651.052467999682</v>
      </c>
      <c r="AB26">
        <f t="shared" si="6"/>
        <v>20486.947503381518</v>
      </c>
      <c r="AC26">
        <f t="shared" si="6"/>
        <v>20322.842538763354</v>
      </c>
      <c r="AD26">
        <f t="shared" si="6"/>
        <v>20158.737574145191</v>
      </c>
      <c r="AE26">
        <f t="shared" si="6"/>
        <v>19994.632609527027</v>
      </c>
      <c r="AF26">
        <f t="shared" si="6"/>
        <v>19830.527644908863</v>
      </c>
      <c r="AG26">
        <f t="shared" si="6"/>
        <v>19666.4226802907</v>
      </c>
      <c r="AH26">
        <f t="shared" si="6"/>
        <v>19502.317715672536</v>
      </c>
      <c r="AI26">
        <f t="shared" si="6"/>
        <v>19338.212751054372</v>
      </c>
      <c r="AJ26">
        <f t="shared" si="6"/>
        <v>19174.107786436209</v>
      </c>
      <c r="AK26">
        <f t="shared" si="6"/>
        <v>19010.002821818045</v>
      </c>
      <c r="AL26">
        <f t="shared" si="6"/>
        <v>18845.897857199881</v>
      </c>
      <c r="AM26">
        <f t="shared" si="6"/>
        <v>18681.792892581718</v>
      </c>
      <c r="AN26">
        <f t="shared" si="6"/>
        <v>18517.687927963554</v>
      </c>
      <c r="AO26">
        <f t="shared" si="6"/>
        <v>18353.58296334539</v>
      </c>
      <c r="AP26">
        <f t="shared" si="6"/>
        <v>18189.477998727227</v>
      </c>
      <c r="AQ26">
        <f t="shared" si="6"/>
        <v>18025.373034109063</v>
      </c>
      <c r="AR26">
        <f t="shared" si="6"/>
        <v>17861.2680694909</v>
      </c>
      <c r="AS26">
        <f t="shared" si="6"/>
        <v>17697.163104872736</v>
      </c>
      <c r="AT26">
        <f t="shared" si="6"/>
        <v>17533.058140254572</v>
      </c>
      <c r="AU26">
        <f t="shared" si="6"/>
        <v>17368.953175636409</v>
      </c>
      <c r="AV26">
        <f>U26*(1+$I$23)</f>
        <v>17204.84821101827</v>
      </c>
    </row>
    <row r="27" spans="1:48" x14ac:dyDescent="0.25">
      <c r="A27" t="s">
        <v>14</v>
      </c>
      <c r="B27">
        <f>B4</f>
        <v>6240.0203969263302</v>
      </c>
      <c r="C27">
        <f t="shared" ref="C27:M27" si="7">C4</f>
        <v>6340.2059427907698</v>
      </c>
      <c r="D27">
        <f t="shared" si="7"/>
        <v>6469.0100670000002</v>
      </c>
      <c r="E27">
        <f t="shared" si="7"/>
        <v>6478.6200410000001</v>
      </c>
      <c r="F27">
        <f t="shared" si="7"/>
        <v>6352.8579319999999</v>
      </c>
      <c r="G27">
        <f t="shared" si="7"/>
        <v>6370.1049780000003</v>
      </c>
      <c r="H27">
        <f t="shared" si="7"/>
        <v>6318.395614</v>
      </c>
      <c r="I27">
        <f t="shared" si="7"/>
        <v>6250.3411880000003</v>
      </c>
      <c r="J27">
        <f t="shared" si="7"/>
        <v>6207.0009639999998</v>
      </c>
      <c r="K27">
        <f t="shared" si="7"/>
        <v>6208.5861459999996</v>
      </c>
      <c r="L27">
        <f t="shared" si="7"/>
        <v>6195.6507600000004</v>
      </c>
      <c r="M27">
        <f t="shared" si="7"/>
        <v>6220.1421039999996</v>
      </c>
      <c r="N27">
        <f>M27+($R$27-$M$27)/5</f>
        <v>5989.9478686551174</v>
      </c>
      <c r="O27">
        <f t="shared" ref="O27:Q27" si="8">N27+($R$27-$M$27)/5</f>
        <v>5759.7536333102353</v>
      </c>
      <c r="P27">
        <f t="shared" si="8"/>
        <v>5529.5593979653531</v>
      </c>
      <c r="Q27">
        <f t="shared" si="8"/>
        <v>5299.365162620471</v>
      </c>
      <c r="R27">
        <f>M27*20.7/25.4</f>
        <v>5069.1709272755897</v>
      </c>
      <c r="S27">
        <f>R27</f>
        <v>5069.1709272755897</v>
      </c>
      <c r="T27">
        <f t="shared" ref="T27:U27" si="9">S27</f>
        <v>5069.1709272755897</v>
      </c>
      <c r="U27">
        <f t="shared" si="9"/>
        <v>5069.1709272755897</v>
      </c>
      <c r="V27">
        <f>U27+($AV$27-$U$27)/(2050-2023)</f>
        <v>5030.721660650569</v>
      </c>
      <c r="W27">
        <f t="shared" ref="W27:AU27" si="10">V27+($AV$27-$U$27)/(2050-2023)</f>
        <v>4992.2723940255482</v>
      </c>
      <c r="X27">
        <f t="shared" si="10"/>
        <v>4953.8231274005275</v>
      </c>
      <c r="Y27">
        <f t="shared" si="10"/>
        <v>4915.3738607755067</v>
      </c>
      <c r="Z27">
        <f t="shared" si="10"/>
        <v>4876.924594150486</v>
      </c>
      <c r="AA27">
        <f t="shared" si="10"/>
        <v>4838.4753275254652</v>
      </c>
      <c r="AB27">
        <f t="shared" si="10"/>
        <v>4800.0260609004445</v>
      </c>
      <c r="AC27">
        <f t="shared" si="10"/>
        <v>4761.5767942754237</v>
      </c>
      <c r="AD27">
        <f t="shared" si="10"/>
        <v>4723.127527650403</v>
      </c>
      <c r="AE27">
        <f t="shared" si="10"/>
        <v>4684.6782610253822</v>
      </c>
      <c r="AF27">
        <f t="shared" si="10"/>
        <v>4646.2289944003614</v>
      </c>
      <c r="AG27">
        <f t="shared" si="10"/>
        <v>4607.7797277753407</v>
      </c>
      <c r="AH27">
        <f t="shared" si="10"/>
        <v>4569.3304611503199</v>
      </c>
      <c r="AI27">
        <f t="shared" si="10"/>
        <v>4530.8811945252992</v>
      </c>
      <c r="AJ27">
        <f t="shared" si="10"/>
        <v>4492.4319279002784</v>
      </c>
      <c r="AK27">
        <f t="shared" si="10"/>
        <v>4453.9826612752577</v>
      </c>
      <c r="AL27">
        <f t="shared" si="10"/>
        <v>4415.5333946502369</v>
      </c>
      <c r="AM27">
        <f t="shared" si="10"/>
        <v>4377.0841280252162</v>
      </c>
      <c r="AN27">
        <f t="shared" si="10"/>
        <v>4338.6348614001954</v>
      </c>
      <c r="AO27">
        <f t="shared" si="10"/>
        <v>4300.1855947751746</v>
      </c>
      <c r="AP27">
        <f t="shared" si="10"/>
        <v>4261.7363281501539</v>
      </c>
      <c r="AQ27">
        <f t="shared" si="10"/>
        <v>4223.2870615251331</v>
      </c>
      <c r="AR27">
        <f t="shared" si="10"/>
        <v>4184.8377949001124</v>
      </c>
      <c r="AS27">
        <f t="shared" si="10"/>
        <v>4146.3885282750916</v>
      </c>
      <c r="AT27">
        <f t="shared" si="10"/>
        <v>4107.9392616500709</v>
      </c>
      <c r="AU27">
        <f t="shared" si="10"/>
        <v>4069.4899950250497</v>
      </c>
      <c r="AV27">
        <f>U27*(1+$I$23)</f>
        <v>4031.0407284000207</v>
      </c>
    </row>
    <row r="29" spans="1:48" x14ac:dyDescent="0.25">
      <c r="A29" s="2" t="s">
        <v>27</v>
      </c>
    </row>
    <row r="30" spans="1:48" x14ac:dyDescent="0.25">
      <c r="A30" t="s">
        <v>2</v>
      </c>
      <c r="B30">
        <f>B41</f>
        <v>2845.5104366881201</v>
      </c>
      <c r="C30">
        <f t="shared" ref="C30:M30" si="11">C41</f>
        <v>2891.1960271555699</v>
      </c>
      <c r="D30">
        <f t="shared" si="11"/>
        <v>2937.7393569999999</v>
      </c>
      <c r="E30">
        <f t="shared" si="11"/>
        <v>3088.8847860000001</v>
      </c>
      <c r="F30">
        <f t="shared" si="11"/>
        <v>3197.067912</v>
      </c>
      <c r="G30">
        <f t="shared" si="11"/>
        <v>2894.0657959999999</v>
      </c>
      <c r="H30">
        <f t="shared" si="11"/>
        <v>2901.9892060000002</v>
      </c>
      <c r="I30">
        <f t="shared" si="11"/>
        <v>3017.6105459999999</v>
      </c>
      <c r="J30">
        <f t="shared" si="11"/>
        <v>3098.6731340000001</v>
      </c>
      <c r="K30">
        <f t="shared" si="11"/>
        <v>3102.8120640000002</v>
      </c>
      <c r="L30">
        <f t="shared" si="11"/>
        <v>3162.0007700000001</v>
      </c>
      <c r="M30">
        <f t="shared" si="11"/>
        <v>3275.109492</v>
      </c>
      <c r="N30">
        <f>M30+($V$30-$M$30)/(2024-2015)</f>
        <v>3247.923462396318</v>
      </c>
      <c r="O30">
        <f t="shared" ref="O30:U30" si="12">N30+($V$30-$M$30)/(2024-2015)</f>
        <v>3220.7374327926359</v>
      </c>
      <c r="P30">
        <f t="shared" si="12"/>
        <v>3193.5514031889538</v>
      </c>
      <c r="Q30">
        <f t="shared" si="12"/>
        <v>3166.3653735852718</v>
      </c>
      <c r="R30">
        <f t="shared" si="12"/>
        <v>3139.1793439815897</v>
      </c>
      <c r="S30">
        <f t="shared" si="12"/>
        <v>3111.9933143779076</v>
      </c>
      <c r="T30">
        <f t="shared" si="12"/>
        <v>3084.8072847742255</v>
      </c>
      <c r="U30">
        <f t="shared" si="12"/>
        <v>3057.6212551705435</v>
      </c>
      <c r="V30">
        <f>5000/$B$33*U14/(U14+U15)</f>
        <v>3030.4352255668614</v>
      </c>
      <c r="W30">
        <f>V30</f>
        <v>3030.4352255668614</v>
      </c>
      <c r="X30">
        <f t="shared" ref="X30:AV30" si="13">W30</f>
        <v>3030.4352255668614</v>
      </c>
      <c r="Y30">
        <f t="shared" si="13"/>
        <v>3030.4352255668614</v>
      </c>
      <c r="Z30">
        <f t="shared" si="13"/>
        <v>3030.4352255668614</v>
      </c>
      <c r="AA30">
        <f t="shared" si="13"/>
        <v>3030.4352255668614</v>
      </c>
      <c r="AB30">
        <f t="shared" si="13"/>
        <v>3030.4352255668614</v>
      </c>
      <c r="AC30">
        <f t="shared" si="13"/>
        <v>3030.4352255668614</v>
      </c>
      <c r="AD30">
        <f t="shared" si="13"/>
        <v>3030.4352255668614</v>
      </c>
      <c r="AE30">
        <f t="shared" si="13"/>
        <v>3030.4352255668614</v>
      </c>
      <c r="AF30">
        <f t="shared" si="13"/>
        <v>3030.4352255668614</v>
      </c>
      <c r="AG30">
        <f t="shared" si="13"/>
        <v>3030.4352255668614</v>
      </c>
      <c r="AH30">
        <f t="shared" si="13"/>
        <v>3030.4352255668614</v>
      </c>
      <c r="AI30">
        <f t="shared" si="13"/>
        <v>3030.4352255668614</v>
      </c>
      <c r="AJ30">
        <f t="shared" si="13"/>
        <v>3030.4352255668614</v>
      </c>
      <c r="AK30">
        <f t="shared" si="13"/>
        <v>3030.4352255668614</v>
      </c>
      <c r="AL30">
        <f t="shared" si="13"/>
        <v>3030.4352255668614</v>
      </c>
      <c r="AM30">
        <f t="shared" si="13"/>
        <v>3030.4352255668614</v>
      </c>
      <c r="AN30">
        <f t="shared" si="13"/>
        <v>3030.4352255668614</v>
      </c>
      <c r="AO30">
        <f t="shared" si="13"/>
        <v>3030.4352255668614</v>
      </c>
      <c r="AP30">
        <f t="shared" si="13"/>
        <v>3030.4352255668614</v>
      </c>
      <c r="AQ30">
        <f t="shared" si="13"/>
        <v>3030.4352255668614</v>
      </c>
      <c r="AR30">
        <f t="shared" si="13"/>
        <v>3030.4352255668614</v>
      </c>
      <c r="AS30">
        <f t="shared" si="13"/>
        <v>3030.4352255668614</v>
      </c>
      <c r="AT30">
        <f t="shared" si="13"/>
        <v>3030.4352255668614</v>
      </c>
      <c r="AU30">
        <f t="shared" si="13"/>
        <v>3030.4352255668614</v>
      </c>
      <c r="AV30">
        <f t="shared" si="13"/>
        <v>3030.4352255668614</v>
      </c>
    </row>
    <row r="31" spans="1:48" x14ac:dyDescent="0.25">
      <c r="A31" t="s">
        <v>3</v>
      </c>
      <c r="B31">
        <f>B43</f>
        <v>1174.0188639370999</v>
      </c>
      <c r="C31">
        <f t="shared" ref="C31:M31" si="14">C43</f>
        <v>1192.8681165447699</v>
      </c>
      <c r="D31">
        <f t="shared" si="14"/>
        <v>1212.005083</v>
      </c>
      <c r="E31">
        <f t="shared" si="14"/>
        <v>1220.9905739999999</v>
      </c>
      <c r="F31">
        <f t="shared" si="14"/>
        <v>1338.8406299999999</v>
      </c>
      <c r="G31">
        <f t="shared" si="14"/>
        <v>1110.784363</v>
      </c>
      <c r="H31">
        <f t="shared" si="14"/>
        <v>1229.253539</v>
      </c>
      <c r="I31">
        <f t="shared" si="14"/>
        <v>1348.2073109999999</v>
      </c>
      <c r="J31">
        <f t="shared" si="14"/>
        <v>1490.6003639999999</v>
      </c>
      <c r="K31">
        <f t="shared" si="14"/>
        <v>1394.520571</v>
      </c>
      <c r="L31">
        <f t="shared" si="14"/>
        <v>1249.7008800000001</v>
      </c>
      <c r="M31">
        <f t="shared" si="14"/>
        <v>1051.0242430000001</v>
      </c>
      <c r="N31">
        <f>M31+($V$31-$M$31)/(2024-2015)</f>
        <v>1009.051380237427</v>
      </c>
      <c r="O31">
        <f t="shared" ref="O31:U31" si="15">N31+($V$31-$M$31)/(2024-2015)</f>
        <v>967.07851747485392</v>
      </c>
      <c r="P31">
        <f t="shared" si="15"/>
        <v>925.10565471228085</v>
      </c>
      <c r="Q31">
        <f t="shared" si="15"/>
        <v>883.13279194970778</v>
      </c>
      <c r="R31">
        <f t="shared" si="15"/>
        <v>841.15992918713471</v>
      </c>
      <c r="S31">
        <f t="shared" si="15"/>
        <v>799.18706642456164</v>
      </c>
      <c r="T31">
        <f t="shared" si="15"/>
        <v>757.21420366198856</v>
      </c>
      <c r="U31">
        <f t="shared" si="15"/>
        <v>715.24134089941549</v>
      </c>
      <c r="V31">
        <f>5000/$B$33*U15/(U14+U15)</f>
        <v>673.26847813684196</v>
      </c>
      <c r="W31">
        <f>V31</f>
        <v>673.26847813684196</v>
      </c>
      <c r="X31">
        <f t="shared" ref="X31:AV31" si="16">W31</f>
        <v>673.26847813684196</v>
      </c>
      <c r="Y31">
        <f t="shared" si="16"/>
        <v>673.26847813684196</v>
      </c>
      <c r="Z31">
        <f t="shared" si="16"/>
        <v>673.26847813684196</v>
      </c>
      <c r="AA31">
        <f t="shared" si="16"/>
        <v>673.26847813684196</v>
      </c>
      <c r="AB31">
        <f t="shared" si="16"/>
        <v>673.26847813684196</v>
      </c>
      <c r="AC31">
        <f t="shared" si="16"/>
        <v>673.26847813684196</v>
      </c>
      <c r="AD31">
        <f t="shared" si="16"/>
        <v>673.26847813684196</v>
      </c>
      <c r="AE31">
        <f t="shared" si="16"/>
        <v>673.26847813684196</v>
      </c>
      <c r="AF31">
        <f t="shared" si="16"/>
        <v>673.26847813684196</v>
      </c>
      <c r="AG31">
        <f t="shared" si="16"/>
        <v>673.26847813684196</v>
      </c>
      <c r="AH31">
        <f t="shared" si="16"/>
        <v>673.26847813684196</v>
      </c>
      <c r="AI31">
        <f t="shared" si="16"/>
        <v>673.26847813684196</v>
      </c>
      <c r="AJ31">
        <f t="shared" si="16"/>
        <v>673.26847813684196</v>
      </c>
      <c r="AK31">
        <f t="shared" si="16"/>
        <v>673.26847813684196</v>
      </c>
      <c r="AL31">
        <f t="shared" si="16"/>
        <v>673.26847813684196</v>
      </c>
      <c r="AM31">
        <f t="shared" si="16"/>
        <v>673.26847813684196</v>
      </c>
      <c r="AN31">
        <f t="shared" si="16"/>
        <v>673.26847813684196</v>
      </c>
      <c r="AO31">
        <f t="shared" si="16"/>
        <v>673.26847813684196</v>
      </c>
      <c r="AP31">
        <f t="shared" si="16"/>
        <v>673.26847813684196</v>
      </c>
      <c r="AQ31">
        <f t="shared" si="16"/>
        <v>673.26847813684196</v>
      </c>
      <c r="AR31">
        <f t="shared" si="16"/>
        <v>673.26847813684196</v>
      </c>
      <c r="AS31">
        <f t="shared" si="16"/>
        <v>673.26847813684196</v>
      </c>
      <c r="AT31">
        <f t="shared" si="16"/>
        <v>673.26847813684196</v>
      </c>
      <c r="AU31">
        <f t="shared" si="16"/>
        <v>673.26847813684196</v>
      </c>
      <c r="AV31">
        <f t="shared" si="16"/>
        <v>673.26847813684196</v>
      </c>
    </row>
    <row r="33" spans="1:48" x14ac:dyDescent="0.25">
      <c r="A33" s="5" t="s">
        <v>18</v>
      </c>
      <c r="B33" s="5">
        <v>1.35</v>
      </c>
    </row>
    <row r="34" spans="1:48" x14ac:dyDescent="0.25">
      <c r="A34" s="2" t="s">
        <v>15</v>
      </c>
    </row>
    <row r="35" spans="1:48" x14ac:dyDescent="0.25">
      <c r="A35" t="s">
        <v>2</v>
      </c>
      <c r="V35">
        <f>V14/$B$33</f>
        <v>6046.2008973439433</v>
      </c>
      <c r="W35">
        <f t="shared" ref="W35:AV35" si="17">W14/$B$33</f>
        <v>7140.7426426792363</v>
      </c>
      <c r="X35">
        <f t="shared" si="17"/>
        <v>8233.8220579076078</v>
      </c>
      <c r="Y35">
        <f t="shared" si="17"/>
        <v>9230.9774454441431</v>
      </c>
      <c r="Z35">
        <f t="shared" si="17"/>
        <v>10033.720334683538</v>
      </c>
      <c r="AA35">
        <f t="shared" si="17"/>
        <v>10555.341827185344</v>
      </c>
      <c r="AB35">
        <f t="shared" si="17"/>
        <v>10736.28745677925</v>
      </c>
      <c r="AC35">
        <f t="shared" si="17"/>
        <v>10578.691091773024</v>
      </c>
      <c r="AD35">
        <f t="shared" si="17"/>
        <v>10044.349540216534</v>
      </c>
      <c r="AE35">
        <f t="shared" si="17"/>
        <v>9222.031274763478</v>
      </c>
      <c r="AF35">
        <f t="shared" si="17"/>
        <v>8200.5596433633582</v>
      </c>
      <c r="AG35">
        <f t="shared" si="17"/>
        <v>7080.8248182007064</v>
      </c>
      <c r="AH35">
        <f t="shared" si="17"/>
        <v>5959.5920031172955</v>
      </c>
      <c r="AI35">
        <f t="shared" si="17"/>
        <v>4916.4032613553218</v>
      </c>
      <c r="AJ35">
        <f t="shared" si="17"/>
        <v>4005.8336478455699</v>
      </c>
      <c r="AK35">
        <f t="shared" si="17"/>
        <v>3255.6647793740362</v>
      </c>
      <c r="AL35">
        <f t="shared" si="17"/>
        <v>2670.0153411312162</v>
      </c>
      <c r="AM35">
        <f t="shared" si="17"/>
        <v>2235.541984438285</v>
      </c>
      <c r="AN35">
        <f t="shared" si="17"/>
        <v>1928.6277481698328</v>
      </c>
      <c r="AO35">
        <f t="shared" si="17"/>
        <v>1721.8708215272429</v>
      </c>
      <c r="AP35">
        <f t="shared" si="17"/>
        <v>1588.8866064693686</v>
      </c>
      <c r="AQ35">
        <f t="shared" si="17"/>
        <v>1507.1463699451022</v>
      </c>
      <c r="AR35">
        <f t="shared" si="17"/>
        <v>1459.0971531627574</v>
      </c>
      <c r="AS35">
        <f t="shared" si="17"/>
        <v>1432.0693768694066</v>
      </c>
      <c r="AT35">
        <f t="shared" si="17"/>
        <v>1417.5140801567791</v>
      </c>
      <c r="AU35">
        <f t="shared" si="17"/>
        <v>1410.0065666868666</v>
      </c>
      <c r="AV35">
        <f t="shared" si="17"/>
        <v>1406.2964723322493</v>
      </c>
    </row>
    <row r="36" spans="1:48" x14ac:dyDescent="0.25">
      <c r="A36" t="s">
        <v>3</v>
      </c>
      <c r="V36">
        <f>V15/$B$33</f>
        <v>1343.2778375597559</v>
      </c>
      <c r="W36">
        <f t="shared" ref="W36:AV36" si="18">W15/$B$33</f>
        <v>1586.4509794642458</v>
      </c>
      <c r="X36">
        <f t="shared" si="18"/>
        <v>1829.2992370889754</v>
      </c>
      <c r="Y36">
        <f t="shared" si="18"/>
        <v>2050.8361584422751</v>
      </c>
      <c r="Z36">
        <f t="shared" si="18"/>
        <v>2229.1806677766667</v>
      </c>
      <c r="AA36">
        <f t="shared" si="18"/>
        <v>2345.0687440032316</v>
      </c>
      <c r="AB36">
        <f t="shared" si="18"/>
        <v>2385.2692365379016</v>
      </c>
      <c r="AC36">
        <f t="shared" si="18"/>
        <v>2350.2562245677182</v>
      </c>
      <c r="AD36">
        <f t="shared" si="18"/>
        <v>2231.5421467393676</v>
      </c>
      <c r="AE36">
        <f t="shared" si="18"/>
        <v>2048.8485974911259</v>
      </c>
      <c r="AF36">
        <f t="shared" si="18"/>
        <v>1821.909362845689</v>
      </c>
      <c r="AG36">
        <f t="shared" si="18"/>
        <v>1573.1391019624314</v>
      </c>
      <c r="AH36">
        <f t="shared" si="18"/>
        <v>1324.0360342975919</v>
      </c>
      <c r="AI36">
        <f t="shared" si="18"/>
        <v>1092.2719330061038</v>
      </c>
      <c r="AJ36">
        <f t="shared" si="18"/>
        <v>889.97167832546245</v>
      </c>
      <c r="AK36">
        <f t="shared" si="18"/>
        <v>723.30748165813679</v>
      </c>
      <c r="AL36">
        <f t="shared" si="18"/>
        <v>593.19438678620031</v>
      </c>
      <c r="AM36">
        <f t="shared" si="18"/>
        <v>496.66791653408058</v>
      </c>
      <c r="AN36">
        <f t="shared" si="18"/>
        <v>428.48111649042045</v>
      </c>
      <c r="AO36">
        <f t="shared" si="18"/>
        <v>382.54615633337949</v>
      </c>
      <c r="AP36">
        <f t="shared" si="18"/>
        <v>353.0011987864022</v>
      </c>
      <c r="AQ36">
        <f t="shared" si="18"/>
        <v>334.8410598786503</v>
      </c>
      <c r="AR36">
        <f t="shared" si="18"/>
        <v>324.16601796196818</v>
      </c>
      <c r="AS36">
        <f t="shared" si="18"/>
        <v>318.16128647689129</v>
      </c>
      <c r="AT36">
        <f t="shared" si="18"/>
        <v>314.92755213277326</v>
      </c>
      <c r="AU36">
        <f t="shared" si="18"/>
        <v>313.25961607994617</v>
      </c>
      <c r="AV36">
        <f t="shared" si="18"/>
        <v>312.43534847679695</v>
      </c>
    </row>
    <row r="38" spans="1:48" x14ac:dyDescent="0.25">
      <c r="A38" t="s">
        <v>25</v>
      </c>
    </row>
    <row r="39" spans="1:48" x14ac:dyDescent="0.25">
      <c r="A39" t="s">
        <v>26</v>
      </c>
    </row>
    <row r="40" spans="1:48" x14ac:dyDescent="0.25">
      <c r="B40">
        <v>2004</v>
      </c>
      <c r="C40">
        <v>2005</v>
      </c>
      <c r="D40">
        <v>2006</v>
      </c>
      <c r="E40">
        <v>2007</v>
      </c>
      <c r="F40">
        <v>2008</v>
      </c>
      <c r="G40">
        <v>2009</v>
      </c>
      <c r="H40">
        <v>2010</v>
      </c>
      <c r="I40">
        <v>2011</v>
      </c>
      <c r="J40">
        <v>2012</v>
      </c>
      <c r="K40">
        <v>2013</v>
      </c>
      <c r="L40">
        <v>2014</v>
      </c>
      <c r="M40">
        <v>2015</v>
      </c>
      <c r="N40">
        <v>2016</v>
      </c>
      <c r="O40">
        <v>2017</v>
      </c>
      <c r="P40">
        <v>2018</v>
      </c>
      <c r="Q40">
        <v>2019</v>
      </c>
      <c r="R40">
        <v>2020</v>
      </c>
      <c r="S40">
        <v>2021</v>
      </c>
      <c r="T40">
        <v>2022</v>
      </c>
      <c r="U40">
        <v>2023</v>
      </c>
      <c r="V40">
        <v>2024</v>
      </c>
      <c r="W40">
        <v>2025</v>
      </c>
      <c r="X40">
        <v>2026</v>
      </c>
      <c r="Y40">
        <v>2027</v>
      </c>
      <c r="Z40">
        <v>2028</v>
      </c>
      <c r="AA40">
        <v>2029</v>
      </c>
      <c r="AB40">
        <v>2030</v>
      </c>
      <c r="AC40">
        <v>2031</v>
      </c>
      <c r="AD40">
        <v>2032</v>
      </c>
      <c r="AE40">
        <v>2033</v>
      </c>
      <c r="AF40">
        <v>2034</v>
      </c>
      <c r="AG40">
        <v>2035</v>
      </c>
      <c r="AH40">
        <v>2036</v>
      </c>
      <c r="AI40">
        <v>2037</v>
      </c>
      <c r="AJ40">
        <v>2038</v>
      </c>
      <c r="AK40">
        <v>2039</v>
      </c>
      <c r="AL40">
        <v>2040</v>
      </c>
      <c r="AM40">
        <v>2041</v>
      </c>
      <c r="AN40">
        <v>2042</v>
      </c>
      <c r="AO40">
        <v>2043</v>
      </c>
      <c r="AP40">
        <v>2044</v>
      </c>
      <c r="AQ40">
        <v>2045</v>
      </c>
      <c r="AR40">
        <v>2046</v>
      </c>
      <c r="AS40">
        <v>2047</v>
      </c>
      <c r="AT40">
        <v>2048</v>
      </c>
      <c r="AU40">
        <v>2049</v>
      </c>
      <c r="AV40">
        <v>2050</v>
      </c>
    </row>
    <row r="41" spans="1:48" x14ac:dyDescent="0.25">
      <c r="A41" t="s">
        <v>19</v>
      </c>
      <c r="B41">
        <v>2845.5104366881201</v>
      </c>
      <c r="C41">
        <v>2891.1960271555699</v>
      </c>
      <c r="D41">
        <v>2937.7393569999999</v>
      </c>
      <c r="E41">
        <v>3088.8847860000001</v>
      </c>
      <c r="F41">
        <v>3197.067912</v>
      </c>
      <c r="G41">
        <v>2894.0657959999999</v>
      </c>
      <c r="H41">
        <v>2901.9892060000002</v>
      </c>
      <c r="I41">
        <v>3017.6105459999999</v>
      </c>
      <c r="J41">
        <v>3098.6731340000001</v>
      </c>
      <c r="K41">
        <v>3102.8120640000002</v>
      </c>
      <c r="L41">
        <v>3162.0007700000001</v>
      </c>
      <c r="M41">
        <v>3275.109492</v>
      </c>
      <c r="N41">
        <v>3274.4283220000002</v>
      </c>
      <c r="O41">
        <v>3316.9958900000001</v>
      </c>
      <c r="P41">
        <v>3360.116837</v>
      </c>
      <c r="Q41">
        <v>3403.7983549999999</v>
      </c>
      <c r="R41">
        <v>3448.0477340000002</v>
      </c>
      <c r="S41">
        <v>3492.872355</v>
      </c>
      <c r="T41">
        <v>3538.2796950000002</v>
      </c>
      <c r="U41">
        <v>3584.2773309999998</v>
      </c>
      <c r="V41">
        <v>3584.2773309999998</v>
      </c>
      <c r="W41">
        <v>3584.2773309999998</v>
      </c>
      <c r="X41">
        <v>3584.2773309999998</v>
      </c>
      <c r="Y41">
        <v>3584.2773309999998</v>
      </c>
      <c r="Z41">
        <v>3584.2773309999998</v>
      </c>
      <c r="AA41">
        <v>3584.2773309999998</v>
      </c>
      <c r="AB41">
        <v>3584.2773309999998</v>
      </c>
      <c r="AC41">
        <v>3584.2773309999998</v>
      </c>
      <c r="AD41">
        <v>3584.2773309999998</v>
      </c>
      <c r="AE41">
        <v>3584.2773309999998</v>
      </c>
      <c r="AF41">
        <v>3584.2773309999998</v>
      </c>
      <c r="AG41">
        <v>3584.2773309999998</v>
      </c>
      <c r="AH41">
        <v>3584.2773309999998</v>
      </c>
      <c r="AI41">
        <v>3584.2773309999998</v>
      </c>
      <c r="AJ41">
        <v>3584.2773309999998</v>
      </c>
      <c r="AK41">
        <v>3584.2773309999998</v>
      </c>
      <c r="AL41">
        <v>3584.2773309999998</v>
      </c>
      <c r="AM41">
        <v>3584.2773309999998</v>
      </c>
      <c r="AN41">
        <v>3584.2773309999998</v>
      </c>
      <c r="AO41">
        <v>3584.2773309999998</v>
      </c>
      <c r="AP41">
        <v>3584.2773309999998</v>
      </c>
      <c r="AQ41">
        <v>3584.2773309999998</v>
      </c>
      <c r="AR41">
        <v>3584.2773309999998</v>
      </c>
      <c r="AS41">
        <v>3584.2773309999998</v>
      </c>
      <c r="AT41">
        <v>3584.2773309999998</v>
      </c>
      <c r="AU41">
        <v>3584.2773309999998</v>
      </c>
      <c r="AV41">
        <v>3584.2773309999998</v>
      </c>
    </row>
    <row r="42" spans="1:48" x14ac:dyDescent="0.25">
      <c r="A42" t="s">
        <v>20</v>
      </c>
      <c r="B42">
        <v>2845.5104366881201</v>
      </c>
      <c r="C42">
        <v>2891.1960271555699</v>
      </c>
      <c r="D42">
        <v>2937.7393569999999</v>
      </c>
      <c r="E42">
        <v>3088.8847860000001</v>
      </c>
      <c r="F42">
        <v>3197.067912</v>
      </c>
      <c r="G42">
        <v>2894.0657959999999</v>
      </c>
      <c r="H42">
        <v>2901.9892060000002</v>
      </c>
      <c r="I42">
        <v>3017.6105459999999</v>
      </c>
      <c r="J42">
        <v>3098.6731340000001</v>
      </c>
      <c r="K42">
        <v>3102.8120640000002</v>
      </c>
      <c r="L42">
        <v>3162.0007700000001</v>
      </c>
      <c r="M42">
        <v>3275.109492</v>
      </c>
      <c r="N42">
        <v>3274.4283220000002</v>
      </c>
      <c r="O42">
        <v>3316.9958900000001</v>
      </c>
      <c r="P42">
        <v>3360.116837</v>
      </c>
      <c r="Q42">
        <v>3403.7983549999999</v>
      </c>
      <c r="R42">
        <v>3448.0477340000002</v>
      </c>
      <c r="S42">
        <v>3492.872355</v>
      </c>
      <c r="T42">
        <v>3538.2796950000002</v>
      </c>
      <c r="U42">
        <v>3584.2773309999998</v>
      </c>
      <c r="V42">
        <v>7151.2082030000001</v>
      </c>
      <c r="W42">
        <v>8445.7879209999901</v>
      </c>
      <c r="X42">
        <v>9738.6377620000003</v>
      </c>
      <c r="Y42">
        <v>10918.03285</v>
      </c>
      <c r="Z42">
        <v>11867.485070000001</v>
      </c>
      <c r="AA42">
        <v>12484.43821</v>
      </c>
      <c r="AB42">
        <v>12698.4535</v>
      </c>
      <c r="AC42">
        <v>12512.05479</v>
      </c>
      <c r="AD42">
        <v>11880.05687</v>
      </c>
      <c r="AE42">
        <v>10907.45161</v>
      </c>
      <c r="AF42">
        <v>9699.2962000000007</v>
      </c>
      <c r="AG42">
        <v>8374.9191510000001</v>
      </c>
      <c r="AH42">
        <v>7048.7702200000003</v>
      </c>
      <c r="AI42">
        <v>5814.9285280000004</v>
      </c>
      <c r="AJ42">
        <v>4737.9433019999997</v>
      </c>
      <c r="AK42">
        <v>3850.6736030000002</v>
      </c>
      <c r="AL42">
        <v>3157.9908839999998</v>
      </c>
      <c r="AM42">
        <v>2644.1131019999998</v>
      </c>
      <c r="AN42">
        <v>2281.1072509999999</v>
      </c>
      <c r="AO42">
        <v>2036.561874</v>
      </c>
      <c r="AP42">
        <v>1879.2732530000001</v>
      </c>
      <c r="AQ42">
        <v>1782.5940840000001</v>
      </c>
      <c r="AR42">
        <v>1725.76334</v>
      </c>
      <c r="AS42">
        <v>1693.795938</v>
      </c>
      <c r="AT42">
        <v>1676.5804989999999</v>
      </c>
      <c r="AU42">
        <v>1667.700904</v>
      </c>
      <c r="AV42">
        <v>1663.3127489999999</v>
      </c>
    </row>
    <row r="43" spans="1:48" x14ac:dyDescent="0.25">
      <c r="A43" t="s">
        <v>21</v>
      </c>
      <c r="B43">
        <v>1174.0188639370999</v>
      </c>
      <c r="C43">
        <v>1192.8681165447699</v>
      </c>
      <c r="D43">
        <v>1212.005083</v>
      </c>
      <c r="E43">
        <v>1220.9905739999999</v>
      </c>
      <c r="F43">
        <v>1338.8406299999999</v>
      </c>
      <c r="G43">
        <v>1110.784363</v>
      </c>
      <c r="H43">
        <v>1229.253539</v>
      </c>
      <c r="I43">
        <v>1348.2073109999999</v>
      </c>
      <c r="J43">
        <v>1490.6003639999999</v>
      </c>
      <c r="K43">
        <v>1394.520571</v>
      </c>
      <c r="L43">
        <v>1249.7008800000001</v>
      </c>
      <c r="M43">
        <v>1051.0242430000001</v>
      </c>
      <c r="N43">
        <v>1210.9286440000001</v>
      </c>
      <c r="O43">
        <v>1226.6707160000001</v>
      </c>
      <c r="P43">
        <v>1242.6174349999999</v>
      </c>
      <c r="Q43">
        <v>1258.7714619999999</v>
      </c>
      <c r="R43">
        <v>1275.135491</v>
      </c>
      <c r="S43">
        <v>1291.712252</v>
      </c>
      <c r="T43">
        <v>1308.504512</v>
      </c>
      <c r="U43">
        <v>1325.5150699999999</v>
      </c>
      <c r="V43">
        <v>1325.5150699999999</v>
      </c>
      <c r="W43">
        <v>1325.5150699999999</v>
      </c>
      <c r="X43">
        <v>1325.5150699999999</v>
      </c>
      <c r="Y43">
        <v>1325.5150699999999</v>
      </c>
      <c r="Z43">
        <v>1325.5150699999999</v>
      </c>
      <c r="AA43">
        <v>1325.5150699999999</v>
      </c>
      <c r="AB43">
        <v>1325.5150699999999</v>
      </c>
      <c r="AC43">
        <v>1325.5150699999999</v>
      </c>
      <c r="AD43">
        <v>1325.5150699999999</v>
      </c>
      <c r="AE43">
        <v>1325.5150699999999</v>
      </c>
      <c r="AF43">
        <v>1325.5150699999999</v>
      </c>
      <c r="AG43">
        <v>1325.5150699999999</v>
      </c>
      <c r="AH43">
        <v>1325.5150699999999</v>
      </c>
      <c r="AI43">
        <v>1325.5150699999999</v>
      </c>
      <c r="AJ43">
        <v>1325.5150699999999</v>
      </c>
      <c r="AK43">
        <v>1325.5150699999999</v>
      </c>
      <c r="AL43">
        <v>1325.5150699999999</v>
      </c>
      <c r="AM43">
        <v>1325.5150699999999</v>
      </c>
      <c r="AN43">
        <v>1325.5150699999999</v>
      </c>
      <c r="AO43">
        <v>1325.5150699999999</v>
      </c>
      <c r="AP43">
        <v>1325.5150699999999</v>
      </c>
      <c r="AQ43">
        <v>1325.5150699999999</v>
      </c>
      <c r="AR43">
        <v>1325.5150699999999</v>
      </c>
      <c r="AS43">
        <v>1325.5150699999999</v>
      </c>
      <c r="AT43">
        <v>1325.5150699999999</v>
      </c>
      <c r="AU43">
        <v>1325.5150699999999</v>
      </c>
      <c r="AV43">
        <v>1325.5150699999999</v>
      </c>
    </row>
    <row r="44" spans="1:48" x14ac:dyDescent="0.25">
      <c r="A44" t="s">
        <v>22</v>
      </c>
      <c r="B44">
        <v>1174.0188639370999</v>
      </c>
      <c r="C44">
        <v>1192.8681165447699</v>
      </c>
      <c r="D44">
        <v>1212.005083</v>
      </c>
      <c r="E44">
        <v>1220.9905739999999</v>
      </c>
      <c r="F44">
        <v>1338.8406299999999</v>
      </c>
      <c r="G44">
        <v>1110.784363</v>
      </c>
      <c r="H44">
        <v>1229.253539</v>
      </c>
      <c r="I44">
        <v>1348.2073109999999</v>
      </c>
      <c r="J44">
        <v>1490.6003639999999</v>
      </c>
      <c r="K44">
        <v>1394.520571</v>
      </c>
      <c r="L44">
        <v>1249.7008800000001</v>
      </c>
      <c r="M44">
        <v>1051.0242430000001</v>
      </c>
      <c r="N44">
        <v>1210.9286440000001</v>
      </c>
      <c r="O44">
        <v>1226.6707160000001</v>
      </c>
      <c r="P44">
        <v>1242.6174349999999</v>
      </c>
      <c r="Q44">
        <v>1258.7714619999999</v>
      </c>
      <c r="R44">
        <v>1275.135491</v>
      </c>
      <c r="S44">
        <v>1291.712252</v>
      </c>
      <c r="T44">
        <v>1308.504512</v>
      </c>
      <c r="U44">
        <v>1325.5150699999999</v>
      </c>
      <c r="V44">
        <v>2644.6151810000001</v>
      </c>
      <c r="W44">
        <v>3123.3685719999999</v>
      </c>
      <c r="X44">
        <v>3601.4822300000001</v>
      </c>
      <c r="Y44">
        <v>4037.6387610000002</v>
      </c>
      <c r="Z44">
        <v>4388.7592549999999</v>
      </c>
      <c r="AA44">
        <v>4616.9170130000002</v>
      </c>
      <c r="AB44">
        <v>4696.0628109999998</v>
      </c>
      <c r="AC44">
        <v>4627.130005</v>
      </c>
      <c r="AD44">
        <v>4393.4084780000003</v>
      </c>
      <c r="AE44">
        <v>4033.7256739999998</v>
      </c>
      <c r="AF44">
        <v>3586.9331790000001</v>
      </c>
      <c r="AG44">
        <v>3097.1603260000002</v>
      </c>
      <c r="AH44">
        <v>2606.7322049999998</v>
      </c>
      <c r="AI44">
        <v>2150.440572</v>
      </c>
      <c r="AJ44">
        <v>1752.156618</v>
      </c>
      <c r="AK44">
        <v>1424.0320770000001</v>
      </c>
      <c r="AL44">
        <v>1167.868477</v>
      </c>
      <c r="AM44">
        <v>977.8294032</v>
      </c>
      <c r="AN44">
        <v>843.58484539999995</v>
      </c>
      <c r="AO44">
        <v>753.14860050000004</v>
      </c>
      <c r="AP44">
        <v>694.9811042</v>
      </c>
      <c r="AQ44">
        <v>659.22781740000005</v>
      </c>
      <c r="AR44">
        <v>638.21102640000004</v>
      </c>
      <c r="AS44">
        <v>626.38904130000003</v>
      </c>
      <c r="AT44">
        <v>620.02253519999999</v>
      </c>
      <c r="AU44">
        <v>616.73873890000004</v>
      </c>
      <c r="AV44">
        <v>615.11593870000002</v>
      </c>
    </row>
    <row r="45" spans="1:48" x14ac:dyDescent="0.25">
      <c r="A45" t="s">
        <v>23</v>
      </c>
      <c r="B45">
        <v>1</v>
      </c>
      <c r="C45">
        <v>1</v>
      </c>
      <c r="D45">
        <v>0.99997885414856402</v>
      </c>
      <c r="E45">
        <v>0.983015399202396</v>
      </c>
      <c r="F45">
        <v>0.98318717666326505</v>
      </c>
      <c r="G45">
        <v>1.05229896715174</v>
      </c>
      <c r="H45">
        <v>1.0317351566330999</v>
      </c>
      <c r="I45">
        <v>1.00164622535753</v>
      </c>
      <c r="J45">
        <v>0.99306829017739096</v>
      </c>
      <c r="K45">
        <v>1.0016799328778101</v>
      </c>
      <c r="L45">
        <v>0.99713522017896195</v>
      </c>
      <c r="M45">
        <v>0.98696151621669104</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5D0E-9CA5-41C6-AFFE-2F7DF1F1F225}">
  <dimension ref="A1:AV45"/>
  <sheetViews>
    <sheetView workbookViewId="0">
      <pane xSplit="1" ySplit="1" topLeftCell="F2" activePane="bottomRight" state="frozen"/>
      <selection pane="topRight" activeCell="B1" sqref="B1"/>
      <selection pane="bottomLeft" activeCell="A2" sqref="A2"/>
      <selection pane="bottomRight" activeCell="V15" sqref="V15"/>
    </sheetView>
  </sheetViews>
  <sheetFormatPr baseColWidth="10" defaultRowHeight="15" x14ac:dyDescent="0.25"/>
  <cols>
    <col min="1" max="1" width="18.42578125" customWidth="1"/>
  </cols>
  <sheetData>
    <row r="1" spans="1:48" x14ac:dyDescent="0.25">
      <c r="B1">
        <v>2004</v>
      </c>
      <c r="C1">
        <v>2005</v>
      </c>
      <c r="D1">
        <v>2006</v>
      </c>
      <c r="E1">
        <v>2007</v>
      </c>
      <c r="F1">
        <v>2008</v>
      </c>
      <c r="G1">
        <v>2009</v>
      </c>
      <c r="H1">
        <v>2010</v>
      </c>
      <c r="I1">
        <v>2011</v>
      </c>
      <c r="J1">
        <v>2012</v>
      </c>
      <c r="K1">
        <v>2013</v>
      </c>
      <c r="L1">
        <v>2014</v>
      </c>
      <c r="M1">
        <v>2015</v>
      </c>
      <c r="N1">
        <v>2016</v>
      </c>
      <c r="O1">
        <v>2017</v>
      </c>
      <c r="P1">
        <v>2018</v>
      </c>
      <c r="Q1">
        <v>2019</v>
      </c>
      <c r="R1">
        <v>2020</v>
      </c>
      <c r="S1">
        <v>2021</v>
      </c>
      <c r="T1">
        <v>2022</v>
      </c>
      <c r="U1">
        <v>2023</v>
      </c>
      <c r="V1">
        <v>2024</v>
      </c>
      <c r="W1">
        <v>2025</v>
      </c>
      <c r="X1">
        <v>2026</v>
      </c>
      <c r="Y1">
        <v>2027</v>
      </c>
      <c r="Z1">
        <v>2028</v>
      </c>
      <c r="AA1">
        <v>2029</v>
      </c>
      <c r="AB1">
        <v>2030</v>
      </c>
      <c r="AC1">
        <v>2031</v>
      </c>
      <c r="AD1">
        <v>2032</v>
      </c>
      <c r="AE1">
        <v>2033</v>
      </c>
      <c r="AF1">
        <v>2034</v>
      </c>
      <c r="AG1">
        <v>2035</v>
      </c>
      <c r="AH1">
        <v>2036</v>
      </c>
      <c r="AI1">
        <v>2037</v>
      </c>
      <c r="AJ1">
        <v>2038</v>
      </c>
      <c r="AK1">
        <v>2039</v>
      </c>
      <c r="AL1">
        <v>2040</v>
      </c>
      <c r="AM1">
        <v>2041</v>
      </c>
      <c r="AN1">
        <v>2042</v>
      </c>
      <c r="AO1">
        <v>2043</v>
      </c>
      <c r="AP1">
        <v>2044</v>
      </c>
      <c r="AQ1">
        <v>2045</v>
      </c>
      <c r="AR1">
        <v>2046</v>
      </c>
      <c r="AS1">
        <v>2047</v>
      </c>
      <c r="AT1">
        <v>2048</v>
      </c>
      <c r="AU1">
        <v>2049</v>
      </c>
      <c r="AV1">
        <v>2050</v>
      </c>
    </row>
    <row r="2" spans="1:48" x14ac:dyDescent="0.25">
      <c r="A2" t="s">
        <v>29</v>
      </c>
      <c r="B2">
        <v>27867.9582147734</v>
      </c>
      <c r="C2">
        <v>28315.3872980581</v>
      </c>
      <c r="D2">
        <v>28687.664290000001</v>
      </c>
      <c r="E2">
        <v>29273.851330000001</v>
      </c>
      <c r="F2">
        <v>28523.504809999999</v>
      </c>
      <c r="G2">
        <v>27151.692650000001</v>
      </c>
      <c r="H2">
        <v>27250.014510000001</v>
      </c>
      <c r="I2">
        <v>26901.923859999999</v>
      </c>
      <c r="J2">
        <v>26262.880529999999</v>
      </c>
      <c r="K2">
        <v>25975.75157</v>
      </c>
      <c r="L2">
        <v>26115.487440000001</v>
      </c>
      <c r="M2">
        <v>26548.130369999999</v>
      </c>
      <c r="N2">
        <v>25565.640510000001</v>
      </c>
      <c r="O2">
        <v>24583.15065</v>
      </c>
      <c r="P2">
        <v>23600.660779999998</v>
      </c>
      <c r="Q2">
        <v>22618.170910000001</v>
      </c>
      <c r="R2">
        <v>21635.681049999999</v>
      </c>
      <c r="S2">
        <v>21635.681049999999</v>
      </c>
      <c r="T2">
        <v>21635.681049999999</v>
      </c>
      <c r="U2">
        <v>21635.681049999999</v>
      </c>
      <c r="V2">
        <v>21471.576099999998</v>
      </c>
      <c r="W2">
        <v>21307.471140000001</v>
      </c>
      <c r="X2">
        <v>21143.366180000001</v>
      </c>
      <c r="Y2">
        <v>20979.26123</v>
      </c>
      <c r="Z2">
        <v>20815.156269999999</v>
      </c>
      <c r="AA2">
        <v>20651.051319999999</v>
      </c>
      <c r="AB2">
        <v>20486.946360000002</v>
      </c>
      <c r="AC2">
        <v>20322.841400000001</v>
      </c>
      <c r="AD2">
        <v>20158.73645</v>
      </c>
      <c r="AE2">
        <v>19994.63149</v>
      </c>
      <c r="AF2">
        <v>19830.526539999999</v>
      </c>
      <c r="AG2">
        <v>19666.421579999998</v>
      </c>
      <c r="AH2">
        <v>19502.316630000001</v>
      </c>
      <c r="AI2">
        <v>19338.211670000001</v>
      </c>
      <c r="AJ2">
        <v>19174.10672</v>
      </c>
      <c r="AK2">
        <v>19010.001759999999</v>
      </c>
      <c r="AL2">
        <v>18845.896809999998</v>
      </c>
      <c r="AM2">
        <v>18681.791850000001</v>
      </c>
      <c r="AN2">
        <v>18517.686900000001</v>
      </c>
      <c r="AO2">
        <v>18353.58194</v>
      </c>
      <c r="AP2">
        <v>18189.476979999999</v>
      </c>
      <c r="AQ2">
        <v>18025.372029999999</v>
      </c>
      <c r="AR2">
        <v>17861.267070000002</v>
      </c>
      <c r="AS2">
        <v>17697.162120000001</v>
      </c>
      <c r="AT2">
        <v>17533.05716</v>
      </c>
      <c r="AU2">
        <v>17368.952209999999</v>
      </c>
      <c r="AV2">
        <v>17204.847249999999</v>
      </c>
    </row>
    <row r="3" spans="1:48" x14ac:dyDescent="0.25">
      <c r="A3" t="s">
        <v>0</v>
      </c>
      <c r="B3">
        <v>27867.9582147734</v>
      </c>
      <c r="C3">
        <v>28315.3872980581</v>
      </c>
      <c r="D3">
        <v>28687.664290000001</v>
      </c>
      <c r="E3">
        <v>29273.851330000001</v>
      </c>
      <c r="F3">
        <v>28523.504809999999</v>
      </c>
      <c r="G3">
        <v>27151.692650000001</v>
      </c>
      <c r="H3">
        <v>27250.014510000001</v>
      </c>
      <c r="I3">
        <v>26901.923859999999</v>
      </c>
      <c r="J3">
        <v>26262.880529999999</v>
      </c>
      <c r="K3">
        <v>25975.75157</v>
      </c>
      <c r="L3">
        <v>26115.487440000001</v>
      </c>
      <c r="M3">
        <v>26548.130369999999</v>
      </c>
      <c r="N3">
        <v>25565.640510000001</v>
      </c>
      <c r="O3">
        <v>24583.15065</v>
      </c>
      <c r="P3">
        <v>23600.660779999998</v>
      </c>
      <c r="Q3">
        <v>22618.170910000001</v>
      </c>
      <c r="R3">
        <v>21635.681049999999</v>
      </c>
      <c r="S3">
        <v>21635.681049999999</v>
      </c>
      <c r="T3">
        <v>21635.681049999999</v>
      </c>
      <c r="U3">
        <v>21635.681049999999</v>
      </c>
      <c r="V3">
        <v>20952.82733</v>
      </c>
      <c r="W3">
        <v>20269.973610000001</v>
      </c>
      <c r="X3">
        <v>19587.119890000002</v>
      </c>
      <c r="Y3">
        <v>18904.266169999999</v>
      </c>
      <c r="Z3">
        <v>18221.41245</v>
      </c>
      <c r="AA3">
        <v>17538.558720000001</v>
      </c>
      <c r="AB3">
        <v>16855.705000000002</v>
      </c>
      <c r="AC3">
        <v>16704.758389999999</v>
      </c>
      <c r="AD3">
        <v>16553.81178</v>
      </c>
      <c r="AE3">
        <v>16402.865170000001</v>
      </c>
      <c r="AF3">
        <v>16251.91855</v>
      </c>
      <c r="AG3">
        <v>16100.971939999999</v>
      </c>
      <c r="AH3">
        <v>15950.02533</v>
      </c>
      <c r="AI3">
        <v>15799.07872</v>
      </c>
      <c r="AJ3">
        <v>15648.13211</v>
      </c>
      <c r="AK3">
        <v>15497.18549</v>
      </c>
      <c r="AL3">
        <v>15346.238880000001</v>
      </c>
      <c r="AM3">
        <v>15195.29227</v>
      </c>
      <c r="AN3">
        <v>15044.345660000001</v>
      </c>
      <c r="AO3">
        <v>14893.39905</v>
      </c>
      <c r="AP3">
        <v>14742.452439999999</v>
      </c>
      <c r="AQ3">
        <v>14591.50582</v>
      </c>
      <c r="AR3">
        <v>14440.559209999999</v>
      </c>
      <c r="AS3">
        <v>14289.6126</v>
      </c>
      <c r="AT3">
        <v>14138.66599</v>
      </c>
      <c r="AU3">
        <v>13987.71938</v>
      </c>
      <c r="AV3">
        <v>13836.77276</v>
      </c>
    </row>
    <row r="4" spans="1:48" x14ac:dyDescent="0.25">
      <c r="A4" t="s">
        <v>30</v>
      </c>
      <c r="B4">
        <v>6240.0203969263302</v>
      </c>
      <c r="C4">
        <v>6340.2059427907698</v>
      </c>
      <c r="D4">
        <v>6469.0101830000003</v>
      </c>
      <c r="E4">
        <v>6478.6199420000003</v>
      </c>
      <c r="F4">
        <v>6352.8577740000001</v>
      </c>
      <c r="G4">
        <v>6370.1046329999999</v>
      </c>
      <c r="H4">
        <v>6318.3951809999999</v>
      </c>
      <c r="I4">
        <v>6250.3408010000003</v>
      </c>
      <c r="J4">
        <v>6207.0005940000001</v>
      </c>
      <c r="K4">
        <v>6208.5857120000001</v>
      </c>
      <c r="L4">
        <v>6195.6502209999999</v>
      </c>
      <c r="M4">
        <v>6220.141455</v>
      </c>
      <c r="N4">
        <v>5989.947244</v>
      </c>
      <c r="O4">
        <v>5759.753033</v>
      </c>
      <c r="P4">
        <v>5529.5588209999996</v>
      </c>
      <c r="Q4">
        <v>5299.3646099999996</v>
      </c>
      <c r="R4">
        <v>5069.1703989999996</v>
      </c>
      <c r="S4">
        <v>5069.1703989999996</v>
      </c>
      <c r="T4">
        <v>5069.1703989999996</v>
      </c>
      <c r="U4">
        <v>5069.1703989999996</v>
      </c>
      <c r="V4">
        <v>5030.7211360000001</v>
      </c>
      <c r="W4">
        <v>4992.2718729999997</v>
      </c>
      <c r="X4">
        <v>4953.8226109999996</v>
      </c>
      <c r="Y4">
        <v>4915.3733480000001</v>
      </c>
      <c r="Z4">
        <v>4876.9240849999996</v>
      </c>
      <c r="AA4">
        <v>4838.4748229999996</v>
      </c>
      <c r="AB4">
        <v>4800.02556</v>
      </c>
      <c r="AC4">
        <v>4761.5762969999996</v>
      </c>
      <c r="AD4">
        <v>4723.1270350000004</v>
      </c>
      <c r="AE4">
        <v>4684.677772</v>
      </c>
      <c r="AF4">
        <v>4646.2285089999996</v>
      </c>
      <c r="AG4">
        <v>4607.7792470000004</v>
      </c>
      <c r="AH4">
        <v>4569.329984</v>
      </c>
      <c r="AI4">
        <v>4530.8807219999999</v>
      </c>
      <c r="AJ4">
        <v>4492.4314590000004</v>
      </c>
      <c r="AK4">
        <v>4453.9821959999999</v>
      </c>
      <c r="AL4">
        <v>4415.5329339999998</v>
      </c>
      <c r="AM4">
        <v>4377.0836710000003</v>
      </c>
      <c r="AN4">
        <v>4338.6344090000002</v>
      </c>
      <c r="AO4">
        <v>4300.1851459999998</v>
      </c>
      <c r="AP4">
        <v>4261.7358830000003</v>
      </c>
      <c r="AQ4">
        <v>4223.2866210000002</v>
      </c>
      <c r="AR4">
        <v>4184.8373579999998</v>
      </c>
      <c r="AS4">
        <v>4146.3880959999997</v>
      </c>
      <c r="AT4">
        <v>4107.9388330000002</v>
      </c>
      <c r="AU4">
        <v>4069.4895700000002</v>
      </c>
      <c r="AV4">
        <v>4031.0403080000001</v>
      </c>
    </row>
    <row r="5" spans="1:48" x14ac:dyDescent="0.25">
      <c r="A5" t="s">
        <v>1</v>
      </c>
      <c r="B5">
        <v>6240.0203969263302</v>
      </c>
      <c r="C5">
        <v>6340.2059427907698</v>
      </c>
      <c r="D5">
        <v>6469.0101830000003</v>
      </c>
      <c r="E5">
        <v>6478.6199420000003</v>
      </c>
      <c r="F5">
        <v>6352.8577740000001</v>
      </c>
      <c r="G5">
        <v>6370.1046329999999</v>
      </c>
      <c r="H5">
        <v>6318.3951809999999</v>
      </c>
      <c r="I5">
        <v>6250.3408010000003</v>
      </c>
      <c r="J5">
        <v>6207.0005940000001</v>
      </c>
      <c r="K5">
        <v>6208.5857120000001</v>
      </c>
      <c r="L5">
        <v>6195.6502209999999</v>
      </c>
      <c r="M5">
        <v>6220.141455</v>
      </c>
      <c r="N5">
        <v>5989.947244</v>
      </c>
      <c r="O5">
        <v>5759.753033</v>
      </c>
      <c r="P5">
        <v>5529.5588209999996</v>
      </c>
      <c r="Q5">
        <v>5299.3646099999996</v>
      </c>
      <c r="R5">
        <v>5069.1703989999996</v>
      </c>
      <c r="S5">
        <v>5069.1703989999996</v>
      </c>
      <c r="T5">
        <v>5069.1703989999996</v>
      </c>
      <c r="U5">
        <v>5069.1703989999996</v>
      </c>
      <c r="V5">
        <v>4909.1799700000001</v>
      </c>
      <c r="W5">
        <v>4749.1895420000001</v>
      </c>
      <c r="X5">
        <v>4589.1991150000003</v>
      </c>
      <c r="Y5">
        <v>4429.2086870000003</v>
      </c>
      <c r="Z5">
        <v>4269.2182590000002</v>
      </c>
      <c r="AA5">
        <v>4109.2278310000002</v>
      </c>
      <c r="AB5">
        <v>3949.2374030000001</v>
      </c>
      <c r="AC5">
        <v>3913.8710980000001</v>
      </c>
      <c r="AD5">
        <v>3878.5047930000001</v>
      </c>
      <c r="AE5">
        <v>3843.1384880000001</v>
      </c>
      <c r="AF5">
        <v>3807.772183</v>
      </c>
      <c r="AG5">
        <v>3772.405878</v>
      </c>
      <c r="AH5">
        <v>3737.039573</v>
      </c>
      <c r="AI5">
        <v>3701.6732670000001</v>
      </c>
      <c r="AJ5">
        <v>3666.3069620000001</v>
      </c>
      <c r="AK5">
        <v>3630.9406570000001</v>
      </c>
      <c r="AL5">
        <v>3595.5743520000001</v>
      </c>
      <c r="AM5">
        <v>3560.2080470000001</v>
      </c>
      <c r="AN5">
        <v>3524.8417420000001</v>
      </c>
      <c r="AO5">
        <v>3489.4754370000001</v>
      </c>
      <c r="AP5">
        <v>3454.109132</v>
      </c>
      <c r="AQ5">
        <v>3418.742827</v>
      </c>
      <c r="AR5">
        <v>3383.376522</v>
      </c>
      <c r="AS5">
        <v>3348.010217</v>
      </c>
      <c r="AT5">
        <v>3312.643912</v>
      </c>
      <c r="AU5">
        <v>3277.2776060000001</v>
      </c>
      <c r="AV5">
        <v>3241.9113010000001</v>
      </c>
    </row>
    <row r="7" spans="1:48" x14ac:dyDescent="0.25">
      <c r="A7" t="s">
        <v>31</v>
      </c>
    </row>
    <row r="8" spans="1:48" x14ac:dyDescent="0.25">
      <c r="A8" t="s">
        <v>24</v>
      </c>
    </row>
    <row r="12" spans="1:48" x14ac:dyDescent="0.25">
      <c r="A12" t="s">
        <v>6</v>
      </c>
    </row>
    <row r="13" spans="1:48" x14ac:dyDescent="0.25">
      <c r="A13" t="s">
        <v>32</v>
      </c>
    </row>
    <row r="14" spans="1:48" x14ac:dyDescent="0.25">
      <c r="A14" t="s">
        <v>2</v>
      </c>
      <c r="B14">
        <v>2845.5104366881201</v>
      </c>
      <c r="C14">
        <v>2891.1960271555699</v>
      </c>
      <c r="D14">
        <v>2937.5931369999998</v>
      </c>
      <c r="E14">
        <v>2989.1547300000002</v>
      </c>
      <c r="F14">
        <v>3043.6454389999999</v>
      </c>
      <c r="G14">
        <v>3100.4946679999998</v>
      </c>
      <c r="H14">
        <v>3160.2994159999998</v>
      </c>
      <c r="I14">
        <v>3221.7594239999999</v>
      </c>
      <c r="J14">
        <v>3284.1670610000001</v>
      </c>
      <c r="K14">
        <v>3347.3928000000001</v>
      </c>
      <c r="L14">
        <v>3412.2124979999999</v>
      </c>
      <c r="M14">
        <v>3478.8780660000002</v>
      </c>
      <c r="N14">
        <v>3530.6666719999998</v>
      </c>
      <c r="O14">
        <v>3583.2262329999999</v>
      </c>
      <c r="P14">
        <v>3636.5682259999999</v>
      </c>
      <c r="Q14">
        <v>3688.5571690000002</v>
      </c>
      <c r="R14">
        <v>3740.7142370000001</v>
      </c>
      <c r="S14">
        <v>3788.6067870000002</v>
      </c>
      <c r="T14">
        <v>3836.3616350000002</v>
      </c>
      <c r="U14" s="1">
        <v>3904.1247050000002</v>
      </c>
      <c r="V14" s="6">
        <f>[1]TER_RENO!LL$818*($U$14/($U$14+$U$15))/$B$33</f>
        <v>5629.8694598899856</v>
      </c>
      <c r="W14" s="6">
        <f>[1]TER_RENO!LM$818*($U$14/($U$14+$U$15))/$B$33</f>
        <v>5988.6868457397532</v>
      </c>
      <c r="X14" s="6">
        <f>[1]TER_RENO!LN$818*($U$14/($U$14+$U$15))/$B$33</f>
        <v>6221.8460089680875</v>
      </c>
      <c r="Y14" s="6">
        <f>[1]TER_RENO!LO$818*($U$14/($U$14+$U$15))/$B$33</f>
        <v>6302.726747573377</v>
      </c>
      <c r="Z14" s="6">
        <f>[1]TER_RENO!LP$818*($U$14/($U$14+$U$15))/$B$33</f>
        <v>6221.8460089680875</v>
      </c>
      <c r="AA14" s="6">
        <f>[1]TER_RENO!LQ$818*($U$14/($U$14+$U$15))/$B$33</f>
        <v>5988.6868457397532</v>
      </c>
      <c r="AB14" s="6">
        <f>[1]TER_RENO!LR$818*($U$14/($U$14+$U$15))/$B$33</f>
        <v>5629.8694598899856</v>
      </c>
      <c r="AC14" s="6">
        <f>[1]TER_RENO!LS$818*($U$14/($U$14+$U$15))/$B$33</f>
        <v>5635.6153626527184</v>
      </c>
      <c r="AD14" s="6">
        <f>[1]TER_RENO!LT$818*($U$14/($U$14+$U$15))/$B$33</f>
        <v>5570.956356346941</v>
      </c>
      <c r="AE14" s="6">
        <f>[1]TER_RENO!LU$818*($U$14/($U$14+$U$15))/$B$33</f>
        <v>5384.5604348284314</v>
      </c>
      <c r="AF14" s="6">
        <f>[1]TER_RENO!LV$818*($U$14/($U$14+$U$15))/$B$33</f>
        <v>5570.956356346941</v>
      </c>
      <c r="AG14" s="6">
        <f>[1]TER_RENO!LW$818*($U$14/($U$14+$U$15))/$B$33</f>
        <v>5635.6153626527184</v>
      </c>
      <c r="AH14" s="6">
        <f>[1]TER_RENO!LX$818*($U$14/($U$14+$U$15))/$B$33</f>
        <v>5570.956356346941</v>
      </c>
      <c r="AI14" s="6">
        <f>[1]TER_RENO!LY$818*($U$14/($U$14+$U$15))/$B$33</f>
        <v>5384.5604348284314</v>
      </c>
      <c r="AJ14" s="6">
        <f>[1]TER_RENO!LZ$818*($U$14/($U$14+$U$15))/$B$33</f>
        <v>5097.7087564887206</v>
      </c>
      <c r="AK14" s="6">
        <f>[1]TER_RENO!MA$818*($U$14/($U$14+$U$15))/$B$33</f>
        <v>4741.3858287934536</v>
      </c>
      <c r="AL14" s="6">
        <f>[1]TER_RENO!MB$818*($U$14/($U$14+$U$15))/$B$33</f>
        <v>4350.7854646918904</v>
      </c>
      <c r="AM14" s="6">
        <f>[1]TER_RENO!MC$818*($U$14/($U$14+$U$15))/$B$33</f>
        <v>4377.97151349862</v>
      </c>
      <c r="AN14" s="6">
        <f>[1]TER_RENO!MD$818*($U$14/($U$14+$U$15))/$B$33</f>
        <v>4641.1232843219104</v>
      </c>
      <c r="AO14" s="6">
        <f>[1]TER_RENO!ME$818*($U$14/($U$14+$U$15))/$B$33</f>
        <v>4641.1232843219104</v>
      </c>
      <c r="AP14" s="6">
        <f>[1]TER_RENO!MF$818*($U$14/($U$14+$U$15))/$B$33</f>
        <v>4852.9691164354253</v>
      </c>
      <c r="AQ14" s="6">
        <f>[1]TER_RENO!MG$818*($U$14/($U$14+$U$15))/$B$33</f>
        <v>4990.62631727596</v>
      </c>
      <c r="AR14" s="6">
        <f>[1]TER_RENO!MH$818*($U$14/($U$14+$U$15))/$B$33</f>
        <v>5038.3783160572202</v>
      </c>
      <c r="AS14" s="6">
        <f>[1]TER_RENO!MI$818*($U$14/($U$14+$U$15))/$B$33</f>
        <v>4990.62631727596</v>
      </c>
      <c r="AT14" s="6">
        <f>[1]TER_RENO!MJ$818*($U$14/($U$14+$U$15))/$B$33</f>
        <v>4852.9691164354253</v>
      </c>
      <c r="AU14" s="6">
        <f>[1]TER_RENO!MK$818*($U$14/($U$14+$U$15))/$B$33</f>
        <v>4641.1232843219104</v>
      </c>
      <c r="AV14" s="6">
        <f>[1]TER_RENO!ML$818*($U$14/($U$14+$U$15))/$B$33</f>
        <v>4377.97151349862</v>
      </c>
    </row>
    <row r="15" spans="1:48" x14ac:dyDescent="0.25">
      <c r="A15" t="s">
        <v>3</v>
      </c>
      <c r="B15">
        <v>1174.0188639370899</v>
      </c>
      <c r="C15">
        <v>1192.8681165447699</v>
      </c>
      <c r="D15">
        <v>1212.018814</v>
      </c>
      <c r="E15">
        <v>1233.380032</v>
      </c>
      <c r="F15">
        <v>1255.6082389999999</v>
      </c>
      <c r="G15">
        <v>1278.5904330000001</v>
      </c>
      <c r="H15">
        <v>1302.3516480000001</v>
      </c>
      <c r="I15">
        <v>1326.7181989999999</v>
      </c>
      <c r="J15">
        <v>1351.5215519999999</v>
      </c>
      <c r="K15">
        <v>1376.727155</v>
      </c>
      <c r="L15">
        <v>1402.4500479999999</v>
      </c>
      <c r="M15">
        <v>1428.755598</v>
      </c>
      <c r="N15">
        <v>1450.024885</v>
      </c>
      <c r="O15">
        <v>1471.610801</v>
      </c>
      <c r="P15">
        <v>1493.5180559999999</v>
      </c>
      <c r="Q15">
        <v>1514.8696219999999</v>
      </c>
      <c r="R15">
        <v>1536.2902349999999</v>
      </c>
      <c r="S15">
        <v>1555.9594360000001</v>
      </c>
      <c r="T15">
        <v>1575.572083</v>
      </c>
      <c r="U15" s="1">
        <v>1603.4019929999999</v>
      </c>
      <c r="V15" s="6">
        <f>[1]TER_RENO!LL$818*($U$15/($U$14+$U$15))/$B$33</f>
        <v>2312.1556288293395</v>
      </c>
      <c r="W15" s="6">
        <f>[1]TER_RENO!LM$818*($U$15/($U$14+$U$15))/$B$33</f>
        <v>2459.5199050927863</v>
      </c>
      <c r="X15" s="6">
        <f>[1]TER_RENO!LN$818*($U$15/($U$14+$U$15))/$B$33</f>
        <v>2555.2770581693103</v>
      </c>
      <c r="Y15" s="6">
        <f>[1]TER_RENO!LO$818*($U$15/($U$14+$U$15))/$B$33</f>
        <v>2588.4943212626094</v>
      </c>
      <c r="Z15" s="6">
        <f>[1]TER_RENO!LP$818*($U$15/($U$14+$U$15))/$B$33</f>
        <v>2555.2770581693103</v>
      </c>
      <c r="AA15" s="6">
        <f>[1]TER_RENO!LQ$818*($U$15/($U$14+$U$15))/$B$33</f>
        <v>2459.5199050927863</v>
      </c>
      <c r="AB15" s="6">
        <f>[1]TER_RENO!LR$818*($U$15/($U$14+$U$15))/$B$33</f>
        <v>2312.1556288293395</v>
      </c>
      <c r="AC15" s="6">
        <f>[1]TER_RENO!LS$818*($U$15/($U$14+$U$15))/$B$33</f>
        <v>2314.5154386810973</v>
      </c>
      <c r="AD15" s="6">
        <f>[1]TER_RENO!LT$818*($U$15/($U$14+$U$15))/$B$33</f>
        <v>2287.9603495356846</v>
      </c>
      <c r="AE15" s="6">
        <f>[1]TER_RENO!LU$818*($U$15/($U$14+$U$15))/$B$33</f>
        <v>2211.4085960358307</v>
      </c>
      <c r="AF15" s="6">
        <f>[1]TER_RENO!LV$818*($U$15/($U$14+$U$15))/$B$33</f>
        <v>2287.9603495356846</v>
      </c>
      <c r="AG15" s="6">
        <f>[1]TER_RENO!LW$818*($U$15/($U$14+$U$15))/$B$33</f>
        <v>2314.5154386810973</v>
      </c>
      <c r="AH15" s="6">
        <f>[1]TER_RENO!LX$818*($U$15/($U$14+$U$15))/$B$33</f>
        <v>2287.9603495356846</v>
      </c>
      <c r="AI15" s="6">
        <f>[1]TER_RENO!LY$818*($U$15/($U$14+$U$15))/$B$33</f>
        <v>2211.4085960358307</v>
      </c>
      <c r="AJ15" s="6">
        <f>[1]TER_RENO!LZ$818*($U$15/($U$14+$U$15))/$B$33</f>
        <v>2093.6002298849635</v>
      </c>
      <c r="AK15" s="6">
        <f>[1]TER_RENO!MA$818*($U$15/($U$14+$U$15))/$B$33</f>
        <v>1947.2604135142192</v>
      </c>
      <c r="AL15" s="6">
        <f>[1]TER_RENO!MB$818*($U$15/($U$14+$U$15))/$B$33</f>
        <v>1786.8430473719732</v>
      </c>
      <c r="AM15" s="6">
        <f>[1]TER_RENO!MC$818*($U$15/($U$14+$U$15))/$B$33</f>
        <v>1798.0082042591703</v>
      </c>
      <c r="AN15" s="6">
        <f>[1]TER_RENO!MD$818*($U$15/($U$14+$U$15))/$B$33</f>
        <v>1906.0831520852907</v>
      </c>
      <c r="AO15" s="6">
        <f>[1]TER_RENO!ME$818*($U$15/($U$14+$U$15))/$B$33</f>
        <v>1906.0831520852907</v>
      </c>
      <c r="AP15" s="6">
        <f>[1]TER_RENO!MF$818*($U$15/($U$14+$U$15))/$B$33</f>
        <v>1993.0870403024201</v>
      </c>
      <c r="AQ15" s="6">
        <f>[1]TER_RENO!MG$818*($U$15/($U$14+$U$15))/$B$33</f>
        <v>2049.6220761571508</v>
      </c>
      <c r="AR15" s="6">
        <f>[1]TER_RENO!MH$818*($U$15/($U$14+$U$15))/$B$33</f>
        <v>2069.2335526854358</v>
      </c>
      <c r="AS15" s="6">
        <f>[1]TER_RENO!MI$818*($U$15/($U$14+$U$15))/$B$33</f>
        <v>2049.6220761571508</v>
      </c>
      <c r="AT15" s="6">
        <f>[1]TER_RENO!MJ$818*($U$15/($U$14+$U$15))/$B$33</f>
        <v>1993.0870403024201</v>
      </c>
      <c r="AU15" s="6">
        <f>[1]TER_RENO!MK$818*($U$15/($U$14+$U$15))/$B$33</f>
        <v>1906.0831520852907</v>
      </c>
      <c r="AV15" s="6">
        <f>[1]TER_RENO!ML$818*($U$15/($U$14+$U$15))/$B$33</f>
        <v>1798.0082042591703</v>
      </c>
    </row>
    <row r="16" spans="1:48" x14ac:dyDescent="0.25">
      <c r="A16" t="s">
        <v>17</v>
      </c>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x14ac:dyDescent="0.25">
      <c r="B17" t="s">
        <v>4</v>
      </c>
      <c r="G17">
        <f>SUM(V14:AV15)</f>
        <v>200786.26411882552</v>
      </c>
    </row>
    <row r="18" spans="1:48" x14ac:dyDescent="0.25">
      <c r="B18" t="s">
        <v>5</v>
      </c>
      <c r="G18" s="3">
        <f>(43.6-86)/86</f>
        <v>-0.49302325581395345</v>
      </c>
    </row>
    <row r="20" spans="1:48" x14ac:dyDescent="0.25">
      <c r="B20" t="s">
        <v>7</v>
      </c>
    </row>
    <row r="21" spans="1:48" x14ac:dyDescent="0.25">
      <c r="B21" t="s">
        <v>8</v>
      </c>
    </row>
    <row r="22" spans="1:48" x14ac:dyDescent="0.25">
      <c r="B22" t="s">
        <v>11</v>
      </c>
      <c r="I22">
        <f>(2050-2023)*5000</f>
        <v>135000</v>
      </c>
      <c r="J22" t="s">
        <v>9</v>
      </c>
    </row>
    <row r="23" spans="1:48" x14ac:dyDescent="0.25">
      <c r="B23" t="s">
        <v>10</v>
      </c>
      <c r="I23" s="3">
        <f>G18*I22/G17</f>
        <v>-0.33148751398399712</v>
      </c>
    </row>
    <row r="24" spans="1:48" s="1" customFormat="1" x14ac:dyDescent="0.25">
      <c r="B24" s="1" t="s">
        <v>33</v>
      </c>
    </row>
    <row r="25" spans="1:48" x14ac:dyDescent="0.25">
      <c r="A25" s="2" t="s">
        <v>12</v>
      </c>
    </row>
    <row r="26" spans="1:48" x14ac:dyDescent="0.25">
      <c r="A26" t="s">
        <v>13</v>
      </c>
      <c r="B26">
        <f>B2</f>
        <v>27867.9582147734</v>
      </c>
      <c r="C26">
        <f t="shared" ref="C26:M26" si="0">C2</f>
        <v>28315.3872980581</v>
      </c>
      <c r="D26">
        <f t="shared" si="0"/>
        <v>28687.664290000001</v>
      </c>
      <c r="E26">
        <f t="shared" si="0"/>
        <v>29273.851330000001</v>
      </c>
      <c r="F26">
        <f t="shared" si="0"/>
        <v>28523.504809999999</v>
      </c>
      <c r="G26">
        <f t="shared" si="0"/>
        <v>27151.692650000001</v>
      </c>
      <c r="H26">
        <f t="shared" si="0"/>
        <v>27250.014510000001</v>
      </c>
      <c r="I26">
        <f t="shared" si="0"/>
        <v>26901.923859999999</v>
      </c>
      <c r="J26">
        <f t="shared" si="0"/>
        <v>26262.880529999999</v>
      </c>
      <c r="K26">
        <f t="shared" si="0"/>
        <v>25975.75157</v>
      </c>
      <c r="L26">
        <f t="shared" si="0"/>
        <v>26115.487440000001</v>
      </c>
      <c r="M26">
        <f t="shared" si="0"/>
        <v>26548.130369999999</v>
      </c>
      <c r="N26">
        <f>M26+($R$26-$M$26)/5</f>
        <v>25565.640505913387</v>
      </c>
      <c r="O26">
        <f t="shared" ref="O26:Q26" si="1">N26+($R$26-$M$26)/5</f>
        <v>24583.150641826775</v>
      </c>
      <c r="P26">
        <f t="shared" si="1"/>
        <v>23600.660777740162</v>
      </c>
      <c r="Q26">
        <f t="shared" si="1"/>
        <v>22618.17091365355</v>
      </c>
      <c r="R26">
        <f>M26*20.7/25.4</f>
        <v>21635.681049566931</v>
      </c>
      <c r="S26">
        <f>R26</f>
        <v>21635.681049566931</v>
      </c>
      <c r="T26">
        <f t="shared" ref="T26:U27" si="2">S26</f>
        <v>21635.681049566931</v>
      </c>
      <c r="U26">
        <f t="shared" si="2"/>
        <v>21635.681049566931</v>
      </c>
      <c r="V26">
        <f>U26+($AV$26-$U$26)/(2050-2023)</f>
        <v>21370.052970882796</v>
      </c>
      <c r="W26">
        <f t="shared" ref="W26:AU26" si="3">V26+($AV$26-$U$26)/(2050-2023)</f>
        <v>21104.424892198662</v>
      </c>
      <c r="X26">
        <f t="shared" si="3"/>
        <v>20838.796813514527</v>
      </c>
      <c r="Y26">
        <f t="shared" si="3"/>
        <v>20573.168734830393</v>
      </c>
      <c r="Z26">
        <f t="shared" si="3"/>
        <v>20307.540656146259</v>
      </c>
      <c r="AA26">
        <f t="shared" si="3"/>
        <v>20041.912577462124</v>
      </c>
      <c r="AB26">
        <f t="shared" si="3"/>
        <v>19776.28449877799</v>
      </c>
      <c r="AC26">
        <f t="shared" si="3"/>
        <v>19510.656420093856</v>
      </c>
      <c r="AD26">
        <f t="shared" si="3"/>
        <v>19245.028341409721</v>
      </c>
      <c r="AE26">
        <f t="shared" si="3"/>
        <v>18979.400262725587</v>
      </c>
      <c r="AF26">
        <f t="shared" si="3"/>
        <v>18713.772184041452</v>
      </c>
      <c r="AG26">
        <f t="shared" si="3"/>
        <v>18448.144105357318</v>
      </c>
      <c r="AH26">
        <f t="shared" si="3"/>
        <v>18182.516026673184</v>
      </c>
      <c r="AI26">
        <f t="shared" si="3"/>
        <v>17916.887947989049</v>
      </c>
      <c r="AJ26">
        <f t="shared" si="3"/>
        <v>17651.259869304915</v>
      </c>
      <c r="AK26">
        <f t="shared" si="3"/>
        <v>17385.631790620781</v>
      </c>
      <c r="AL26">
        <f t="shared" si="3"/>
        <v>17120.003711936646</v>
      </c>
      <c r="AM26">
        <f t="shared" si="3"/>
        <v>16854.375633252512</v>
      </c>
      <c r="AN26">
        <f t="shared" si="3"/>
        <v>16588.747554568377</v>
      </c>
      <c r="AO26">
        <f t="shared" si="3"/>
        <v>16323.119475884243</v>
      </c>
      <c r="AP26">
        <f t="shared" si="3"/>
        <v>16057.491397200109</v>
      </c>
      <c r="AQ26">
        <f t="shared" si="3"/>
        <v>15791.863318515974</v>
      </c>
      <c r="AR26">
        <f t="shared" si="3"/>
        <v>15526.23523983184</v>
      </c>
      <c r="AS26">
        <f t="shared" si="3"/>
        <v>15260.607161147705</v>
      </c>
      <c r="AT26">
        <f t="shared" si="3"/>
        <v>14994.979082463571</v>
      </c>
      <c r="AU26">
        <f t="shared" si="3"/>
        <v>14729.351003779437</v>
      </c>
      <c r="AV26">
        <f>U26*(1+$I$23)</f>
        <v>14463.722925095311</v>
      </c>
    </row>
    <row r="27" spans="1:48" x14ac:dyDescent="0.25">
      <c r="A27" t="s">
        <v>14</v>
      </c>
      <c r="B27">
        <f>B4</f>
        <v>6240.0203969263302</v>
      </c>
      <c r="C27">
        <f t="shared" ref="C27:M27" si="4">C4</f>
        <v>6340.2059427907698</v>
      </c>
      <c r="D27">
        <f t="shared" si="4"/>
        <v>6469.0101830000003</v>
      </c>
      <c r="E27">
        <f t="shared" si="4"/>
        <v>6478.6199420000003</v>
      </c>
      <c r="F27">
        <f t="shared" si="4"/>
        <v>6352.8577740000001</v>
      </c>
      <c r="G27">
        <f t="shared" si="4"/>
        <v>6370.1046329999999</v>
      </c>
      <c r="H27">
        <f t="shared" si="4"/>
        <v>6318.3951809999999</v>
      </c>
      <c r="I27">
        <f t="shared" si="4"/>
        <v>6250.3408010000003</v>
      </c>
      <c r="J27">
        <f t="shared" si="4"/>
        <v>6207.0005940000001</v>
      </c>
      <c r="K27">
        <f t="shared" si="4"/>
        <v>6208.5857120000001</v>
      </c>
      <c r="L27">
        <f t="shared" si="4"/>
        <v>6195.6502209999999</v>
      </c>
      <c r="M27">
        <f t="shared" si="4"/>
        <v>6220.141455</v>
      </c>
      <c r="N27">
        <f>M27+($R$27-$M$27)/5</f>
        <v>5989.9472436732285</v>
      </c>
      <c r="O27">
        <f t="shared" ref="O27:Q27" si="5">N27+($R$27-$M$27)/5</f>
        <v>5759.7530323464571</v>
      </c>
      <c r="P27">
        <f t="shared" si="5"/>
        <v>5529.5588210196856</v>
      </c>
      <c r="Q27">
        <f t="shared" si="5"/>
        <v>5299.3646096929142</v>
      </c>
      <c r="R27">
        <f>M27*20.7/25.4</f>
        <v>5069.1703983661419</v>
      </c>
      <c r="S27">
        <f>R27</f>
        <v>5069.1703983661419</v>
      </c>
      <c r="T27">
        <f t="shared" si="2"/>
        <v>5069.1703983661419</v>
      </c>
      <c r="U27">
        <f t="shared" si="2"/>
        <v>5069.1703983661419</v>
      </c>
      <c r="V27">
        <f>U27+($AV$27-$U$27)/(2050-2023)</f>
        <v>5006.9345949100061</v>
      </c>
      <c r="W27">
        <f t="shared" ref="W27:AU27" si="6">V27+($AV$27-$U$27)/(2050-2023)</f>
        <v>4944.6987914538704</v>
      </c>
      <c r="X27">
        <f t="shared" si="6"/>
        <v>4882.4629879977347</v>
      </c>
      <c r="Y27">
        <f t="shared" si="6"/>
        <v>4820.2271845415989</v>
      </c>
      <c r="Z27">
        <f t="shared" si="6"/>
        <v>4757.9913810854632</v>
      </c>
      <c r="AA27">
        <f t="shared" si="6"/>
        <v>4695.7555776293275</v>
      </c>
      <c r="AB27">
        <f t="shared" si="6"/>
        <v>4633.5197741731918</v>
      </c>
      <c r="AC27">
        <f t="shared" si="6"/>
        <v>4571.283970717056</v>
      </c>
      <c r="AD27">
        <f t="shared" si="6"/>
        <v>4509.0481672609203</v>
      </c>
      <c r="AE27">
        <f t="shared" si="6"/>
        <v>4446.8123638047846</v>
      </c>
      <c r="AF27">
        <f t="shared" si="6"/>
        <v>4384.5765603486489</v>
      </c>
      <c r="AG27">
        <f t="shared" si="6"/>
        <v>4322.3407568925131</v>
      </c>
      <c r="AH27">
        <f t="shared" si="6"/>
        <v>4260.1049534363774</v>
      </c>
      <c r="AI27">
        <f t="shared" si="6"/>
        <v>4197.8691499802417</v>
      </c>
      <c r="AJ27">
        <f t="shared" si="6"/>
        <v>4135.6333465241059</v>
      </c>
      <c r="AK27">
        <f t="shared" si="6"/>
        <v>4073.3975430679702</v>
      </c>
      <c r="AL27">
        <f t="shared" si="6"/>
        <v>4011.1617396118345</v>
      </c>
      <c r="AM27">
        <f t="shared" si="6"/>
        <v>3948.9259361556988</v>
      </c>
      <c r="AN27">
        <f t="shared" si="6"/>
        <v>3886.690132699563</v>
      </c>
      <c r="AO27">
        <f t="shared" si="6"/>
        <v>3824.4543292434273</v>
      </c>
      <c r="AP27">
        <f t="shared" si="6"/>
        <v>3762.2185257872916</v>
      </c>
      <c r="AQ27">
        <f t="shared" si="6"/>
        <v>3699.9827223311559</v>
      </c>
      <c r="AR27">
        <f t="shared" si="6"/>
        <v>3637.7469188750201</v>
      </c>
      <c r="AS27">
        <f t="shared" si="6"/>
        <v>3575.5111154188844</v>
      </c>
      <c r="AT27">
        <f t="shared" si="6"/>
        <v>3513.2753119627487</v>
      </c>
      <c r="AU27">
        <f t="shared" si="6"/>
        <v>3451.0395085066129</v>
      </c>
      <c r="AV27">
        <f>U27*(1+$I$23)</f>
        <v>3388.8037050504813</v>
      </c>
    </row>
    <row r="29" spans="1:48" x14ac:dyDescent="0.25">
      <c r="A29" s="2" t="s">
        <v>27</v>
      </c>
    </row>
    <row r="30" spans="1:48" x14ac:dyDescent="0.25">
      <c r="A30" t="s">
        <v>2</v>
      </c>
      <c r="B30">
        <f>B41</f>
        <v>2845.5104366881201</v>
      </c>
      <c r="C30">
        <f t="shared" ref="C30:M30" si="7">C41</f>
        <v>2891.1960271555699</v>
      </c>
      <c r="D30">
        <f t="shared" si="7"/>
        <v>2937.7393569999999</v>
      </c>
      <c r="E30">
        <f t="shared" si="7"/>
        <v>3088.8847860000001</v>
      </c>
      <c r="F30">
        <f t="shared" si="7"/>
        <v>3197.067912</v>
      </c>
      <c r="G30">
        <f t="shared" si="7"/>
        <v>2894.0657959999999</v>
      </c>
      <c r="H30">
        <f t="shared" si="7"/>
        <v>2901.9892060000002</v>
      </c>
      <c r="I30">
        <f t="shared" si="7"/>
        <v>3017.6105459999999</v>
      </c>
      <c r="J30">
        <f t="shared" si="7"/>
        <v>3098.6731340000001</v>
      </c>
      <c r="K30">
        <f t="shared" si="7"/>
        <v>3102.8120640000002</v>
      </c>
      <c r="L30">
        <f t="shared" si="7"/>
        <v>3162.0007700000001</v>
      </c>
      <c r="M30">
        <f t="shared" si="7"/>
        <v>3275.109492</v>
      </c>
      <c r="N30">
        <f>M30+($V$30-$M$30)/(2024-2015)</f>
        <v>3278.0381206134152</v>
      </c>
      <c r="O30">
        <f t="shared" ref="O30:U30" si="8">N30+($V$30-$M$30)/(2024-2015)</f>
        <v>3280.9667492268304</v>
      </c>
      <c r="P30">
        <f t="shared" si="8"/>
        <v>3283.8953778402456</v>
      </c>
      <c r="Q30">
        <f t="shared" si="8"/>
        <v>3286.8240064536608</v>
      </c>
      <c r="R30">
        <f t="shared" si="8"/>
        <v>3289.752635067076</v>
      </c>
      <c r="S30">
        <f t="shared" si="8"/>
        <v>3292.6812636804912</v>
      </c>
      <c r="T30">
        <f t="shared" si="8"/>
        <v>3295.6098922939063</v>
      </c>
      <c r="U30">
        <f t="shared" si="8"/>
        <v>3298.5385209073215</v>
      </c>
      <c r="V30">
        <f>5000/$B$33*U14/(U14+U15)</f>
        <v>3301.4671495207385</v>
      </c>
      <c r="W30">
        <f>V30</f>
        <v>3301.4671495207385</v>
      </c>
      <c r="X30">
        <f t="shared" ref="X30:AV31" si="9">W30</f>
        <v>3301.4671495207385</v>
      </c>
      <c r="Y30">
        <f t="shared" si="9"/>
        <v>3301.4671495207385</v>
      </c>
      <c r="Z30">
        <f t="shared" si="9"/>
        <v>3301.4671495207385</v>
      </c>
      <c r="AA30">
        <f t="shared" si="9"/>
        <v>3301.4671495207385</v>
      </c>
      <c r="AB30">
        <f t="shared" si="9"/>
        <v>3301.4671495207385</v>
      </c>
      <c r="AC30">
        <f t="shared" si="9"/>
        <v>3301.4671495207385</v>
      </c>
      <c r="AD30">
        <f t="shared" si="9"/>
        <v>3301.4671495207385</v>
      </c>
      <c r="AE30">
        <f t="shared" si="9"/>
        <v>3301.4671495207385</v>
      </c>
      <c r="AF30">
        <f t="shared" si="9"/>
        <v>3301.4671495207385</v>
      </c>
      <c r="AG30">
        <f t="shared" si="9"/>
        <v>3301.4671495207385</v>
      </c>
      <c r="AH30">
        <f t="shared" si="9"/>
        <v>3301.4671495207385</v>
      </c>
      <c r="AI30">
        <f t="shared" si="9"/>
        <v>3301.4671495207385</v>
      </c>
      <c r="AJ30">
        <f t="shared" si="9"/>
        <v>3301.4671495207385</v>
      </c>
      <c r="AK30">
        <f t="shared" si="9"/>
        <v>3301.4671495207385</v>
      </c>
      <c r="AL30">
        <f t="shared" si="9"/>
        <v>3301.4671495207385</v>
      </c>
      <c r="AM30">
        <f t="shared" si="9"/>
        <v>3301.4671495207385</v>
      </c>
      <c r="AN30">
        <f t="shared" si="9"/>
        <v>3301.4671495207385</v>
      </c>
      <c r="AO30">
        <f t="shared" si="9"/>
        <v>3301.4671495207385</v>
      </c>
      <c r="AP30">
        <f t="shared" si="9"/>
        <v>3301.4671495207385</v>
      </c>
      <c r="AQ30">
        <f t="shared" si="9"/>
        <v>3301.4671495207385</v>
      </c>
      <c r="AR30">
        <f t="shared" si="9"/>
        <v>3301.4671495207385</v>
      </c>
      <c r="AS30">
        <f t="shared" si="9"/>
        <v>3301.4671495207385</v>
      </c>
      <c r="AT30">
        <f t="shared" si="9"/>
        <v>3301.4671495207385</v>
      </c>
      <c r="AU30">
        <f t="shared" si="9"/>
        <v>3301.4671495207385</v>
      </c>
      <c r="AV30">
        <f t="shared" si="9"/>
        <v>3301.4671495207385</v>
      </c>
    </row>
    <row r="31" spans="1:48" x14ac:dyDescent="0.25">
      <c r="A31" t="s">
        <v>3</v>
      </c>
      <c r="B31">
        <f>B43</f>
        <v>1174.0188639370999</v>
      </c>
      <c r="C31">
        <f t="shared" ref="C31:M31" si="10">C43</f>
        <v>1192.8681165447699</v>
      </c>
      <c r="D31">
        <f t="shared" si="10"/>
        <v>1212.005083</v>
      </c>
      <c r="E31">
        <f t="shared" si="10"/>
        <v>1220.9905739999999</v>
      </c>
      <c r="F31">
        <f t="shared" si="10"/>
        <v>1338.8406299999999</v>
      </c>
      <c r="G31">
        <f t="shared" si="10"/>
        <v>1110.784363</v>
      </c>
      <c r="H31">
        <f t="shared" si="10"/>
        <v>1229.253539</v>
      </c>
      <c r="I31">
        <f t="shared" si="10"/>
        <v>1348.2073109999999</v>
      </c>
      <c r="J31">
        <f t="shared" si="10"/>
        <v>1490.6003639999999</v>
      </c>
      <c r="K31">
        <f t="shared" si="10"/>
        <v>1394.520571</v>
      </c>
      <c r="L31">
        <f t="shared" si="10"/>
        <v>1249.7008800000001</v>
      </c>
      <c r="M31">
        <f t="shared" si="10"/>
        <v>1051.0242430000001</v>
      </c>
      <c r="N31">
        <f>M31+($V$31-$M$31)/(2024-2015)</f>
        <v>1084.8986531759015</v>
      </c>
      <c r="O31">
        <f t="shared" ref="O31:U31" si="11">N31+($V$31-$M$31)/(2024-2015)</f>
        <v>1118.7730633518029</v>
      </c>
      <c r="P31">
        <f t="shared" si="11"/>
        <v>1152.6474735277043</v>
      </c>
      <c r="Q31">
        <f t="shared" si="11"/>
        <v>1186.5218837036057</v>
      </c>
      <c r="R31">
        <f t="shared" si="11"/>
        <v>1220.3962938795071</v>
      </c>
      <c r="S31">
        <f t="shared" si="11"/>
        <v>1254.2707040554085</v>
      </c>
      <c r="T31">
        <f t="shared" si="11"/>
        <v>1288.1451142313099</v>
      </c>
      <c r="U31">
        <f t="shared" si="11"/>
        <v>1322.0195244072113</v>
      </c>
      <c r="V31">
        <f>5000/$B$33*U15/(U14+U15)</f>
        <v>1355.8939345831118</v>
      </c>
      <c r="W31">
        <f>V31</f>
        <v>1355.8939345831118</v>
      </c>
      <c r="X31">
        <f t="shared" si="9"/>
        <v>1355.8939345831118</v>
      </c>
      <c r="Y31">
        <f t="shared" si="9"/>
        <v>1355.8939345831118</v>
      </c>
      <c r="Z31">
        <f t="shared" si="9"/>
        <v>1355.8939345831118</v>
      </c>
      <c r="AA31">
        <f t="shared" si="9"/>
        <v>1355.8939345831118</v>
      </c>
      <c r="AB31">
        <f t="shared" si="9"/>
        <v>1355.8939345831118</v>
      </c>
      <c r="AC31">
        <f t="shared" si="9"/>
        <v>1355.8939345831118</v>
      </c>
      <c r="AD31">
        <f t="shared" si="9"/>
        <v>1355.8939345831118</v>
      </c>
      <c r="AE31">
        <f t="shared" si="9"/>
        <v>1355.8939345831118</v>
      </c>
      <c r="AF31">
        <f t="shared" si="9"/>
        <v>1355.8939345831118</v>
      </c>
      <c r="AG31">
        <f t="shared" si="9"/>
        <v>1355.8939345831118</v>
      </c>
      <c r="AH31">
        <f t="shared" si="9"/>
        <v>1355.8939345831118</v>
      </c>
      <c r="AI31">
        <f t="shared" si="9"/>
        <v>1355.8939345831118</v>
      </c>
      <c r="AJ31">
        <f t="shared" si="9"/>
        <v>1355.8939345831118</v>
      </c>
      <c r="AK31">
        <f t="shared" si="9"/>
        <v>1355.8939345831118</v>
      </c>
      <c r="AL31">
        <f t="shared" si="9"/>
        <v>1355.8939345831118</v>
      </c>
      <c r="AM31">
        <f t="shared" si="9"/>
        <v>1355.8939345831118</v>
      </c>
      <c r="AN31">
        <f t="shared" si="9"/>
        <v>1355.8939345831118</v>
      </c>
      <c r="AO31">
        <f t="shared" si="9"/>
        <v>1355.8939345831118</v>
      </c>
      <c r="AP31">
        <f t="shared" si="9"/>
        <v>1355.8939345831118</v>
      </c>
      <c r="AQ31">
        <f t="shared" si="9"/>
        <v>1355.8939345831118</v>
      </c>
      <c r="AR31">
        <f t="shared" si="9"/>
        <v>1355.8939345831118</v>
      </c>
      <c r="AS31">
        <f t="shared" si="9"/>
        <v>1355.8939345831118</v>
      </c>
      <c r="AT31">
        <f t="shared" si="9"/>
        <v>1355.8939345831118</v>
      </c>
      <c r="AU31">
        <f t="shared" si="9"/>
        <v>1355.8939345831118</v>
      </c>
      <c r="AV31">
        <f t="shared" si="9"/>
        <v>1355.8939345831118</v>
      </c>
    </row>
    <row r="33" spans="1:48" x14ac:dyDescent="0.25">
      <c r="A33" s="5" t="s">
        <v>28</v>
      </c>
      <c r="B33" s="5">
        <v>1.0735693260000001</v>
      </c>
    </row>
    <row r="34" spans="1:48" x14ac:dyDescent="0.25">
      <c r="A34" s="2" t="s">
        <v>15</v>
      </c>
    </row>
    <row r="35" spans="1:48" x14ac:dyDescent="0.25">
      <c r="A35" t="s">
        <v>2</v>
      </c>
      <c r="V35">
        <f>V14/$B$33</f>
        <v>5244.0669862152763</v>
      </c>
      <c r="W35">
        <f t="shared" ref="W35:AV36" si="12">W14/$B$33</f>
        <v>5578.2954120465929</v>
      </c>
      <c r="X35">
        <f t="shared" si="12"/>
        <v>5795.4766946909649</v>
      </c>
      <c r="Y35">
        <f t="shared" si="12"/>
        <v>5870.8148555777352</v>
      </c>
      <c r="Z35">
        <f t="shared" si="12"/>
        <v>5795.4766946909649</v>
      </c>
      <c r="AA35">
        <f t="shared" si="12"/>
        <v>5578.2954120465929</v>
      </c>
      <c r="AB35">
        <f t="shared" si="12"/>
        <v>5244.0669862152763</v>
      </c>
      <c r="AC35">
        <f t="shared" si="12"/>
        <v>5249.4191349993152</v>
      </c>
      <c r="AD35">
        <f t="shared" si="12"/>
        <v>5189.1910670582447</v>
      </c>
      <c r="AE35">
        <f t="shared" si="12"/>
        <v>5015.5684448350485</v>
      </c>
      <c r="AF35">
        <f t="shared" si="12"/>
        <v>5189.1910670582447</v>
      </c>
      <c r="AG35">
        <f t="shared" si="12"/>
        <v>5249.4191349993152</v>
      </c>
      <c r="AH35">
        <f t="shared" si="12"/>
        <v>5189.1910670582447</v>
      </c>
      <c r="AI35">
        <f t="shared" si="12"/>
        <v>5015.5684448350485</v>
      </c>
      <c r="AJ35">
        <f t="shared" si="12"/>
        <v>4748.3740761131994</v>
      </c>
      <c r="AK35">
        <f t="shared" si="12"/>
        <v>4416.4691687488221</v>
      </c>
      <c r="AL35">
        <f t="shared" si="12"/>
        <v>4052.6357817081389</v>
      </c>
      <c r="AM35">
        <f t="shared" si="12"/>
        <v>4077.9588308567413</v>
      </c>
      <c r="AN35">
        <f t="shared" si="12"/>
        <v>4323.0773941858224</v>
      </c>
      <c r="AO35">
        <f t="shared" si="12"/>
        <v>4323.0773941858224</v>
      </c>
      <c r="AP35">
        <f t="shared" si="12"/>
        <v>4520.405901048839</v>
      </c>
      <c r="AQ35">
        <f t="shared" si="12"/>
        <v>4648.6297590771137</v>
      </c>
      <c r="AR35">
        <f t="shared" si="12"/>
        <v>4693.1094192395167</v>
      </c>
      <c r="AS35">
        <f t="shared" si="12"/>
        <v>4648.6297590771137</v>
      </c>
      <c r="AT35">
        <f t="shared" si="12"/>
        <v>4520.405901048839</v>
      </c>
      <c r="AU35">
        <f t="shared" si="12"/>
        <v>4323.0773941858224</v>
      </c>
      <c r="AV35">
        <f t="shared" si="12"/>
        <v>4077.9588308567413</v>
      </c>
    </row>
    <row r="36" spans="1:48" x14ac:dyDescent="0.25">
      <c r="A36" t="s">
        <v>3</v>
      </c>
      <c r="V36">
        <f>V15/$B$33</f>
        <v>2153.7087292202864</v>
      </c>
      <c r="W36">
        <f t="shared" si="12"/>
        <v>2290.9744583115876</v>
      </c>
      <c r="X36">
        <f t="shared" si="12"/>
        <v>2380.1695859642232</v>
      </c>
      <c r="Y36">
        <f t="shared" si="12"/>
        <v>2411.1105436544572</v>
      </c>
      <c r="Z36">
        <f t="shared" si="12"/>
        <v>2380.1695859642232</v>
      </c>
      <c r="AA36">
        <f t="shared" si="12"/>
        <v>2290.9744583115876</v>
      </c>
      <c r="AB36">
        <f t="shared" si="12"/>
        <v>2153.7087292202864</v>
      </c>
      <c r="AC36">
        <f t="shared" si="12"/>
        <v>2155.9068265341784</v>
      </c>
      <c r="AD36">
        <f t="shared" si="12"/>
        <v>2131.1714987800278</v>
      </c>
      <c r="AE36">
        <f t="shared" si="12"/>
        <v>2059.865667246002</v>
      </c>
      <c r="AF36">
        <f t="shared" si="12"/>
        <v>2131.1714987800278</v>
      </c>
      <c r="AG36">
        <f t="shared" si="12"/>
        <v>2155.9068265341784</v>
      </c>
      <c r="AH36">
        <f t="shared" si="12"/>
        <v>2131.1714987800278</v>
      </c>
      <c r="AI36">
        <f t="shared" si="12"/>
        <v>2059.865667246002</v>
      </c>
      <c r="AJ36">
        <f t="shared" si="12"/>
        <v>1950.1304472674205</v>
      </c>
      <c r="AK36">
        <f t="shared" si="12"/>
        <v>1813.8189741034189</v>
      </c>
      <c r="AL36">
        <f t="shared" si="12"/>
        <v>1664.394654446352</v>
      </c>
      <c r="AM36">
        <f t="shared" si="12"/>
        <v>1674.7946878832211</v>
      </c>
      <c r="AN36">
        <f t="shared" si="12"/>
        <v>1775.4634991176067</v>
      </c>
      <c r="AO36">
        <f t="shared" si="12"/>
        <v>1775.4634991176067</v>
      </c>
      <c r="AP36">
        <f t="shared" si="12"/>
        <v>1856.5052037472426</v>
      </c>
      <c r="AQ36">
        <f t="shared" si="12"/>
        <v>1909.1660189228903</v>
      </c>
      <c r="AR36">
        <f t="shared" si="12"/>
        <v>1927.4335644398204</v>
      </c>
      <c r="AS36">
        <f t="shared" si="12"/>
        <v>1909.1660189228903</v>
      </c>
      <c r="AT36">
        <f t="shared" si="12"/>
        <v>1856.5052037472426</v>
      </c>
      <c r="AU36">
        <f t="shared" si="12"/>
        <v>1775.4634991176067</v>
      </c>
      <c r="AV36">
        <f t="shared" si="12"/>
        <v>1674.7946878832211</v>
      </c>
    </row>
    <row r="38" spans="1:48" x14ac:dyDescent="0.25">
      <c r="A38" t="s">
        <v>25</v>
      </c>
    </row>
    <row r="39" spans="1:48" x14ac:dyDescent="0.25">
      <c r="A39" t="s">
        <v>26</v>
      </c>
    </row>
    <row r="40" spans="1:48" x14ac:dyDescent="0.25">
      <c r="B40">
        <v>2004</v>
      </c>
      <c r="C40">
        <v>2005</v>
      </c>
      <c r="D40">
        <v>2006</v>
      </c>
      <c r="E40">
        <v>2007</v>
      </c>
      <c r="F40">
        <v>2008</v>
      </c>
      <c r="G40">
        <v>2009</v>
      </c>
      <c r="H40">
        <v>2010</v>
      </c>
      <c r="I40">
        <v>2011</v>
      </c>
      <c r="J40">
        <v>2012</v>
      </c>
      <c r="K40">
        <v>2013</v>
      </c>
      <c r="L40">
        <v>2014</v>
      </c>
      <c r="M40">
        <v>2015</v>
      </c>
      <c r="N40">
        <v>2016</v>
      </c>
      <c r="O40">
        <v>2017</v>
      </c>
      <c r="P40">
        <v>2018</v>
      </c>
      <c r="Q40">
        <v>2019</v>
      </c>
      <c r="R40">
        <v>2020</v>
      </c>
      <c r="S40">
        <v>2021</v>
      </c>
      <c r="T40">
        <v>2022</v>
      </c>
      <c r="U40">
        <v>2023</v>
      </c>
      <c r="V40">
        <v>2024</v>
      </c>
      <c r="W40">
        <v>2025</v>
      </c>
      <c r="X40">
        <v>2026</v>
      </c>
      <c r="Y40">
        <v>2027</v>
      </c>
      <c r="Z40">
        <v>2028</v>
      </c>
      <c r="AA40">
        <v>2029</v>
      </c>
      <c r="AB40">
        <v>2030</v>
      </c>
      <c r="AC40">
        <v>2031</v>
      </c>
      <c r="AD40">
        <v>2032</v>
      </c>
      <c r="AE40">
        <v>2033</v>
      </c>
      <c r="AF40">
        <v>2034</v>
      </c>
      <c r="AG40">
        <v>2035</v>
      </c>
      <c r="AH40">
        <v>2036</v>
      </c>
      <c r="AI40">
        <v>2037</v>
      </c>
      <c r="AJ40">
        <v>2038</v>
      </c>
      <c r="AK40">
        <v>2039</v>
      </c>
      <c r="AL40">
        <v>2040</v>
      </c>
      <c r="AM40">
        <v>2041</v>
      </c>
      <c r="AN40">
        <v>2042</v>
      </c>
      <c r="AO40">
        <v>2043</v>
      </c>
      <c r="AP40">
        <v>2044</v>
      </c>
      <c r="AQ40">
        <v>2045</v>
      </c>
      <c r="AR40">
        <v>2046</v>
      </c>
      <c r="AS40">
        <v>2047</v>
      </c>
      <c r="AT40">
        <v>2048</v>
      </c>
      <c r="AU40">
        <v>2049</v>
      </c>
      <c r="AV40">
        <v>2050</v>
      </c>
    </row>
    <row r="41" spans="1:48" x14ac:dyDescent="0.25">
      <c r="A41" t="s">
        <v>19</v>
      </c>
      <c r="B41">
        <v>2845.5104366881201</v>
      </c>
      <c r="C41">
        <v>2891.1960271555699</v>
      </c>
      <c r="D41">
        <v>2937.7393569999999</v>
      </c>
      <c r="E41">
        <v>3088.8847860000001</v>
      </c>
      <c r="F41">
        <v>3197.067912</v>
      </c>
      <c r="G41">
        <v>2894.0657959999999</v>
      </c>
      <c r="H41">
        <v>2901.9892060000002</v>
      </c>
      <c r="I41">
        <v>3017.6105459999999</v>
      </c>
      <c r="J41">
        <v>3098.6731340000001</v>
      </c>
      <c r="K41">
        <v>3102.8120640000002</v>
      </c>
      <c r="L41">
        <v>3162.0007700000001</v>
      </c>
      <c r="M41">
        <v>3275.109492</v>
      </c>
      <c r="N41">
        <v>3274.4283220000002</v>
      </c>
      <c r="O41">
        <v>3316.9958900000001</v>
      </c>
      <c r="P41">
        <v>3360.116837</v>
      </c>
      <c r="Q41">
        <v>3403.7983549999999</v>
      </c>
      <c r="R41">
        <v>3448.0477340000002</v>
      </c>
      <c r="S41">
        <v>3492.872355</v>
      </c>
      <c r="T41">
        <v>3538.2796950000002</v>
      </c>
      <c r="U41">
        <v>3584.2773309999998</v>
      </c>
      <c r="V41">
        <v>3584.2773309999998</v>
      </c>
      <c r="W41">
        <v>3584.2773309999998</v>
      </c>
      <c r="X41">
        <v>3584.2773309999998</v>
      </c>
      <c r="Y41">
        <v>3584.2773309999998</v>
      </c>
      <c r="Z41">
        <v>3584.2773309999998</v>
      </c>
      <c r="AA41">
        <v>3584.2773309999998</v>
      </c>
      <c r="AB41">
        <v>3584.2773309999998</v>
      </c>
      <c r="AC41">
        <v>3584.2773309999998</v>
      </c>
      <c r="AD41">
        <v>3584.2773309999998</v>
      </c>
      <c r="AE41">
        <v>3584.2773309999998</v>
      </c>
      <c r="AF41">
        <v>3584.2773309999998</v>
      </c>
      <c r="AG41">
        <v>3584.2773309999998</v>
      </c>
      <c r="AH41">
        <v>3584.2773309999998</v>
      </c>
      <c r="AI41">
        <v>3584.2773309999998</v>
      </c>
      <c r="AJ41">
        <v>3584.2773309999998</v>
      </c>
      <c r="AK41">
        <v>3584.2773309999998</v>
      </c>
      <c r="AL41">
        <v>3584.2773309999998</v>
      </c>
      <c r="AM41">
        <v>3584.2773309999998</v>
      </c>
      <c r="AN41">
        <v>3584.2773309999998</v>
      </c>
      <c r="AO41">
        <v>3584.2773309999998</v>
      </c>
      <c r="AP41">
        <v>3584.2773309999998</v>
      </c>
      <c r="AQ41">
        <v>3584.2773309999998</v>
      </c>
      <c r="AR41">
        <v>3584.2773309999998</v>
      </c>
      <c r="AS41">
        <v>3584.2773309999998</v>
      </c>
      <c r="AT41">
        <v>3584.2773309999998</v>
      </c>
      <c r="AU41">
        <v>3584.2773309999998</v>
      </c>
      <c r="AV41">
        <v>3584.2773309999998</v>
      </c>
    </row>
    <row r="42" spans="1:48" x14ac:dyDescent="0.25">
      <c r="A42" t="s">
        <v>20</v>
      </c>
      <c r="B42">
        <v>2845.5104366881201</v>
      </c>
      <c r="C42">
        <v>2891.1960271555699</v>
      </c>
      <c r="D42">
        <v>2937.7393569999999</v>
      </c>
      <c r="E42">
        <v>3088.8847860000001</v>
      </c>
      <c r="F42">
        <v>3197.067912</v>
      </c>
      <c r="G42">
        <v>2894.0657959999999</v>
      </c>
      <c r="H42">
        <v>2901.9892060000002</v>
      </c>
      <c r="I42">
        <v>3017.6105459999999</v>
      </c>
      <c r="J42">
        <v>3098.6731340000001</v>
      </c>
      <c r="K42">
        <v>3102.8120640000002</v>
      </c>
      <c r="L42">
        <v>3162.0007700000001</v>
      </c>
      <c r="M42">
        <v>3275.109492</v>
      </c>
      <c r="N42">
        <v>3274.4283220000002</v>
      </c>
      <c r="O42">
        <v>3316.9958900000001</v>
      </c>
      <c r="P42">
        <v>3360.116837</v>
      </c>
      <c r="Q42">
        <v>3403.7983549999999</v>
      </c>
      <c r="R42">
        <v>3448.0477340000002</v>
      </c>
      <c r="S42">
        <v>3492.872355</v>
      </c>
      <c r="T42">
        <v>3538.2796950000002</v>
      </c>
      <c r="U42">
        <v>3584.2773309999998</v>
      </c>
      <c r="V42">
        <v>7151.2082030000001</v>
      </c>
      <c r="W42">
        <v>8445.7879209999901</v>
      </c>
      <c r="X42">
        <v>9738.6377620000003</v>
      </c>
      <c r="Y42">
        <v>10918.03285</v>
      </c>
      <c r="Z42">
        <v>11867.485070000001</v>
      </c>
      <c r="AA42">
        <v>12484.43821</v>
      </c>
      <c r="AB42">
        <v>12698.4535</v>
      </c>
      <c r="AC42">
        <v>12512.05479</v>
      </c>
      <c r="AD42">
        <v>11880.05687</v>
      </c>
      <c r="AE42">
        <v>10907.45161</v>
      </c>
      <c r="AF42">
        <v>9699.2962000000007</v>
      </c>
      <c r="AG42">
        <v>8374.9191510000001</v>
      </c>
      <c r="AH42">
        <v>7048.7702200000003</v>
      </c>
      <c r="AI42">
        <v>5814.9285280000004</v>
      </c>
      <c r="AJ42">
        <v>4737.9433019999997</v>
      </c>
      <c r="AK42">
        <v>3850.6736030000002</v>
      </c>
      <c r="AL42">
        <v>3157.9908839999998</v>
      </c>
      <c r="AM42">
        <v>2644.1131019999998</v>
      </c>
      <c r="AN42">
        <v>2281.1072509999999</v>
      </c>
      <c r="AO42">
        <v>2036.561874</v>
      </c>
      <c r="AP42">
        <v>1879.2732530000001</v>
      </c>
      <c r="AQ42">
        <v>1782.5940840000001</v>
      </c>
      <c r="AR42">
        <v>1725.76334</v>
      </c>
      <c r="AS42">
        <v>1693.795938</v>
      </c>
      <c r="AT42">
        <v>1676.5804989999999</v>
      </c>
      <c r="AU42">
        <v>1667.700904</v>
      </c>
      <c r="AV42">
        <v>1663.3127489999999</v>
      </c>
    </row>
    <row r="43" spans="1:48" x14ac:dyDescent="0.25">
      <c r="A43" t="s">
        <v>21</v>
      </c>
      <c r="B43">
        <v>1174.0188639370999</v>
      </c>
      <c r="C43">
        <v>1192.8681165447699</v>
      </c>
      <c r="D43">
        <v>1212.005083</v>
      </c>
      <c r="E43">
        <v>1220.9905739999999</v>
      </c>
      <c r="F43">
        <v>1338.8406299999999</v>
      </c>
      <c r="G43">
        <v>1110.784363</v>
      </c>
      <c r="H43">
        <v>1229.253539</v>
      </c>
      <c r="I43">
        <v>1348.2073109999999</v>
      </c>
      <c r="J43">
        <v>1490.6003639999999</v>
      </c>
      <c r="K43">
        <v>1394.520571</v>
      </c>
      <c r="L43">
        <v>1249.7008800000001</v>
      </c>
      <c r="M43">
        <v>1051.0242430000001</v>
      </c>
      <c r="N43">
        <v>1210.9286440000001</v>
      </c>
      <c r="O43">
        <v>1226.6707160000001</v>
      </c>
      <c r="P43">
        <v>1242.6174349999999</v>
      </c>
      <c r="Q43">
        <v>1258.7714619999999</v>
      </c>
      <c r="R43">
        <v>1275.135491</v>
      </c>
      <c r="S43">
        <v>1291.712252</v>
      </c>
      <c r="T43">
        <v>1308.504512</v>
      </c>
      <c r="U43">
        <v>1325.5150699999999</v>
      </c>
      <c r="V43">
        <v>1325.5150699999999</v>
      </c>
      <c r="W43">
        <v>1325.5150699999999</v>
      </c>
      <c r="X43">
        <v>1325.5150699999999</v>
      </c>
      <c r="Y43">
        <v>1325.5150699999999</v>
      </c>
      <c r="Z43">
        <v>1325.5150699999999</v>
      </c>
      <c r="AA43">
        <v>1325.5150699999999</v>
      </c>
      <c r="AB43">
        <v>1325.5150699999999</v>
      </c>
      <c r="AC43">
        <v>1325.5150699999999</v>
      </c>
      <c r="AD43">
        <v>1325.5150699999999</v>
      </c>
      <c r="AE43">
        <v>1325.5150699999999</v>
      </c>
      <c r="AF43">
        <v>1325.5150699999999</v>
      </c>
      <c r="AG43">
        <v>1325.5150699999999</v>
      </c>
      <c r="AH43">
        <v>1325.5150699999999</v>
      </c>
      <c r="AI43">
        <v>1325.5150699999999</v>
      </c>
      <c r="AJ43">
        <v>1325.5150699999999</v>
      </c>
      <c r="AK43">
        <v>1325.5150699999999</v>
      </c>
      <c r="AL43">
        <v>1325.5150699999999</v>
      </c>
      <c r="AM43">
        <v>1325.5150699999999</v>
      </c>
      <c r="AN43">
        <v>1325.5150699999999</v>
      </c>
      <c r="AO43">
        <v>1325.5150699999999</v>
      </c>
      <c r="AP43">
        <v>1325.5150699999999</v>
      </c>
      <c r="AQ43">
        <v>1325.5150699999999</v>
      </c>
      <c r="AR43">
        <v>1325.5150699999999</v>
      </c>
      <c r="AS43">
        <v>1325.5150699999999</v>
      </c>
      <c r="AT43">
        <v>1325.5150699999999</v>
      </c>
      <c r="AU43">
        <v>1325.5150699999999</v>
      </c>
      <c r="AV43">
        <v>1325.5150699999999</v>
      </c>
    </row>
    <row r="44" spans="1:48" x14ac:dyDescent="0.25">
      <c r="A44" t="s">
        <v>22</v>
      </c>
      <c r="B44">
        <v>1174.0188639370999</v>
      </c>
      <c r="C44">
        <v>1192.8681165447699</v>
      </c>
      <c r="D44">
        <v>1212.005083</v>
      </c>
      <c r="E44">
        <v>1220.9905739999999</v>
      </c>
      <c r="F44">
        <v>1338.8406299999999</v>
      </c>
      <c r="G44">
        <v>1110.784363</v>
      </c>
      <c r="H44">
        <v>1229.253539</v>
      </c>
      <c r="I44">
        <v>1348.2073109999999</v>
      </c>
      <c r="J44">
        <v>1490.6003639999999</v>
      </c>
      <c r="K44">
        <v>1394.520571</v>
      </c>
      <c r="L44">
        <v>1249.7008800000001</v>
      </c>
      <c r="M44">
        <v>1051.0242430000001</v>
      </c>
      <c r="N44">
        <v>1210.9286440000001</v>
      </c>
      <c r="O44">
        <v>1226.6707160000001</v>
      </c>
      <c r="P44">
        <v>1242.6174349999999</v>
      </c>
      <c r="Q44">
        <v>1258.7714619999999</v>
      </c>
      <c r="R44">
        <v>1275.135491</v>
      </c>
      <c r="S44">
        <v>1291.712252</v>
      </c>
      <c r="T44">
        <v>1308.504512</v>
      </c>
      <c r="U44">
        <v>1325.5150699999999</v>
      </c>
      <c r="V44">
        <v>2644.6151810000001</v>
      </c>
      <c r="W44">
        <v>3123.3685719999999</v>
      </c>
      <c r="X44">
        <v>3601.4822300000001</v>
      </c>
      <c r="Y44">
        <v>4037.6387610000002</v>
      </c>
      <c r="Z44">
        <v>4388.7592549999999</v>
      </c>
      <c r="AA44">
        <v>4616.9170130000002</v>
      </c>
      <c r="AB44">
        <v>4696.0628109999998</v>
      </c>
      <c r="AC44">
        <v>4627.130005</v>
      </c>
      <c r="AD44">
        <v>4393.4084780000003</v>
      </c>
      <c r="AE44">
        <v>4033.7256739999998</v>
      </c>
      <c r="AF44">
        <v>3586.9331790000001</v>
      </c>
      <c r="AG44">
        <v>3097.1603260000002</v>
      </c>
      <c r="AH44">
        <v>2606.7322049999998</v>
      </c>
      <c r="AI44">
        <v>2150.440572</v>
      </c>
      <c r="AJ44">
        <v>1752.156618</v>
      </c>
      <c r="AK44">
        <v>1424.0320770000001</v>
      </c>
      <c r="AL44">
        <v>1167.868477</v>
      </c>
      <c r="AM44">
        <v>977.8294032</v>
      </c>
      <c r="AN44">
        <v>843.58484539999995</v>
      </c>
      <c r="AO44">
        <v>753.14860050000004</v>
      </c>
      <c r="AP44">
        <v>694.9811042</v>
      </c>
      <c r="AQ44">
        <v>659.22781740000005</v>
      </c>
      <c r="AR44">
        <v>638.21102640000004</v>
      </c>
      <c r="AS44">
        <v>626.38904130000003</v>
      </c>
      <c r="AT44">
        <v>620.02253519999999</v>
      </c>
      <c r="AU44">
        <v>616.73873890000004</v>
      </c>
      <c r="AV44">
        <v>615.11593870000002</v>
      </c>
    </row>
    <row r="45" spans="1:48" x14ac:dyDescent="0.25">
      <c r="A45" t="s">
        <v>23</v>
      </c>
      <c r="B45">
        <v>1</v>
      </c>
      <c r="C45">
        <v>1</v>
      </c>
      <c r="D45">
        <v>0.99997885414856402</v>
      </c>
      <c r="E45">
        <v>0.983015399202396</v>
      </c>
      <c r="F45">
        <v>0.98318717666326505</v>
      </c>
      <c r="G45">
        <v>1.05229896715174</v>
      </c>
      <c r="H45">
        <v>1.0317351566330999</v>
      </c>
      <c r="I45">
        <v>1.00164622535753</v>
      </c>
      <c r="J45">
        <v>0.99306829017739096</v>
      </c>
      <c r="K45">
        <v>1.0016799328778101</v>
      </c>
      <c r="L45">
        <v>0.99713522017896195</v>
      </c>
      <c r="M45">
        <v>0.98696151621669104</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EE947-F8A8-4F65-A42C-323710EF262E}">
  <dimension ref="A1:AV42"/>
  <sheetViews>
    <sheetView tabSelected="1" topLeftCell="A10" workbookViewId="0">
      <selection activeCell="M42" sqref="M42"/>
    </sheetView>
  </sheetViews>
  <sheetFormatPr baseColWidth="10" defaultRowHeight="15" x14ac:dyDescent="0.25"/>
  <cols>
    <col min="1" max="1" width="22.5703125" customWidth="1"/>
  </cols>
  <sheetData>
    <row r="1" spans="1:48" x14ac:dyDescent="0.25">
      <c r="B1">
        <v>2004</v>
      </c>
      <c r="C1">
        <v>2005</v>
      </c>
      <c r="D1">
        <v>2006</v>
      </c>
      <c r="E1">
        <v>2007</v>
      </c>
      <c r="F1">
        <v>2008</v>
      </c>
      <c r="G1">
        <v>2009</v>
      </c>
      <c r="H1">
        <v>2010</v>
      </c>
      <c r="I1">
        <v>2011</v>
      </c>
      <c r="J1">
        <v>2012</v>
      </c>
      <c r="K1">
        <v>2013</v>
      </c>
      <c r="L1">
        <v>2014</v>
      </c>
      <c r="M1">
        <v>2015</v>
      </c>
      <c r="N1">
        <v>2016</v>
      </c>
      <c r="O1">
        <v>2017</v>
      </c>
      <c r="P1">
        <v>2018</v>
      </c>
      <c r="Q1">
        <v>2019</v>
      </c>
      <c r="R1">
        <v>2020</v>
      </c>
      <c r="S1">
        <v>2021</v>
      </c>
      <c r="T1">
        <v>2022</v>
      </c>
      <c r="U1">
        <v>2023</v>
      </c>
      <c r="V1">
        <v>2024</v>
      </c>
      <c r="W1">
        <v>2025</v>
      </c>
      <c r="X1">
        <v>2026</v>
      </c>
      <c r="Y1">
        <v>2027</v>
      </c>
      <c r="Z1">
        <v>2028</v>
      </c>
      <c r="AA1">
        <v>2029</v>
      </c>
      <c r="AB1">
        <v>2030</v>
      </c>
      <c r="AC1">
        <v>2031</v>
      </c>
      <c r="AD1">
        <v>2032</v>
      </c>
      <c r="AE1">
        <v>2033</v>
      </c>
      <c r="AF1">
        <v>2034</v>
      </c>
      <c r="AG1">
        <v>2035</v>
      </c>
      <c r="AH1">
        <v>2036</v>
      </c>
      <c r="AI1">
        <v>2037</v>
      </c>
      <c r="AJ1">
        <v>2038</v>
      </c>
      <c r="AK1">
        <v>2039</v>
      </c>
      <c r="AL1">
        <v>2040</v>
      </c>
      <c r="AM1">
        <v>2041</v>
      </c>
      <c r="AN1">
        <v>2042</v>
      </c>
      <c r="AO1">
        <v>2043</v>
      </c>
      <c r="AP1">
        <v>2044</v>
      </c>
      <c r="AQ1">
        <v>2045</v>
      </c>
      <c r="AR1">
        <v>2046</v>
      </c>
      <c r="AS1">
        <v>2047</v>
      </c>
      <c r="AT1">
        <v>2048</v>
      </c>
      <c r="AU1">
        <v>2049</v>
      </c>
      <c r="AV1">
        <v>2050</v>
      </c>
    </row>
    <row r="2" spans="1:48" x14ac:dyDescent="0.25">
      <c r="A2" t="s">
        <v>29</v>
      </c>
      <c r="B2">
        <v>27867.9582147734</v>
      </c>
      <c r="C2">
        <v>28315.3872980581</v>
      </c>
      <c r="D2">
        <v>28862.868119999999</v>
      </c>
      <c r="E2">
        <v>29492.504959999998</v>
      </c>
      <c r="F2">
        <v>28683.332640000001</v>
      </c>
      <c r="G2">
        <v>27352.100050000001</v>
      </c>
      <c r="H2">
        <v>27559.673119999999</v>
      </c>
      <c r="I2">
        <v>27182.754509999999</v>
      </c>
      <c r="J2">
        <v>26537.860990000001</v>
      </c>
      <c r="K2">
        <v>26321.297760000001</v>
      </c>
      <c r="L2">
        <v>26541.643329999999</v>
      </c>
      <c r="M2">
        <v>27050.752990000001</v>
      </c>
      <c r="N2">
        <v>27050.752990000001</v>
      </c>
      <c r="O2">
        <v>27050.752990000001</v>
      </c>
      <c r="P2">
        <v>27050.752990000001</v>
      </c>
      <c r="Q2">
        <v>27050.752990000001</v>
      </c>
      <c r="R2">
        <v>27050.752990000001</v>
      </c>
      <c r="S2">
        <v>27050.752990000001</v>
      </c>
      <c r="T2">
        <v>27050.752990000001</v>
      </c>
      <c r="U2">
        <v>22391.581129999999</v>
      </c>
      <c r="V2">
        <v>22391.580709999998</v>
      </c>
      <c r="W2">
        <v>22391.580300000001</v>
      </c>
      <c r="X2">
        <v>22391.579880000001</v>
      </c>
      <c r="Y2">
        <v>22391.579470000001</v>
      </c>
      <c r="Z2">
        <v>22391.57905</v>
      </c>
      <c r="AA2">
        <v>22391.57864</v>
      </c>
      <c r="AB2">
        <v>20944.630809999999</v>
      </c>
      <c r="AC2">
        <v>20944.630990000001</v>
      </c>
      <c r="AD2">
        <v>20944.63118</v>
      </c>
      <c r="AE2">
        <v>20944.631359999999</v>
      </c>
      <c r="AF2">
        <v>20944.631549999998</v>
      </c>
      <c r="AG2">
        <v>20944.631730000001</v>
      </c>
      <c r="AH2">
        <v>20944.63191</v>
      </c>
      <c r="AI2">
        <v>20944.632099999999</v>
      </c>
      <c r="AJ2">
        <v>20944.632280000002</v>
      </c>
      <c r="AK2">
        <v>20944.63247</v>
      </c>
      <c r="AL2">
        <v>20929.353899999998</v>
      </c>
      <c r="AM2">
        <v>20929.353899999998</v>
      </c>
      <c r="AN2">
        <v>20929.353899999998</v>
      </c>
      <c r="AO2">
        <v>20929.353899999998</v>
      </c>
      <c r="AP2">
        <v>20929.353899999998</v>
      </c>
      <c r="AQ2">
        <v>20929.353899999998</v>
      </c>
      <c r="AR2">
        <v>20929.353899999998</v>
      </c>
      <c r="AS2">
        <v>20929.353899999998</v>
      </c>
      <c r="AT2">
        <v>20929.353899999998</v>
      </c>
      <c r="AU2">
        <v>20929.353899999998</v>
      </c>
      <c r="AV2">
        <v>21194.010849999999</v>
      </c>
    </row>
    <row r="3" spans="1:48" x14ac:dyDescent="0.25">
      <c r="A3" t="s">
        <v>0</v>
      </c>
      <c r="B3">
        <v>27867.9582147734</v>
      </c>
      <c r="C3">
        <v>28315.3872980581</v>
      </c>
      <c r="D3">
        <v>28862.868119999999</v>
      </c>
      <c r="E3">
        <v>29492.504959999998</v>
      </c>
      <c r="F3">
        <v>28683.332640000001</v>
      </c>
      <c r="G3">
        <v>27352.100050000001</v>
      </c>
      <c r="H3">
        <v>27559.673119999999</v>
      </c>
      <c r="I3">
        <v>27182.754509999999</v>
      </c>
      <c r="J3">
        <v>26537.860990000001</v>
      </c>
      <c r="K3">
        <v>26321.297760000001</v>
      </c>
      <c r="L3">
        <v>26541.643329999999</v>
      </c>
      <c r="M3">
        <v>27050.752990000001</v>
      </c>
      <c r="N3">
        <v>26468.356510000001</v>
      </c>
      <c r="O3">
        <v>25885.960029999998</v>
      </c>
      <c r="P3">
        <v>25303.563549999999</v>
      </c>
      <c r="Q3">
        <v>24721.16706</v>
      </c>
      <c r="R3">
        <v>24138.77058</v>
      </c>
      <c r="S3">
        <v>23556.374100000001</v>
      </c>
      <c r="T3">
        <v>22973.977610000002</v>
      </c>
      <c r="U3">
        <v>22391.581129999999</v>
      </c>
      <c r="V3">
        <v>22042.910039999999</v>
      </c>
      <c r="W3">
        <v>21694.238939999999</v>
      </c>
      <c r="X3">
        <v>21345.56784</v>
      </c>
      <c r="Y3">
        <v>20996.89674</v>
      </c>
      <c r="Z3">
        <v>20648.22565</v>
      </c>
      <c r="AA3">
        <v>20299.554550000001</v>
      </c>
      <c r="AB3">
        <v>19950.883450000001</v>
      </c>
      <c r="AC3">
        <v>19729.569319999999</v>
      </c>
      <c r="AD3">
        <v>19508.2552</v>
      </c>
      <c r="AE3">
        <v>19286.941070000001</v>
      </c>
      <c r="AF3">
        <v>19065.626939999998</v>
      </c>
      <c r="AG3">
        <v>18844.312819999999</v>
      </c>
      <c r="AH3">
        <v>18622.99869</v>
      </c>
      <c r="AI3">
        <v>18401.684560000002</v>
      </c>
      <c r="AJ3">
        <v>18180.370429999999</v>
      </c>
      <c r="AK3">
        <v>17959.05631</v>
      </c>
      <c r="AL3">
        <v>17737.742180000001</v>
      </c>
      <c r="AM3">
        <v>17592.042259999998</v>
      </c>
      <c r="AN3">
        <v>17446.342339999999</v>
      </c>
      <c r="AO3">
        <v>17300.64242</v>
      </c>
      <c r="AP3">
        <v>17154.942500000001</v>
      </c>
      <c r="AQ3">
        <v>17009.242579999998</v>
      </c>
      <c r="AR3">
        <v>16863.542659999999</v>
      </c>
      <c r="AS3">
        <v>16717.84274</v>
      </c>
      <c r="AT3">
        <v>16572.142820000001</v>
      </c>
      <c r="AU3">
        <v>16426.442899999998</v>
      </c>
      <c r="AV3">
        <v>16280.742980000001</v>
      </c>
    </row>
    <row r="4" spans="1:48" x14ac:dyDescent="0.25">
      <c r="A4" t="s">
        <v>30</v>
      </c>
      <c r="B4">
        <v>6240.0203969263302</v>
      </c>
      <c r="C4">
        <v>6340.2059427907698</v>
      </c>
      <c r="D4">
        <v>6509.6276049999997</v>
      </c>
      <c r="E4">
        <v>6528.777908</v>
      </c>
      <c r="F4">
        <v>6389.4615469999999</v>
      </c>
      <c r="G4">
        <v>6415.1840400000001</v>
      </c>
      <c r="H4">
        <v>6388.0748059999996</v>
      </c>
      <c r="I4">
        <v>6314.3757999999998</v>
      </c>
      <c r="J4">
        <v>6273.3649400000004</v>
      </c>
      <c r="K4">
        <v>6291.8236770000003</v>
      </c>
      <c r="L4">
        <v>6295.9734779999999</v>
      </c>
      <c r="M4">
        <v>6330.1623890000001</v>
      </c>
      <c r="N4">
        <v>5748.4773510000005</v>
      </c>
      <c r="O4">
        <v>5166.7922980000003</v>
      </c>
      <c r="P4">
        <v>4585.1073509999997</v>
      </c>
      <c r="Q4">
        <v>4003.4222220000001</v>
      </c>
      <c r="R4">
        <v>3421.7371760000001</v>
      </c>
      <c r="S4">
        <v>2840.0515329999998</v>
      </c>
      <c r="T4">
        <v>2258.3663900000001</v>
      </c>
      <c r="U4">
        <v>5239.8652309999998</v>
      </c>
      <c r="V4">
        <v>5033.4106179999999</v>
      </c>
      <c r="W4">
        <v>4826.9560019999999</v>
      </c>
      <c r="X4">
        <v>4620.5013840000001</v>
      </c>
      <c r="Y4">
        <v>4414.0467479999998</v>
      </c>
      <c r="Z4">
        <v>4207.5921410000001</v>
      </c>
      <c r="AA4">
        <v>4001.1375549999998</v>
      </c>
      <c r="AB4">
        <v>4901.2629610000004</v>
      </c>
      <c r="AC4">
        <v>4899.7371380000004</v>
      </c>
      <c r="AD4">
        <v>4898.2113140000001</v>
      </c>
      <c r="AE4">
        <v>4896.6854899999998</v>
      </c>
      <c r="AF4">
        <v>4895.1596659999996</v>
      </c>
      <c r="AG4">
        <v>4893.6338420000002</v>
      </c>
      <c r="AH4">
        <v>4892.1080179999999</v>
      </c>
      <c r="AI4">
        <v>4890.5821939999996</v>
      </c>
      <c r="AJ4">
        <v>4889.0563700000002</v>
      </c>
      <c r="AK4">
        <v>4887.530546</v>
      </c>
      <c r="AL4">
        <v>4897.688005</v>
      </c>
      <c r="AM4">
        <v>4924.1213580000003</v>
      </c>
      <c r="AN4">
        <v>4950.5547109999998</v>
      </c>
      <c r="AO4">
        <v>4976.9880640000001</v>
      </c>
      <c r="AP4">
        <v>5003.4214169999996</v>
      </c>
      <c r="AQ4">
        <v>5029.8547699999999</v>
      </c>
      <c r="AR4">
        <v>5056.2881230000003</v>
      </c>
      <c r="AS4">
        <v>5082.7214759999997</v>
      </c>
      <c r="AT4">
        <v>5109.1548290000001</v>
      </c>
      <c r="AU4">
        <v>5135.5881820000004</v>
      </c>
      <c r="AV4">
        <v>4959.6205140000002</v>
      </c>
    </row>
    <row r="5" spans="1:48" x14ac:dyDescent="0.25">
      <c r="A5" t="s">
        <v>1</v>
      </c>
      <c r="B5">
        <v>6240.0203969263302</v>
      </c>
      <c r="C5">
        <v>6340.2059427907698</v>
      </c>
      <c r="D5">
        <v>6509.6276049999997</v>
      </c>
      <c r="E5">
        <v>6528.777908</v>
      </c>
      <c r="F5">
        <v>6389.4615469999999</v>
      </c>
      <c r="G5">
        <v>6415.1840400000001</v>
      </c>
      <c r="H5">
        <v>6388.0748059999996</v>
      </c>
      <c r="I5">
        <v>6314.3757999999998</v>
      </c>
      <c r="J5">
        <v>6273.3649400000004</v>
      </c>
      <c r="K5">
        <v>6291.8236770000003</v>
      </c>
      <c r="L5">
        <v>6295.9734779999999</v>
      </c>
      <c r="M5">
        <v>6330.1623890000001</v>
      </c>
      <c r="N5">
        <v>6193.8754509999999</v>
      </c>
      <c r="O5">
        <v>6057.5885120000003</v>
      </c>
      <c r="P5">
        <v>5921.3015740000001</v>
      </c>
      <c r="Q5">
        <v>5785.0146350000005</v>
      </c>
      <c r="R5">
        <v>5648.7276970000003</v>
      </c>
      <c r="S5">
        <v>5512.4407579999997</v>
      </c>
      <c r="T5">
        <v>5376.1538190000001</v>
      </c>
      <c r="U5">
        <v>5239.8668820000003</v>
      </c>
      <c r="V5">
        <v>5158.2741560000004</v>
      </c>
      <c r="W5">
        <v>5076.681431</v>
      </c>
      <c r="X5">
        <v>4995.0887050000001</v>
      </c>
      <c r="Y5">
        <v>4913.4959790000003</v>
      </c>
      <c r="Z5">
        <v>4831.9032530000004</v>
      </c>
      <c r="AA5">
        <v>4750.310528</v>
      </c>
      <c r="AB5">
        <v>4668.7178020000001</v>
      </c>
      <c r="AC5">
        <v>4616.9279550000001</v>
      </c>
      <c r="AD5">
        <v>4565.1381080000001</v>
      </c>
      <c r="AE5">
        <v>4513.3482610000001</v>
      </c>
      <c r="AF5">
        <v>4461.5584129999997</v>
      </c>
      <c r="AG5">
        <v>4409.7685659999997</v>
      </c>
      <c r="AH5">
        <v>4357.9787189999997</v>
      </c>
      <c r="AI5">
        <v>4306.1888719999997</v>
      </c>
      <c r="AJ5">
        <v>4254.3990249999997</v>
      </c>
      <c r="AK5">
        <v>4202.6091770000003</v>
      </c>
      <c r="AL5">
        <v>4150.8193300000003</v>
      </c>
      <c r="AM5">
        <v>4116.7240069999998</v>
      </c>
      <c r="AN5">
        <v>4082.6286839999998</v>
      </c>
      <c r="AO5">
        <v>4048.5333620000001</v>
      </c>
      <c r="AP5">
        <v>4014.4380390000001</v>
      </c>
      <c r="AQ5">
        <v>3980.3427160000001</v>
      </c>
      <c r="AR5">
        <v>3946.2473930000001</v>
      </c>
      <c r="AS5">
        <v>3912.152071</v>
      </c>
      <c r="AT5">
        <v>3878.056748</v>
      </c>
      <c r="AU5">
        <v>3843.961425</v>
      </c>
      <c r="AV5">
        <v>3809.8661029999998</v>
      </c>
    </row>
    <row r="6" spans="1:48" x14ac:dyDescent="0.25">
      <c r="A6" t="s">
        <v>35</v>
      </c>
      <c r="B6">
        <v>2845.5104366881201</v>
      </c>
      <c r="C6">
        <v>2891.1960271555699</v>
      </c>
      <c r="D6">
        <v>2943.5845680000002</v>
      </c>
      <c r="E6">
        <v>3133.1792930000001</v>
      </c>
      <c r="F6">
        <v>3140.1504759999998</v>
      </c>
      <c r="G6">
        <v>2843.7839020000001</v>
      </c>
      <c r="H6">
        <v>2998.0436220000001</v>
      </c>
      <c r="I6">
        <v>3131.2999140000002</v>
      </c>
      <c r="J6">
        <v>3154.2445229999998</v>
      </c>
      <c r="K6">
        <v>3152.2018950000001</v>
      </c>
      <c r="L6">
        <v>3210.558407</v>
      </c>
      <c r="M6">
        <v>3284.9175380000001</v>
      </c>
      <c r="N6">
        <v>3309.8851300000001</v>
      </c>
      <c r="O6">
        <v>3565.7657429999999</v>
      </c>
      <c r="P6">
        <v>3821.8730289999999</v>
      </c>
      <c r="Q6">
        <v>4152.6475039999996</v>
      </c>
      <c r="R6">
        <v>4308.6649170000001</v>
      </c>
      <c r="S6">
        <v>4596.8260090000003</v>
      </c>
      <c r="T6">
        <v>4889.3865100000003</v>
      </c>
      <c r="U6">
        <v>5269.6313010000003</v>
      </c>
      <c r="V6">
        <v>5639.0722889999997</v>
      </c>
      <c r="W6">
        <v>6056.7688980000003</v>
      </c>
      <c r="X6">
        <v>6473.931372</v>
      </c>
      <c r="Y6">
        <v>6966.042308</v>
      </c>
      <c r="Z6">
        <v>7501.9914129999997</v>
      </c>
      <c r="AA6">
        <v>8102.9812590000001</v>
      </c>
      <c r="AB6">
        <v>8816.6374560000004</v>
      </c>
      <c r="AC6">
        <v>9624.9849470000008</v>
      </c>
      <c r="AD6">
        <v>10535.82149</v>
      </c>
      <c r="AE6">
        <v>11601.34319</v>
      </c>
      <c r="AF6">
        <v>12830.55947</v>
      </c>
      <c r="AG6">
        <v>14303.21984</v>
      </c>
      <c r="AH6">
        <v>16057.74079</v>
      </c>
      <c r="AI6">
        <v>18130.09578</v>
      </c>
      <c r="AJ6">
        <v>20573.893319999999</v>
      </c>
      <c r="AK6">
        <v>23493.984110000001</v>
      </c>
      <c r="AL6">
        <v>27008.059819999999</v>
      </c>
      <c r="AM6">
        <v>31254.282729999999</v>
      </c>
      <c r="AN6">
        <v>36484.234429999997</v>
      </c>
      <c r="AO6">
        <v>42890.17067</v>
      </c>
      <c r="AP6">
        <v>50773.365510000003</v>
      </c>
      <c r="AQ6">
        <v>60586.771330000003</v>
      </c>
      <c r="AR6">
        <v>72726.511270000003</v>
      </c>
      <c r="AS6">
        <v>87728.845490000007</v>
      </c>
      <c r="AT6">
        <v>106378.2758</v>
      </c>
      <c r="AU6">
        <v>129705.2167</v>
      </c>
      <c r="AV6">
        <v>159083.81760000001</v>
      </c>
    </row>
    <row r="7" spans="1:48" x14ac:dyDescent="0.25">
      <c r="A7" t="s">
        <v>20</v>
      </c>
      <c r="B7">
        <v>2845.5104366881201</v>
      </c>
      <c r="C7">
        <v>2891.1960271555699</v>
      </c>
      <c r="D7">
        <v>2943.5845680000002</v>
      </c>
      <c r="E7">
        <v>3133.1792930000001</v>
      </c>
      <c r="F7">
        <v>3140.1504759999998</v>
      </c>
      <c r="G7">
        <v>2843.7839020000001</v>
      </c>
      <c r="H7">
        <v>2998.0436220000001</v>
      </c>
      <c r="I7">
        <v>3131.2999140000002</v>
      </c>
      <c r="J7">
        <v>3154.2445229999998</v>
      </c>
      <c r="K7">
        <v>3152.2018950000001</v>
      </c>
      <c r="L7">
        <v>3210.558407</v>
      </c>
      <c r="M7">
        <v>3284.9175380000001</v>
      </c>
      <c r="N7">
        <v>3309.8328320000001</v>
      </c>
      <c r="O7">
        <v>3565.6696449999999</v>
      </c>
      <c r="P7">
        <v>3821.7364080000002</v>
      </c>
      <c r="Q7">
        <v>4152.40164</v>
      </c>
      <c r="R7">
        <v>4308.5887919999996</v>
      </c>
      <c r="S7">
        <v>4596.4382059999998</v>
      </c>
      <c r="T7">
        <v>4889.4588460000004</v>
      </c>
      <c r="U7">
        <v>5271.1487969999998</v>
      </c>
      <c r="V7">
        <v>5729.4190930000004</v>
      </c>
      <c r="W7">
        <v>5329.9531189999998</v>
      </c>
      <c r="X7">
        <v>4934.3045000000002</v>
      </c>
      <c r="Y7">
        <v>4563.8973839999999</v>
      </c>
      <c r="Z7">
        <v>4254.8622009999999</v>
      </c>
      <c r="AA7">
        <v>4024.5957349999999</v>
      </c>
      <c r="AB7">
        <v>3899.1208270000002</v>
      </c>
      <c r="AC7">
        <v>3881.251726</v>
      </c>
      <c r="AD7">
        <v>3902.29106</v>
      </c>
      <c r="AE7">
        <v>3980.9466889999999</v>
      </c>
      <c r="AF7">
        <v>4133.7632370000001</v>
      </c>
      <c r="AG7">
        <v>4297.0203250000004</v>
      </c>
      <c r="AH7">
        <v>4493.4890999999998</v>
      </c>
      <c r="AI7">
        <v>4752.3394939999998</v>
      </c>
      <c r="AJ7">
        <v>5109.010706</v>
      </c>
      <c r="AK7">
        <v>5616.9962150000001</v>
      </c>
      <c r="AL7">
        <v>6350.0684739999997</v>
      </c>
      <c r="AM7">
        <v>7395.6625800000002</v>
      </c>
      <c r="AN7">
        <v>8669.7837980000004</v>
      </c>
      <c r="AO7">
        <v>10071.90706</v>
      </c>
      <c r="AP7">
        <v>11786.93742</v>
      </c>
      <c r="AQ7">
        <v>13698.16907</v>
      </c>
      <c r="AR7">
        <v>15907.856</v>
      </c>
      <c r="AS7">
        <v>18515.10123</v>
      </c>
      <c r="AT7">
        <v>21717.55444</v>
      </c>
      <c r="AU7">
        <v>25846.04666</v>
      </c>
      <c r="AV7">
        <v>31296.39532</v>
      </c>
    </row>
    <row r="8" spans="1:48" x14ac:dyDescent="0.25">
      <c r="A8" t="s">
        <v>36</v>
      </c>
      <c r="B8">
        <v>1174.0188639370899</v>
      </c>
      <c r="C8">
        <v>1192.8681165447699</v>
      </c>
      <c r="D8">
        <v>1226.4196870000001</v>
      </c>
      <c r="E8">
        <v>1260.5823720000001</v>
      </c>
      <c r="F8">
        <v>1271.087098</v>
      </c>
      <c r="G8">
        <v>1302.6893869999999</v>
      </c>
      <c r="H8">
        <v>1322.518677</v>
      </c>
      <c r="I8">
        <v>1353.227009</v>
      </c>
      <c r="J8">
        <v>1412.3567390000001</v>
      </c>
      <c r="K8">
        <v>1455.7046789999999</v>
      </c>
      <c r="L8">
        <v>1489.949705</v>
      </c>
      <c r="M8">
        <v>1542.6559970000001</v>
      </c>
      <c r="N8">
        <v>1607.1087990000001</v>
      </c>
      <c r="O8">
        <v>1669.608853</v>
      </c>
      <c r="P8">
        <v>1728.3398910000001</v>
      </c>
      <c r="Q8">
        <v>1792.6949239999999</v>
      </c>
      <c r="R8">
        <v>1867.5036070000001</v>
      </c>
      <c r="S8">
        <v>1953.8870429999999</v>
      </c>
      <c r="T8">
        <v>2046.850999</v>
      </c>
      <c r="U8">
        <v>2138.6850629999999</v>
      </c>
      <c r="V8">
        <v>2230.6156030000002</v>
      </c>
      <c r="W8">
        <v>2335.541667</v>
      </c>
      <c r="X8">
        <v>2439.8934450000002</v>
      </c>
      <c r="Y8">
        <v>2568.0385200000001</v>
      </c>
      <c r="Z8">
        <v>2694.9142200000001</v>
      </c>
      <c r="AA8">
        <v>2826.402047</v>
      </c>
      <c r="AB8">
        <v>2968.4306069999998</v>
      </c>
      <c r="AC8">
        <v>3119.2947140000001</v>
      </c>
      <c r="AD8">
        <v>3281.440658</v>
      </c>
      <c r="AE8">
        <v>3485.6435029999998</v>
      </c>
      <c r="AF8">
        <v>3700.337951</v>
      </c>
      <c r="AG8">
        <v>3936.7500869999999</v>
      </c>
      <c r="AH8">
        <v>4201.3233069999997</v>
      </c>
      <c r="AI8">
        <v>4497.4860060000001</v>
      </c>
      <c r="AJ8">
        <v>4832.2068609999997</v>
      </c>
      <c r="AK8">
        <v>5219.5254949999999</v>
      </c>
      <c r="AL8">
        <v>5671.0399909999996</v>
      </c>
      <c r="AM8">
        <v>6193.5790800000004</v>
      </c>
      <c r="AN8">
        <v>6803.1980750000002</v>
      </c>
      <c r="AO8">
        <v>7502.4660309999999</v>
      </c>
      <c r="AP8">
        <v>8310.6422669999902</v>
      </c>
      <c r="AQ8">
        <v>9244.9604930000005</v>
      </c>
      <c r="AR8">
        <v>10319.522510000001</v>
      </c>
      <c r="AS8">
        <v>11559.877469999999</v>
      </c>
      <c r="AT8">
        <v>12995.31545</v>
      </c>
      <c r="AU8">
        <v>14670.42592</v>
      </c>
      <c r="AV8">
        <v>16614.467349999999</v>
      </c>
    </row>
    <row r="9" spans="1:48" x14ac:dyDescent="0.25">
      <c r="A9" t="s">
        <v>22</v>
      </c>
      <c r="B9">
        <v>1174.0188639370899</v>
      </c>
      <c r="C9">
        <v>1192.8681165447699</v>
      </c>
      <c r="D9">
        <v>1226.4196870000001</v>
      </c>
      <c r="E9">
        <v>1260.5823720000001</v>
      </c>
      <c r="F9">
        <v>1271.087098</v>
      </c>
      <c r="G9">
        <v>1302.6893869999999</v>
      </c>
      <c r="H9">
        <v>1322.518677</v>
      </c>
      <c r="I9">
        <v>1353.227009</v>
      </c>
      <c r="J9">
        <v>1412.3567390000001</v>
      </c>
      <c r="K9">
        <v>1455.7046789999999</v>
      </c>
      <c r="L9">
        <v>1489.949705</v>
      </c>
      <c r="M9">
        <v>1542.6559970000001</v>
      </c>
      <c r="N9">
        <v>1607.0922929999999</v>
      </c>
      <c r="O9">
        <v>1669.560403</v>
      </c>
      <c r="P9">
        <v>1728.2447050000001</v>
      </c>
      <c r="Q9">
        <v>1792.5970749999999</v>
      </c>
      <c r="R9">
        <v>1867.454307</v>
      </c>
      <c r="S9">
        <v>1953.889214</v>
      </c>
      <c r="T9">
        <v>2046.9745190000001</v>
      </c>
      <c r="U9">
        <v>2138.7964109999998</v>
      </c>
      <c r="V9">
        <v>2232.7625320000002</v>
      </c>
      <c r="W9">
        <v>2011.894575</v>
      </c>
      <c r="X9">
        <v>1781.2972480000001</v>
      </c>
      <c r="Y9">
        <v>1571.876395</v>
      </c>
      <c r="Z9">
        <v>1378.8500650000001</v>
      </c>
      <c r="AA9">
        <v>1213.4566709999999</v>
      </c>
      <c r="AB9">
        <v>1080.3815159999999</v>
      </c>
      <c r="AC9">
        <v>979.51878580000005</v>
      </c>
      <c r="AD9">
        <v>888.82173820000003</v>
      </c>
      <c r="AE9">
        <v>817.07397119999996</v>
      </c>
      <c r="AF9">
        <v>757.89540850000003</v>
      </c>
      <c r="AG9">
        <v>697.62202950000005</v>
      </c>
      <c r="AH9">
        <v>642.25020010000003</v>
      </c>
      <c r="AI9">
        <v>595.02298010000004</v>
      </c>
      <c r="AJ9">
        <v>558.64240589999997</v>
      </c>
      <c r="AK9">
        <v>535.46960139999999</v>
      </c>
      <c r="AL9">
        <v>526.93809139999996</v>
      </c>
      <c r="AM9">
        <v>533.89308889999995</v>
      </c>
      <c r="AN9">
        <v>543.13808700000004</v>
      </c>
      <c r="AO9">
        <v>545.76750130000005</v>
      </c>
      <c r="AP9">
        <v>550.89570130000004</v>
      </c>
      <c r="AQ9">
        <v>551.1930486</v>
      </c>
      <c r="AR9">
        <v>549.22089830000004</v>
      </c>
      <c r="AS9">
        <v>547.66690159999996</v>
      </c>
      <c r="AT9">
        <v>549.44362850000005</v>
      </c>
      <c r="AU9">
        <v>557.94871929999999</v>
      </c>
      <c r="AV9">
        <v>575.45336110000005</v>
      </c>
    </row>
    <row r="10" spans="1:48" x14ac:dyDescent="0.25">
      <c r="A10" t="s">
        <v>40</v>
      </c>
      <c r="B10">
        <v>2845.5104366881201</v>
      </c>
      <c r="C10">
        <v>2891.1960271555699</v>
      </c>
      <c r="D10">
        <v>2937.2498569999998</v>
      </c>
      <c r="E10">
        <v>3095.0488679999999</v>
      </c>
      <c r="F10">
        <v>3226.325652</v>
      </c>
      <c r="G10">
        <v>2890.1019449999999</v>
      </c>
      <c r="H10">
        <v>2897.274989</v>
      </c>
      <c r="I10">
        <v>3064.5717709999999</v>
      </c>
      <c r="J10">
        <v>3183.7167840000002</v>
      </c>
      <c r="K10">
        <v>3193.5709459999998</v>
      </c>
      <c r="L10">
        <v>3261.9569959999999</v>
      </c>
      <c r="M10">
        <v>3414.4788159999998</v>
      </c>
      <c r="N10">
        <v>3154.0342810000002</v>
      </c>
      <c r="O10">
        <v>3170.6345630000001</v>
      </c>
      <c r="P10">
        <v>3187.401065</v>
      </c>
      <c r="Q10">
        <v>3204.400967</v>
      </c>
      <c r="R10">
        <v>3221.4638620000001</v>
      </c>
      <c r="S10">
        <v>3238.2531130000002</v>
      </c>
      <c r="T10">
        <v>3256.3900279999998</v>
      </c>
      <c r="U10">
        <v>3274.0946199999998</v>
      </c>
      <c r="V10">
        <v>3293.4651979999999</v>
      </c>
      <c r="W10">
        <v>3288.4056799999998</v>
      </c>
      <c r="X10">
        <v>3297.2460380000002</v>
      </c>
      <c r="Y10">
        <v>3303.0817430000002</v>
      </c>
      <c r="Z10">
        <v>3307.5827490000001</v>
      </c>
      <c r="AA10">
        <v>3311.3321550000001</v>
      </c>
      <c r="AB10">
        <v>3303.6359090000001</v>
      </c>
      <c r="AC10">
        <v>3313.8514519999999</v>
      </c>
      <c r="AD10">
        <v>3317.1105229999998</v>
      </c>
      <c r="AE10">
        <v>3319.5540890000002</v>
      </c>
      <c r="AF10">
        <v>3321.4173759999999</v>
      </c>
      <c r="AG10">
        <v>3311.4416289999999</v>
      </c>
      <c r="AH10">
        <v>3319.1148520000002</v>
      </c>
      <c r="AI10">
        <v>3322.975207</v>
      </c>
      <c r="AJ10">
        <v>3324.6865469999998</v>
      </c>
      <c r="AK10">
        <v>3325.561553</v>
      </c>
      <c r="AL10">
        <v>3326.0073130000001</v>
      </c>
      <c r="AM10">
        <v>3322.7544210000001</v>
      </c>
      <c r="AN10">
        <v>3321.0838440000002</v>
      </c>
      <c r="AO10">
        <v>3320.0941469999998</v>
      </c>
      <c r="AP10">
        <v>3319.2806540000001</v>
      </c>
      <c r="AQ10">
        <v>3307.461914</v>
      </c>
      <c r="AR10">
        <v>3311.3257239999998</v>
      </c>
      <c r="AS10">
        <v>3312.4781710000002</v>
      </c>
      <c r="AT10">
        <v>3312.3626479999998</v>
      </c>
      <c r="AU10">
        <v>3311.7337889999999</v>
      </c>
      <c r="AV10">
        <v>3310.8979039999999</v>
      </c>
    </row>
    <row r="11" spans="1:48" x14ac:dyDescent="0.25">
      <c r="A11" t="s">
        <v>41</v>
      </c>
      <c r="B11">
        <v>2845.5104366881201</v>
      </c>
      <c r="C11">
        <v>2891.1960271555699</v>
      </c>
      <c r="D11">
        <v>2937.2498569999998</v>
      </c>
      <c r="E11">
        <v>3095.0488679999999</v>
      </c>
      <c r="F11">
        <v>3226.325652</v>
      </c>
      <c r="G11">
        <v>2890.1019449999999</v>
      </c>
      <c r="H11">
        <v>2897.274989</v>
      </c>
      <c r="I11">
        <v>3064.5717709999999</v>
      </c>
      <c r="J11">
        <v>3183.7167840000002</v>
      </c>
      <c r="K11">
        <v>3193.5709459999998</v>
      </c>
      <c r="L11">
        <v>3261.9569959999999</v>
      </c>
      <c r="M11">
        <v>3414.4788159999998</v>
      </c>
      <c r="N11">
        <v>3154.0342679999999</v>
      </c>
      <c r="O11">
        <v>3170.6344800000002</v>
      </c>
      <c r="P11">
        <v>3187.4008439999998</v>
      </c>
      <c r="Q11">
        <v>3204.4005649999999</v>
      </c>
      <c r="R11">
        <v>3221.462477</v>
      </c>
      <c r="S11">
        <v>3238.2559299999998</v>
      </c>
      <c r="T11">
        <v>3256.4065869999999</v>
      </c>
      <c r="U11">
        <v>3275.0374449999999</v>
      </c>
      <c r="V11">
        <v>5652.0798949999999</v>
      </c>
      <c r="W11">
        <v>6009.9512119999999</v>
      </c>
      <c r="X11">
        <v>6244.2484780000004</v>
      </c>
      <c r="Y11">
        <v>6329.8805560000001</v>
      </c>
      <c r="Z11">
        <v>6259.0760970000001</v>
      </c>
      <c r="AA11">
        <v>6038.6923539999998</v>
      </c>
      <c r="AB11">
        <v>5690.8534440000003</v>
      </c>
      <c r="AC11">
        <v>5709.0778890000001</v>
      </c>
      <c r="AD11">
        <v>5653.3033619999997</v>
      </c>
      <c r="AE11">
        <v>5471.3159910000004</v>
      </c>
      <c r="AF11">
        <v>5656.090784</v>
      </c>
      <c r="AG11">
        <v>5718.0028169999996</v>
      </c>
      <c r="AH11">
        <v>5652.1050400000004</v>
      </c>
      <c r="AI11">
        <v>5463.7825439999997</v>
      </c>
      <c r="AJ11">
        <v>5174.9739749999999</v>
      </c>
      <c r="AK11">
        <v>4817.4271170000002</v>
      </c>
      <c r="AL11">
        <v>4425.9779040000003</v>
      </c>
      <c r="AM11">
        <v>4448.6871430000001</v>
      </c>
      <c r="AN11">
        <v>4706.3775500000002</v>
      </c>
      <c r="AO11">
        <v>4703.0407640000003</v>
      </c>
      <c r="AP11">
        <v>4909.9132659999996</v>
      </c>
      <c r="AQ11">
        <v>5042.3853760000002</v>
      </c>
      <c r="AR11">
        <v>5087.419398</v>
      </c>
      <c r="AS11">
        <v>5037.3829800000003</v>
      </c>
      <c r="AT11">
        <v>4897.9160039999997</v>
      </c>
      <c r="AU11">
        <v>4685.0900190000002</v>
      </c>
      <c r="AV11">
        <v>4419.3734709999999</v>
      </c>
    </row>
    <row r="12" spans="1:48" x14ac:dyDescent="0.25">
      <c r="A12" t="s">
        <v>42</v>
      </c>
      <c r="B12">
        <v>1174.0188639370899</v>
      </c>
      <c r="C12">
        <v>1192.8681165447699</v>
      </c>
      <c r="D12">
        <v>1211.8688770000001</v>
      </c>
      <c r="E12">
        <v>1241.069913</v>
      </c>
      <c r="F12">
        <v>1230.6582450000001</v>
      </c>
      <c r="G12">
        <v>1282.494132</v>
      </c>
      <c r="H12">
        <v>1280.8984640000001</v>
      </c>
      <c r="I12">
        <v>1227.8433</v>
      </c>
      <c r="J12">
        <v>1298.7647119999999</v>
      </c>
      <c r="K12">
        <v>1301.0035009999999</v>
      </c>
      <c r="L12">
        <v>1272.0928160000001</v>
      </c>
      <c r="M12">
        <v>1271.235177</v>
      </c>
      <c r="N12">
        <v>1325.7814330000001</v>
      </c>
      <c r="O12">
        <v>1331.2963159999999</v>
      </c>
      <c r="P12">
        <v>1336.8111980000001</v>
      </c>
      <c r="Q12">
        <v>1342.3260809999999</v>
      </c>
      <c r="R12">
        <v>1347.840964</v>
      </c>
      <c r="S12">
        <v>1353.355847</v>
      </c>
      <c r="T12">
        <v>1358.8707300000001</v>
      </c>
      <c r="U12">
        <v>1364.3856129999999</v>
      </c>
      <c r="V12">
        <v>1369.9004950000001</v>
      </c>
      <c r="W12">
        <v>1369.9004950000001</v>
      </c>
      <c r="X12">
        <v>1369.9004950000001</v>
      </c>
      <c r="Y12">
        <v>1369.9004950000001</v>
      </c>
      <c r="Z12">
        <v>1369.9004950000001</v>
      </c>
      <c r="AA12">
        <v>1369.9004950000001</v>
      </c>
      <c r="AB12">
        <v>1369.9004950000001</v>
      </c>
      <c r="AC12">
        <v>1369.9004950000001</v>
      </c>
      <c r="AD12">
        <v>1369.9004950000001</v>
      </c>
      <c r="AE12">
        <v>1369.9004950000001</v>
      </c>
      <c r="AF12">
        <v>1369.9004950000001</v>
      </c>
      <c r="AG12">
        <v>1369.9004950000001</v>
      </c>
      <c r="AH12">
        <v>1369.9004950000001</v>
      </c>
      <c r="AI12">
        <v>1369.9004950000001</v>
      </c>
      <c r="AJ12">
        <v>1369.9004950000001</v>
      </c>
      <c r="AK12">
        <v>1369.9004950000001</v>
      </c>
      <c r="AL12">
        <v>1369.9004950000001</v>
      </c>
      <c r="AM12">
        <v>1369.9004950000001</v>
      </c>
      <c r="AN12">
        <v>1369.9004950000001</v>
      </c>
      <c r="AO12">
        <v>1369.9004950000001</v>
      </c>
      <c r="AP12">
        <v>1369.9004950000001</v>
      </c>
      <c r="AQ12">
        <v>1369.9004950000001</v>
      </c>
      <c r="AR12">
        <v>1369.9004950000001</v>
      </c>
      <c r="AS12">
        <v>1369.9004950000001</v>
      </c>
      <c r="AT12">
        <v>1369.9004950000001</v>
      </c>
      <c r="AU12">
        <v>1369.9004950000001</v>
      </c>
      <c r="AV12">
        <v>1369.9004950000001</v>
      </c>
    </row>
    <row r="13" spans="1:48" x14ac:dyDescent="0.25">
      <c r="A13" t="s">
        <v>43</v>
      </c>
      <c r="B13">
        <v>1174.0188639370899</v>
      </c>
      <c r="C13">
        <v>1192.8681165447699</v>
      </c>
      <c r="D13">
        <v>1211.8688770000001</v>
      </c>
      <c r="E13">
        <v>1241.069913</v>
      </c>
      <c r="F13">
        <v>1230.6582450000001</v>
      </c>
      <c r="G13">
        <v>1282.494132</v>
      </c>
      <c r="H13">
        <v>1280.8984640000001</v>
      </c>
      <c r="I13">
        <v>1227.8433</v>
      </c>
      <c r="J13">
        <v>1298.7647119999999</v>
      </c>
      <c r="K13">
        <v>1301.0035009999999</v>
      </c>
      <c r="L13">
        <v>1272.0928160000001</v>
      </c>
      <c r="M13">
        <v>1271.235177</v>
      </c>
      <c r="N13">
        <v>1325.7814330000001</v>
      </c>
      <c r="O13">
        <v>1331.2963159999999</v>
      </c>
      <c r="P13">
        <v>1336.8111980000001</v>
      </c>
      <c r="Q13">
        <v>1342.3260809999999</v>
      </c>
      <c r="R13">
        <v>1347.840964</v>
      </c>
      <c r="S13">
        <v>1353.355847</v>
      </c>
      <c r="T13">
        <v>1358.8707300000001</v>
      </c>
      <c r="U13">
        <v>1364.3856129999999</v>
      </c>
      <c r="V13">
        <v>2336.039792</v>
      </c>
      <c r="W13">
        <v>2484.9262520000002</v>
      </c>
      <c r="X13">
        <v>2581.6725179999999</v>
      </c>
      <c r="Y13">
        <v>2615.232896</v>
      </c>
      <c r="Z13">
        <v>2581.6725179999999</v>
      </c>
      <c r="AA13">
        <v>2484.9262520000002</v>
      </c>
      <c r="AB13">
        <v>2336.039792</v>
      </c>
      <c r="AC13">
        <v>2338.4239769999999</v>
      </c>
      <c r="AD13">
        <v>2311.5945900000002</v>
      </c>
      <c r="AE13">
        <v>2234.2521040000001</v>
      </c>
      <c r="AF13">
        <v>2311.5945900000002</v>
      </c>
      <c r="AG13">
        <v>2338.4239769999999</v>
      </c>
      <c r="AH13">
        <v>2311.5945900000002</v>
      </c>
      <c r="AI13">
        <v>2234.2521040000001</v>
      </c>
      <c r="AJ13">
        <v>2115.2268490000001</v>
      </c>
      <c r="AK13">
        <v>1967.3754309999999</v>
      </c>
      <c r="AL13">
        <v>1805.3010509999999</v>
      </c>
      <c r="AM13">
        <v>1816.581537</v>
      </c>
      <c r="AN13">
        <v>1925.772833</v>
      </c>
      <c r="AO13">
        <v>1925.772833</v>
      </c>
      <c r="AP13">
        <v>2013.6754189999999</v>
      </c>
      <c r="AQ13">
        <v>2070.7944269999998</v>
      </c>
      <c r="AR13">
        <v>2090.608479</v>
      </c>
      <c r="AS13">
        <v>2070.7944269999998</v>
      </c>
      <c r="AT13">
        <v>2013.6754189999999</v>
      </c>
      <c r="AU13">
        <v>1925.772833</v>
      </c>
      <c r="AV13">
        <v>1816.581537</v>
      </c>
    </row>
    <row r="14" spans="1:48" x14ac:dyDescent="0.25">
      <c r="A14" t="s">
        <v>37</v>
      </c>
      <c r="B14">
        <v>0.96116878123798499</v>
      </c>
      <c r="C14">
        <v>0.98039215686274495</v>
      </c>
      <c r="D14">
        <v>0.99116511210000002</v>
      </c>
      <c r="E14">
        <v>0.99854442249999997</v>
      </c>
      <c r="F14">
        <v>1.0087508549999999</v>
      </c>
      <c r="G14">
        <v>1.03136852</v>
      </c>
      <c r="H14">
        <v>1.040172238</v>
      </c>
      <c r="I14">
        <v>1.0441750569999999</v>
      </c>
      <c r="J14">
        <v>1.0483990750000001</v>
      </c>
      <c r="K14">
        <v>1.0616316619999999</v>
      </c>
      <c r="L14">
        <v>1.0779821249999999</v>
      </c>
      <c r="M14">
        <v>1.094833478</v>
      </c>
      <c r="N14">
        <v>1.107058493</v>
      </c>
      <c r="O14">
        <v>1.116677656</v>
      </c>
      <c r="P14">
        <v>1.1300462689999999</v>
      </c>
      <c r="Q14">
        <v>1.1535682629999999</v>
      </c>
      <c r="R14">
        <v>1.1759978010000001</v>
      </c>
      <c r="S14">
        <v>1.1992051690000001</v>
      </c>
      <c r="T14" s="5">
        <v>1.222289693</v>
      </c>
      <c r="U14">
        <v>1.249635971</v>
      </c>
      <c r="V14">
        <v>1.2773336710000001</v>
      </c>
      <c r="W14">
        <v>1.304565494</v>
      </c>
      <c r="X14">
        <v>1.333144144</v>
      </c>
      <c r="Y14">
        <v>1.3622010019999999</v>
      </c>
      <c r="Z14">
        <v>1.3944081159999999</v>
      </c>
      <c r="AA14">
        <v>1.4282005470000001</v>
      </c>
      <c r="AB14">
        <v>1.4637145920000001</v>
      </c>
      <c r="AC14">
        <v>1.500114854</v>
      </c>
      <c r="AD14">
        <v>1.538340042</v>
      </c>
      <c r="AE14">
        <v>1.5749323369999999</v>
      </c>
      <c r="AF14">
        <v>1.6148968100000001</v>
      </c>
      <c r="AG14">
        <v>1.657141405</v>
      </c>
      <c r="AH14">
        <v>1.6997703</v>
      </c>
      <c r="AI14">
        <v>1.7442342159999999</v>
      </c>
      <c r="AJ14">
        <v>1.7902701780000001</v>
      </c>
      <c r="AK14">
        <v>1.8370933659999999</v>
      </c>
      <c r="AL14">
        <v>1.884426801</v>
      </c>
      <c r="AM14">
        <v>1.9325358800000001</v>
      </c>
      <c r="AN14">
        <v>1.981111297</v>
      </c>
      <c r="AO14">
        <v>2.0308089800000002</v>
      </c>
      <c r="AP14">
        <v>2.0812255909999999</v>
      </c>
      <c r="AQ14">
        <v>2.1330849359999999</v>
      </c>
      <c r="AR14">
        <v>2.1857648209999998</v>
      </c>
      <c r="AS14">
        <v>2.2398897080000002</v>
      </c>
      <c r="AT14">
        <v>2.2955451870000001</v>
      </c>
      <c r="AU14">
        <v>2.3523132370000002</v>
      </c>
      <c r="AV14">
        <v>2.4110871619999998</v>
      </c>
    </row>
    <row r="15" spans="1:48" x14ac:dyDescent="0.25">
      <c r="T15" s="5"/>
    </row>
    <row r="16" spans="1:48" x14ac:dyDescent="0.25">
      <c r="A16" t="s">
        <v>54</v>
      </c>
    </row>
    <row r="17" spans="1:48" x14ac:dyDescent="0.25">
      <c r="A17" t="s">
        <v>55</v>
      </c>
    </row>
    <row r="19" spans="1:48" x14ac:dyDescent="0.25">
      <c r="A19" s="2" t="s">
        <v>38</v>
      </c>
    </row>
    <row r="20" spans="1:48" x14ac:dyDescent="0.25">
      <c r="A20" t="s">
        <v>2</v>
      </c>
      <c r="B20">
        <f>B10</f>
        <v>2845.5104366881201</v>
      </c>
      <c r="C20">
        <f t="shared" ref="C20:M20" si="0">C10</f>
        <v>2891.1960271555699</v>
      </c>
      <c r="D20">
        <f t="shared" si="0"/>
        <v>2937.2498569999998</v>
      </c>
      <c r="E20">
        <f t="shared" si="0"/>
        <v>3095.0488679999999</v>
      </c>
      <c r="F20">
        <f t="shared" si="0"/>
        <v>3226.325652</v>
      </c>
      <c r="G20">
        <f t="shared" si="0"/>
        <v>2890.1019449999999</v>
      </c>
      <c r="H20">
        <f t="shared" si="0"/>
        <v>2897.274989</v>
      </c>
      <c r="I20">
        <f t="shared" si="0"/>
        <v>3064.5717709999999</v>
      </c>
      <c r="J20">
        <f t="shared" si="0"/>
        <v>3183.7167840000002</v>
      </c>
      <c r="K20">
        <f t="shared" si="0"/>
        <v>3193.5709459999998</v>
      </c>
      <c r="L20">
        <f t="shared" si="0"/>
        <v>3261.9569959999999</v>
      </c>
      <c r="M20">
        <f t="shared" si="0"/>
        <v>3414.4788159999998</v>
      </c>
      <c r="N20">
        <f>M20+($V$20-$M$20)/(2024-2015)</f>
        <v>3344.3702033462228</v>
      </c>
      <c r="O20">
        <f t="shared" ref="O20:U20" si="1">N20+($V$20-$M$20)/(2024-2015)</f>
        <v>3274.2615906924457</v>
      </c>
      <c r="P20">
        <f t="shared" si="1"/>
        <v>3204.1529780386686</v>
      </c>
      <c r="Q20">
        <f t="shared" si="1"/>
        <v>3134.0443653848915</v>
      </c>
      <c r="R20">
        <f t="shared" si="1"/>
        <v>3063.9357527311145</v>
      </c>
      <c r="S20">
        <f t="shared" si="1"/>
        <v>2993.8271400773374</v>
      </c>
      <c r="T20">
        <f t="shared" si="1"/>
        <v>2923.7185274235603</v>
      </c>
      <c r="U20">
        <f t="shared" si="1"/>
        <v>2853.6099147697832</v>
      </c>
      <c r="V20">
        <f>5000/$T$14*$M$6/($M$6+$M$8)</f>
        <v>2783.5013021160053</v>
      </c>
      <c r="W20">
        <f>V20</f>
        <v>2783.5013021160053</v>
      </c>
      <c r="X20">
        <f t="shared" ref="X20:AV21" si="2">W20</f>
        <v>2783.5013021160053</v>
      </c>
      <c r="Y20">
        <f t="shared" si="2"/>
        <v>2783.5013021160053</v>
      </c>
      <c r="Z20">
        <f t="shared" si="2"/>
        <v>2783.5013021160053</v>
      </c>
      <c r="AA20">
        <f t="shared" si="2"/>
        <v>2783.5013021160053</v>
      </c>
      <c r="AB20">
        <f t="shared" si="2"/>
        <v>2783.5013021160053</v>
      </c>
      <c r="AC20">
        <f t="shared" si="2"/>
        <v>2783.5013021160053</v>
      </c>
      <c r="AD20">
        <f t="shared" si="2"/>
        <v>2783.5013021160053</v>
      </c>
      <c r="AE20">
        <f t="shared" si="2"/>
        <v>2783.5013021160053</v>
      </c>
      <c r="AF20">
        <f t="shared" si="2"/>
        <v>2783.5013021160053</v>
      </c>
      <c r="AG20">
        <f t="shared" si="2"/>
        <v>2783.5013021160053</v>
      </c>
      <c r="AH20">
        <f t="shared" si="2"/>
        <v>2783.5013021160053</v>
      </c>
      <c r="AI20">
        <f t="shared" si="2"/>
        <v>2783.5013021160053</v>
      </c>
      <c r="AJ20">
        <f t="shared" si="2"/>
        <v>2783.5013021160053</v>
      </c>
      <c r="AK20">
        <f t="shared" si="2"/>
        <v>2783.5013021160053</v>
      </c>
      <c r="AL20">
        <f t="shared" si="2"/>
        <v>2783.5013021160053</v>
      </c>
      <c r="AM20">
        <f t="shared" si="2"/>
        <v>2783.5013021160053</v>
      </c>
      <c r="AN20">
        <f t="shared" si="2"/>
        <v>2783.5013021160053</v>
      </c>
      <c r="AO20">
        <f t="shared" si="2"/>
        <v>2783.5013021160053</v>
      </c>
      <c r="AP20">
        <f t="shared" si="2"/>
        <v>2783.5013021160053</v>
      </c>
      <c r="AQ20">
        <f t="shared" si="2"/>
        <v>2783.5013021160053</v>
      </c>
      <c r="AR20">
        <f t="shared" si="2"/>
        <v>2783.5013021160053</v>
      </c>
      <c r="AS20">
        <f t="shared" si="2"/>
        <v>2783.5013021160053</v>
      </c>
      <c r="AT20">
        <f t="shared" si="2"/>
        <v>2783.5013021160053</v>
      </c>
      <c r="AU20">
        <f t="shared" si="2"/>
        <v>2783.5013021160053</v>
      </c>
      <c r="AV20">
        <f t="shared" si="2"/>
        <v>2783.5013021160053</v>
      </c>
    </row>
    <row r="21" spans="1:48" x14ac:dyDescent="0.25">
      <c r="A21" t="s">
        <v>3</v>
      </c>
      <c r="B21">
        <f>B12</f>
        <v>1174.0188639370899</v>
      </c>
      <c r="C21">
        <f t="shared" ref="C21:M21" si="3">C12</f>
        <v>1192.8681165447699</v>
      </c>
      <c r="D21">
        <f t="shared" si="3"/>
        <v>1211.8688770000001</v>
      </c>
      <c r="E21">
        <f t="shared" si="3"/>
        <v>1241.069913</v>
      </c>
      <c r="F21">
        <f t="shared" si="3"/>
        <v>1230.6582450000001</v>
      </c>
      <c r="G21">
        <f t="shared" si="3"/>
        <v>1282.494132</v>
      </c>
      <c r="H21">
        <f t="shared" si="3"/>
        <v>1280.8984640000001</v>
      </c>
      <c r="I21">
        <f t="shared" si="3"/>
        <v>1227.8433</v>
      </c>
      <c r="J21">
        <f t="shared" si="3"/>
        <v>1298.7647119999999</v>
      </c>
      <c r="K21">
        <f t="shared" si="3"/>
        <v>1301.0035009999999</v>
      </c>
      <c r="L21">
        <f t="shared" si="3"/>
        <v>1272.0928160000001</v>
      </c>
      <c r="M21">
        <f t="shared" si="3"/>
        <v>1271.235177</v>
      </c>
      <c r="N21">
        <f>M21+($V$21-$M$21)/(2024-2015)</f>
        <v>1275.2292650352147</v>
      </c>
      <c r="O21">
        <f t="shared" ref="O21:U21" si="4">N21+($V$21-$M$21)/(2024-2015)</f>
        <v>1279.2233530704293</v>
      </c>
      <c r="P21">
        <f t="shared" si="4"/>
        <v>1283.217441105644</v>
      </c>
      <c r="Q21">
        <f t="shared" si="4"/>
        <v>1287.2115291408586</v>
      </c>
      <c r="R21">
        <f t="shared" si="4"/>
        <v>1291.2056171760732</v>
      </c>
      <c r="S21">
        <f t="shared" si="4"/>
        <v>1295.1997052112879</v>
      </c>
      <c r="T21">
        <f t="shared" si="4"/>
        <v>1299.1937932465025</v>
      </c>
      <c r="U21">
        <f t="shared" si="4"/>
        <v>1303.1878812817172</v>
      </c>
      <c r="V21">
        <f>5000/$T$14*$M$8/($M$6+$M$8)</f>
        <v>1307.1819693169309</v>
      </c>
      <c r="W21">
        <f>V21</f>
        <v>1307.1819693169309</v>
      </c>
      <c r="X21">
        <f t="shared" si="2"/>
        <v>1307.1819693169309</v>
      </c>
      <c r="Y21">
        <f t="shared" si="2"/>
        <v>1307.1819693169309</v>
      </c>
      <c r="Z21">
        <f t="shared" si="2"/>
        <v>1307.1819693169309</v>
      </c>
      <c r="AA21">
        <f t="shared" si="2"/>
        <v>1307.1819693169309</v>
      </c>
      <c r="AB21">
        <f t="shared" si="2"/>
        <v>1307.1819693169309</v>
      </c>
      <c r="AC21">
        <f t="shared" si="2"/>
        <v>1307.1819693169309</v>
      </c>
      <c r="AD21">
        <f t="shared" si="2"/>
        <v>1307.1819693169309</v>
      </c>
      <c r="AE21">
        <f t="shared" si="2"/>
        <v>1307.1819693169309</v>
      </c>
      <c r="AF21">
        <f t="shared" si="2"/>
        <v>1307.1819693169309</v>
      </c>
      <c r="AG21">
        <f t="shared" si="2"/>
        <v>1307.1819693169309</v>
      </c>
      <c r="AH21">
        <f t="shared" si="2"/>
        <v>1307.1819693169309</v>
      </c>
      <c r="AI21">
        <f t="shared" si="2"/>
        <v>1307.1819693169309</v>
      </c>
      <c r="AJ21">
        <f t="shared" si="2"/>
        <v>1307.1819693169309</v>
      </c>
      <c r="AK21">
        <f t="shared" si="2"/>
        <v>1307.1819693169309</v>
      </c>
      <c r="AL21">
        <f t="shared" si="2"/>
        <v>1307.1819693169309</v>
      </c>
      <c r="AM21">
        <f t="shared" si="2"/>
        <v>1307.1819693169309</v>
      </c>
      <c r="AN21">
        <f t="shared" si="2"/>
        <v>1307.1819693169309</v>
      </c>
      <c r="AO21">
        <f t="shared" si="2"/>
        <v>1307.1819693169309</v>
      </c>
      <c r="AP21">
        <f t="shared" si="2"/>
        <v>1307.1819693169309</v>
      </c>
      <c r="AQ21">
        <f t="shared" si="2"/>
        <v>1307.1819693169309</v>
      </c>
      <c r="AR21">
        <f t="shared" si="2"/>
        <v>1307.1819693169309</v>
      </c>
      <c r="AS21">
        <f t="shared" si="2"/>
        <v>1307.1819693169309</v>
      </c>
      <c r="AT21">
        <f t="shared" si="2"/>
        <v>1307.1819693169309</v>
      </c>
      <c r="AU21">
        <f t="shared" si="2"/>
        <v>1307.1819693169309</v>
      </c>
      <c r="AV21">
        <f t="shared" si="2"/>
        <v>1307.1819693169309</v>
      </c>
    </row>
    <row r="23" spans="1:48" x14ac:dyDescent="0.25">
      <c r="A23" s="2" t="s">
        <v>39</v>
      </c>
    </row>
    <row r="24" spans="1:48" x14ac:dyDescent="0.25">
      <c r="A24" t="s">
        <v>2</v>
      </c>
      <c r="V24" s="6">
        <f>[1]TER_RENO!LL$818*($V$20/($V$20+$V$21))/$T$14</f>
        <v>4746.601514608974</v>
      </c>
      <c r="W24" s="6">
        <f>[1]TER_RENO!LM$818*($V$20/($V$20+$V$21))/$T$14</f>
        <v>5049.1241857431323</v>
      </c>
      <c r="X24" s="6">
        <f>[1]TER_RENO!LN$818*($V$20/($V$20+$V$21))/$T$14</f>
        <v>5245.7031020411669</v>
      </c>
      <c r="Y24" s="6">
        <f>[1]TER_RENO!LO$818*($V$20/($V$20+$V$21))/$T$14</f>
        <v>5313.8944942398166</v>
      </c>
      <c r="Z24" s="6">
        <f>[1]TER_RENO!LP$818*($V$20/($V$20+$V$21))/$T$14</f>
        <v>5245.7031020411669</v>
      </c>
      <c r="AA24" s="6">
        <f>[1]TER_RENO!LQ$818*($V$20/($V$20+$V$21))/$T$14</f>
        <v>5049.1241857431323</v>
      </c>
      <c r="AB24" s="6">
        <f>[1]TER_RENO!LR$818*($V$20/($V$20+$V$21))/$T$14</f>
        <v>4746.601514608974</v>
      </c>
      <c r="AC24" s="6">
        <f>[1]TER_RENO!LS$818*($V$20/($V$20+$V$21))/$T$14</f>
        <v>4751.4459450084159</v>
      </c>
      <c r="AD24" s="6">
        <f>[1]TER_RENO!LT$818*($V$20/($V$20+$V$21))/$T$14</f>
        <v>4696.9312640818516</v>
      </c>
      <c r="AE24" s="6">
        <f>[1]TER_RENO!LU$818*($V$20/($V$20+$V$21))/$T$14</f>
        <v>4539.7789233925914</v>
      </c>
      <c r="AF24" s="6">
        <f>[1]TER_RENO!LV$818*($V$20/($V$20+$V$21))/$T$14</f>
        <v>4696.9312640818516</v>
      </c>
      <c r="AG24" s="6">
        <f>[1]TER_RENO!LW$818*($V$20/($V$20+$V$21))/$T$14</f>
        <v>4751.4459450084159</v>
      </c>
      <c r="AH24" s="6">
        <f>[1]TER_RENO!LX$818*($V$20/($V$20+$V$21))/$T$14</f>
        <v>4696.9312640818516</v>
      </c>
      <c r="AI24" s="6">
        <f>[1]TER_RENO!LY$818*($V$20/($V$20+$V$21))/$T$14</f>
        <v>4539.7789233925914</v>
      </c>
      <c r="AJ24" s="6">
        <f>[1]TER_RENO!LZ$818*($V$20/($V$20+$V$21))/$T$14</f>
        <v>4297.9312889890034</v>
      </c>
      <c r="AK24" s="6">
        <f>[1]TER_RENO!MA$818*($V$20/($V$20+$V$21))/$T$14</f>
        <v>3997.5117214771644</v>
      </c>
      <c r="AL24" s="6">
        <f>[1]TER_RENO!MB$818*($V$20/($V$20+$V$21))/$T$14</f>
        <v>3668.1924907098623</v>
      </c>
      <c r="AM24" s="6">
        <f>[1]TER_RENO!MC$818*($V$20/($V$20+$V$21))/$T$14</f>
        <v>3691.1133313015694</v>
      </c>
      <c r="AN24" s="6">
        <f>[1]TER_RENO!MD$818*($V$20/($V$20+$V$21))/$T$14</f>
        <v>3912.9793271050089</v>
      </c>
      <c r="AO24" s="6">
        <f>[1]TER_RENO!ME$818*($V$20/($V$20+$V$21))/$T$14</f>
        <v>3912.9793271050089</v>
      </c>
      <c r="AP24" s="6">
        <f>[1]TER_RENO!MF$818*($V$20/($V$20+$V$21))/$T$14</f>
        <v>4091.5887521969462</v>
      </c>
      <c r="AQ24" s="6">
        <f>[1]TER_RENO!MG$818*($V$20/($V$20+$V$21))/$T$14</f>
        <v>4207.648970406568</v>
      </c>
      <c r="AR24" s="6">
        <f>[1]TER_RENO!MH$818*($V$20/($V$20+$V$21))/$T$14</f>
        <v>4247.9091773892651</v>
      </c>
      <c r="AS24" s="6">
        <f>[1]TER_RENO!MI$818*($V$20/($V$20+$V$21))/$T$14</f>
        <v>4207.648970406568</v>
      </c>
      <c r="AT24" s="6">
        <f>[1]TER_RENO!MJ$818*($V$20/($V$20+$V$21))/$T$14</f>
        <v>4091.5887521969462</v>
      </c>
      <c r="AU24" s="6">
        <f>[1]TER_RENO!MK$818*($V$20/($V$20+$V$21))/$T$14</f>
        <v>3912.9793271050089</v>
      </c>
      <c r="AV24" s="6">
        <f>[1]TER_RENO!ML$818*($V$20/($V$20+$V$21))/$T$14</f>
        <v>3691.1133313015694</v>
      </c>
    </row>
    <row r="25" spans="1:48" x14ac:dyDescent="0.25">
      <c r="A25" t="s">
        <v>3</v>
      </c>
      <c r="V25" s="6">
        <f>[1]TER_RENO!LL$818*($V$21/($V$20+$V$21))/$T$14</f>
        <v>2229.088921464675</v>
      </c>
      <c r="W25" s="6">
        <f>[1]TER_RENO!LM$818*($V$21/($V$20+$V$21))/$T$14</f>
        <v>2371.1589757217166</v>
      </c>
      <c r="X25" s="6">
        <f>[1]TER_RENO!LN$818*($V$21/($V$20+$V$21))/$T$14</f>
        <v>2463.475948858144</v>
      </c>
      <c r="Y25" s="6">
        <f>[1]TER_RENO!LO$818*($V$21/($V$20+$V$21))/$T$14</f>
        <v>2495.4998456233193</v>
      </c>
      <c r="Z25" s="6">
        <f>[1]TER_RENO!LP$818*($V$21/($V$20+$V$21))/$T$14</f>
        <v>2463.475948858144</v>
      </c>
      <c r="AA25" s="6">
        <f>[1]TER_RENO!LQ$818*($V$21/($V$20+$V$21))/$T$14</f>
        <v>2371.1589757217166</v>
      </c>
      <c r="AB25" s="6">
        <f>[1]TER_RENO!LR$818*($V$21/($V$20+$V$21))/$T$14</f>
        <v>2229.088921464675</v>
      </c>
      <c r="AC25" s="6">
        <f>[1]TER_RENO!LS$818*($V$21/($V$20+$V$21))/$T$14</f>
        <v>2231.363952579246</v>
      </c>
      <c r="AD25" s="6">
        <f>[1]TER_RENO!LT$818*($V$21/($V$20+$V$21))/$T$14</f>
        <v>2205.7628839122044</v>
      </c>
      <c r="AE25" s="6">
        <f>[1]TER_RENO!LU$818*($V$21/($V$20+$V$21))/$T$14</f>
        <v>2131.9613354707549</v>
      </c>
      <c r="AF25" s="6">
        <f>[1]TER_RENO!LV$818*($V$21/($V$20+$V$21))/$T$14</f>
        <v>2205.7628839122044</v>
      </c>
      <c r="AG25" s="6">
        <f>[1]TER_RENO!LW$818*($V$21/($V$20+$V$21))/$T$14</f>
        <v>2231.363952579246</v>
      </c>
      <c r="AH25" s="6">
        <f>[1]TER_RENO!LX$818*($V$21/($V$20+$V$21))/$T$14</f>
        <v>2205.7628839122044</v>
      </c>
      <c r="AI25" s="6">
        <f>[1]TER_RENO!LY$818*($V$21/($V$20+$V$21))/$T$14</f>
        <v>2131.9613354707549</v>
      </c>
      <c r="AJ25" s="6">
        <f>[1]TER_RENO!LZ$818*($V$21/($V$20+$V$21))/$T$14</f>
        <v>2018.3853630887781</v>
      </c>
      <c r="AK25" s="6">
        <f>[1]TER_RENO!MA$818*($V$21/($V$20+$V$21))/$T$14</f>
        <v>1877.3029638878384</v>
      </c>
      <c r="AL25" s="6">
        <f>[1]TER_RENO!MB$818*($V$21/($V$20+$V$21))/$T$14</f>
        <v>1722.6487662120228</v>
      </c>
      <c r="AM25" s="6">
        <f>[1]TER_RENO!MC$818*($V$21/($V$20+$V$21))/$T$14</f>
        <v>1733.4128026866206</v>
      </c>
      <c r="AN25" s="6">
        <f>[1]TER_RENO!MD$818*($V$21/($V$20+$V$21))/$T$14</f>
        <v>1837.6050403903823</v>
      </c>
      <c r="AO25" s="6">
        <f>[1]TER_RENO!ME$818*($V$21/($V$20+$V$21))/$T$14</f>
        <v>1837.6050403903823</v>
      </c>
      <c r="AP25" s="6">
        <f>[1]TER_RENO!MF$818*($V$21/($V$20+$V$21))/$T$14</f>
        <v>1921.4832192339697</v>
      </c>
      <c r="AQ25" s="6">
        <f>[1]TER_RENO!MG$818*($V$21/($V$20+$V$21))/$T$14</f>
        <v>1975.9871723965834</v>
      </c>
      <c r="AR25" s="6">
        <f>[1]TER_RENO!MH$818*($V$21/($V$20+$V$21))/$T$14</f>
        <v>1994.8940852867415</v>
      </c>
      <c r="AS25" s="6">
        <f>[1]TER_RENO!MI$818*($V$21/($V$20+$V$21))/$T$14</f>
        <v>1975.9871723965834</v>
      </c>
      <c r="AT25" s="6">
        <f>[1]TER_RENO!MJ$818*($V$21/($V$20+$V$21))/$T$14</f>
        <v>1921.4832192339697</v>
      </c>
      <c r="AU25" s="6">
        <f>[1]TER_RENO!MK$818*($V$21/($V$20+$V$21))/$T$14</f>
        <v>1837.6050403903823</v>
      </c>
      <c r="AV25" s="6">
        <f>[1]TER_RENO!ML$818*($V$21/($V$20+$V$21))/$T$14</f>
        <v>1733.4128026866206</v>
      </c>
    </row>
    <row r="27" spans="1:48" x14ac:dyDescent="0.25">
      <c r="B27">
        <v>2004</v>
      </c>
      <c r="C27">
        <v>2005</v>
      </c>
      <c r="D27">
        <v>2006</v>
      </c>
      <c r="E27">
        <v>2007</v>
      </c>
      <c r="F27">
        <v>2008</v>
      </c>
      <c r="G27">
        <v>2009</v>
      </c>
      <c r="H27">
        <v>2010</v>
      </c>
      <c r="I27">
        <v>2011</v>
      </c>
      <c r="J27">
        <v>2012</v>
      </c>
      <c r="K27">
        <v>2013</v>
      </c>
      <c r="L27">
        <v>2014</v>
      </c>
      <c r="M27">
        <v>2015</v>
      </c>
      <c r="N27">
        <v>2016</v>
      </c>
      <c r="O27">
        <v>2017</v>
      </c>
      <c r="P27">
        <v>2018</v>
      </c>
      <c r="Q27">
        <v>2019</v>
      </c>
      <c r="R27">
        <v>2020</v>
      </c>
      <c r="S27">
        <v>2021</v>
      </c>
      <c r="T27">
        <v>2022</v>
      </c>
      <c r="U27">
        <v>2023</v>
      </c>
      <c r="V27">
        <v>2024</v>
      </c>
      <c r="W27">
        <v>2025</v>
      </c>
      <c r="X27">
        <v>2026</v>
      </c>
      <c r="Y27">
        <v>2027</v>
      </c>
      <c r="Z27">
        <v>2028</v>
      </c>
      <c r="AA27">
        <v>2029</v>
      </c>
      <c r="AB27">
        <v>2030</v>
      </c>
      <c r="AC27">
        <v>2031</v>
      </c>
      <c r="AD27">
        <v>2032</v>
      </c>
      <c r="AE27">
        <v>2033</v>
      </c>
      <c r="AF27">
        <v>2034</v>
      </c>
      <c r="AG27">
        <v>2035</v>
      </c>
      <c r="AH27">
        <v>2036</v>
      </c>
      <c r="AI27">
        <v>2037</v>
      </c>
      <c r="AJ27">
        <v>2038</v>
      </c>
      <c r="AK27">
        <v>2039</v>
      </c>
      <c r="AL27">
        <v>2040</v>
      </c>
      <c r="AM27">
        <v>2041</v>
      </c>
      <c r="AN27">
        <v>2042</v>
      </c>
      <c r="AO27">
        <v>2043</v>
      </c>
      <c r="AP27">
        <v>2044</v>
      </c>
      <c r="AQ27">
        <v>2045</v>
      </c>
      <c r="AR27">
        <v>2046</v>
      </c>
      <c r="AS27">
        <v>2047</v>
      </c>
      <c r="AT27">
        <v>2048</v>
      </c>
      <c r="AU27">
        <v>2049</v>
      </c>
      <c r="AV27">
        <v>2050</v>
      </c>
    </row>
    <row r="28" spans="1:48" x14ac:dyDescent="0.25">
      <c r="A28" t="s">
        <v>45</v>
      </c>
      <c r="B28">
        <v>18.6259745407643</v>
      </c>
      <c r="C28">
        <v>18.9250205867585</v>
      </c>
      <c r="D28">
        <v>19.228867910000002</v>
      </c>
      <c r="E28">
        <v>20.034737419999999</v>
      </c>
      <c r="F28">
        <v>20.256731290000001</v>
      </c>
      <c r="G28">
        <v>19.08960536</v>
      </c>
      <c r="H28">
        <v>19.790020559999999</v>
      </c>
      <c r="I28">
        <v>20.2883633</v>
      </c>
      <c r="J28">
        <v>20.45736741</v>
      </c>
      <c r="K28">
        <v>20.566877030000001</v>
      </c>
      <c r="L28">
        <v>20.869578950000001</v>
      </c>
      <c r="M28">
        <v>21.164016650000001</v>
      </c>
      <c r="N28">
        <v>21.464114380000002</v>
      </c>
      <c r="O28">
        <v>22.06808268</v>
      </c>
      <c r="P28">
        <v>22.685160320000001</v>
      </c>
      <c r="Q28">
        <v>22.98711029</v>
      </c>
      <c r="R28">
        <v>23.357826280000001</v>
      </c>
      <c r="S28">
        <v>23.302788039999999</v>
      </c>
      <c r="T28">
        <v>23.216362570000001</v>
      </c>
      <c r="U28">
        <v>19.156929170000002</v>
      </c>
      <c r="V28">
        <v>19.426820500000002</v>
      </c>
      <c r="W28">
        <v>19.766141640000001</v>
      </c>
      <c r="X28">
        <v>20.21666359</v>
      </c>
      <c r="Y28">
        <v>20.531118849999999</v>
      </c>
      <c r="Z28">
        <v>20.804274700000001</v>
      </c>
      <c r="AA28">
        <v>21.039364590000002</v>
      </c>
      <c r="AB28">
        <v>19.877315240000001</v>
      </c>
      <c r="AC28">
        <v>20.042310220000001</v>
      </c>
      <c r="AD28">
        <v>20.198079419999999</v>
      </c>
      <c r="AE28">
        <v>20.344228829999999</v>
      </c>
      <c r="AF28">
        <v>20.472469830000001</v>
      </c>
      <c r="AG28">
        <v>20.586592679999999</v>
      </c>
      <c r="AH28">
        <v>20.682947030000001</v>
      </c>
      <c r="AI28">
        <v>20.766968779999999</v>
      </c>
      <c r="AJ28">
        <v>20.839835860000001</v>
      </c>
      <c r="AK28">
        <v>20.903918489999999</v>
      </c>
      <c r="AL28">
        <v>20.945843369999999</v>
      </c>
      <c r="AM28">
        <v>20.865869270000001</v>
      </c>
      <c r="AN28">
        <v>20.76077278</v>
      </c>
      <c r="AO28">
        <v>20.651406080000001</v>
      </c>
      <c r="AP28">
        <v>20.542060729999999</v>
      </c>
      <c r="AQ28">
        <v>20.43407689</v>
      </c>
      <c r="AR28">
        <v>20.327788559999998</v>
      </c>
      <c r="AS28">
        <v>20.222676549999999</v>
      </c>
      <c r="AT28">
        <v>20.11816494</v>
      </c>
      <c r="AU28">
        <v>20.015067030000001</v>
      </c>
      <c r="AV28">
        <v>20.163560440000001</v>
      </c>
    </row>
    <row r="29" spans="1:48" x14ac:dyDescent="0.25">
      <c r="A29" t="s">
        <v>47</v>
      </c>
      <c r="B29">
        <v>2.4468322296388898</v>
      </c>
      <c r="C29">
        <v>2.48611691253606</v>
      </c>
      <c r="D29">
        <v>2.526032324</v>
      </c>
      <c r="E29">
        <v>2.6009364549999998</v>
      </c>
      <c r="F29">
        <v>2.5932541169999999</v>
      </c>
      <c r="G29">
        <v>2.730434416</v>
      </c>
      <c r="H29">
        <v>2.8381947169999999</v>
      </c>
      <c r="I29">
        <v>2.8676553889999998</v>
      </c>
      <c r="J29">
        <v>2.8650387620000002</v>
      </c>
      <c r="K29">
        <v>2.941535746</v>
      </c>
      <c r="L29">
        <v>3.0820726199999999</v>
      </c>
      <c r="M29">
        <v>3.3242284459999998</v>
      </c>
      <c r="N29">
        <v>3.1751125779999998</v>
      </c>
      <c r="O29">
        <v>2.8673310779999999</v>
      </c>
      <c r="P29">
        <v>2.4323055039999999</v>
      </c>
      <c r="Q29">
        <v>2.0757005300000002</v>
      </c>
      <c r="R29">
        <v>1.7667109059999999</v>
      </c>
      <c r="S29">
        <v>1.4565086110000001</v>
      </c>
      <c r="T29">
        <v>1.1565285970000001</v>
      </c>
      <c r="U29">
        <v>2.6797260289999998</v>
      </c>
      <c r="V29">
        <v>2.590952428</v>
      </c>
      <c r="W29">
        <v>2.5117172729999999</v>
      </c>
      <c r="X29">
        <v>2.4228471319999998</v>
      </c>
      <c r="Y29">
        <v>2.3213360129999998</v>
      </c>
      <c r="Z29">
        <v>2.2052848100000002</v>
      </c>
      <c r="AA29">
        <v>2.0894585970000001</v>
      </c>
      <c r="AB29">
        <v>2.54989811</v>
      </c>
      <c r="AC29">
        <v>2.5404288419999999</v>
      </c>
      <c r="AD29">
        <v>2.5299177570000002</v>
      </c>
      <c r="AE29">
        <v>2.5181703070000001</v>
      </c>
      <c r="AF29">
        <v>2.5049397920000001</v>
      </c>
      <c r="AG29">
        <v>2.4912695899999999</v>
      </c>
      <c r="AH29">
        <v>2.4765314530000002</v>
      </c>
      <c r="AI29">
        <v>2.463127208</v>
      </c>
      <c r="AJ29">
        <v>2.4504156849999998</v>
      </c>
      <c r="AK29">
        <v>2.4382602680000001</v>
      </c>
      <c r="AL29">
        <v>2.4324349719999998</v>
      </c>
      <c r="AM29">
        <v>2.4345446580000001</v>
      </c>
      <c r="AN29">
        <v>2.438059204</v>
      </c>
      <c r="AO29">
        <v>2.4424035480000001</v>
      </c>
      <c r="AP29">
        <v>2.4474614269999999</v>
      </c>
      <c r="AQ29">
        <v>2.452741456</v>
      </c>
      <c r="AR29">
        <v>2.458251652</v>
      </c>
      <c r="AS29">
        <v>2.4640590480000002</v>
      </c>
      <c r="AT29">
        <v>2.470053557</v>
      </c>
      <c r="AU29">
        <v>2.4761605019999999</v>
      </c>
      <c r="AV29">
        <v>2.3848996609999999</v>
      </c>
    </row>
    <row r="30" spans="1:48" x14ac:dyDescent="0.25">
      <c r="A30" t="s">
        <v>46</v>
      </c>
      <c r="B30">
        <v>18.6259745407643</v>
      </c>
      <c r="C30">
        <v>18.9250205867585</v>
      </c>
      <c r="D30">
        <v>19.228867910000002</v>
      </c>
      <c r="E30">
        <v>20.034737419999999</v>
      </c>
      <c r="F30">
        <v>20.256731290000001</v>
      </c>
      <c r="G30">
        <v>19.08960536</v>
      </c>
      <c r="H30">
        <v>19.790020559999999</v>
      </c>
      <c r="I30">
        <v>20.2883633</v>
      </c>
      <c r="J30">
        <v>20.45736741</v>
      </c>
      <c r="K30">
        <v>20.566877030000001</v>
      </c>
      <c r="L30">
        <v>20.869578950000001</v>
      </c>
      <c r="M30">
        <v>21.164016650000001</v>
      </c>
      <c r="N30">
        <v>20.998214109999999</v>
      </c>
      <c r="O30">
        <v>21.110325029999998</v>
      </c>
      <c r="P30">
        <v>21.21185011</v>
      </c>
      <c r="Q30">
        <v>21.00109213</v>
      </c>
      <c r="R30">
        <v>20.837809759999999</v>
      </c>
      <c r="S30">
        <v>20.28813749</v>
      </c>
      <c r="T30">
        <v>19.710287560000001</v>
      </c>
      <c r="U30">
        <v>19.121958469999999</v>
      </c>
      <c r="V30">
        <v>20.463590920000001</v>
      </c>
      <c r="W30">
        <v>21.394999599999998</v>
      </c>
      <c r="X30">
        <v>21.817476150000001</v>
      </c>
      <c r="Y30">
        <v>21.962061890000001</v>
      </c>
      <c r="Z30">
        <v>21.992102689999999</v>
      </c>
      <c r="AA30">
        <v>21.924022910000001</v>
      </c>
      <c r="AB30">
        <v>21.774708780000001</v>
      </c>
      <c r="AC30">
        <v>21.504237369999998</v>
      </c>
      <c r="AD30">
        <v>21.2012544</v>
      </c>
      <c r="AE30">
        <v>20.883370429999999</v>
      </c>
      <c r="AF30">
        <v>20.55725017</v>
      </c>
      <c r="AG30">
        <v>20.232443719999999</v>
      </c>
      <c r="AH30">
        <v>19.909275390000001</v>
      </c>
      <c r="AI30">
        <v>19.580439989999999</v>
      </c>
      <c r="AJ30">
        <v>19.26334172</v>
      </c>
      <c r="AK30">
        <v>18.956628250000001</v>
      </c>
      <c r="AL30">
        <v>18.64690822</v>
      </c>
      <c r="AM30">
        <v>18.435543880000001</v>
      </c>
      <c r="AN30">
        <v>18.166971180000001</v>
      </c>
      <c r="AO30">
        <v>17.932783629999999</v>
      </c>
      <c r="AP30">
        <v>17.70018043</v>
      </c>
      <c r="AQ30">
        <v>17.48097113</v>
      </c>
      <c r="AR30">
        <v>17.274210950000001</v>
      </c>
      <c r="AS30">
        <v>17.060873699999998</v>
      </c>
      <c r="AT30">
        <v>16.849483930000002</v>
      </c>
      <c r="AU30">
        <v>16.64136431</v>
      </c>
      <c r="AV30">
        <v>16.43450726</v>
      </c>
    </row>
    <row r="31" spans="1:48" x14ac:dyDescent="0.25">
      <c r="A31" t="s">
        <v>44</v>
      </c>
      <c r="B31">
        <v>21.072806770403201</v>
      </c>
      <c r="C31">
        <v>21.411137499294501</v>
      </c>
      <c r="D31">
        <v>21.754900240000001</v>
      </c>
      <c r="E31">
        <v>22.635673870000002</v>
      </c>
      <c r="F31">
        <v>22.849985400000001</v>
      </c>
      <c r="G31">
        <v>21.820039779999998</v>
      </c>
      <c r="H31">
        <v>22.628215279999999</v>
      </c>
      <c r="I31">
        <v>23.15601869</v>
      </c>
      <c r="J31">
        <v>23.322406170000001</v>
      </c>
      <c r="K31">
        <v>23.50841278</v>
      </c>
      <c r="L31">
        <v>23.951651569999999</v>
      </c>
      <c r="M31">
        <v>24.488245089999999</v>
      </c>
      <c r="N31">
        <v>24.639226959999998</v>
      </c>
      <c r="O31">
        <v>24.935413759999999</v>
      </c>
      <c r="P31">
        <v>25.11746582</v>
      </c>
      <c r="Q31">
        <v>25.062810819999999</v>
      </c>
      <c r="R31">
        <v>25.124537190000002</v>
      </c>
      <c r="S31">
        <v>24.75929666</v>
      </c>
      <c r="T31">
        <v>24.372891169999999</v>
      </c>
      <c r="U31">
        <v>21.836655199999999</v>
      </c>
      <c r="V31">
        <v>22.01777293</v>
      </c>
      <c r="W31">
        <v>22.277858909999999</v>
      </c>
      <c r="X31">
        <v>22.639510730000001</v>
      </c>
      <c r="Y31">
        <v>22.852454860000002</v>
      </c>
      <c r="Z31">
        <v>23.009559509999999</v>
      </c>
      <c r="AA31">
        <v>23.128823189999999</v>
      </c>
      <c r="AB31">
        <v>22.427213349999999</v>
      </c>
      <c r="AC31">
        <v>22.582739060000002</v>
      </c>
      <c r="AD31">
        <v>22.727997169999998</v>
      </c>
      <c r="AE31">
        <v>22.862399140000001</v>
      </c>
      <c r="AF31">
        <v>22.97740962</v>
      </c>
      <c r="AG31">
        <v>23.077862270000001</v>
      </c>
      <c r="AH31">
        <v>23.159478490000001</v>
      </c>
      <c r="AI31">
        <v>23.230095980000002</v>
      </c>
      <c r="AJ31">
        <v>23.290251550000001</v>
      </c>
      <c r="AK31">
        <v>23.342178759999999</v>
      </c>
      <c r="AL31">
        <v>23.378278340000001</v>
      </c>
      <c r="AM31">
        <v>23.300413930000001</v>
      </c>
      <c r="AN31">
        <v>23.198831980000001</v>
      </c>
      <c r="AO31">
        <v>23.093809629999999</v>
      </c>
      <c r="AP31">
        <v>22.98952216</v>
      </c>
      <c r="AQ31">
        <v>22.886818349999999</v>
      </c>
      <c r="AR31">
        <v>22.786040209999999</v>
      </c>
      <c r="AS31">
        <v>22.686735599999999</v>
      </c>
      <c r="AT31">
        <v>22.5882185</v>
      </c>
      <c r="AU31">
        <v>22.49122753</v>
      </c>
      <c r="AV31">
        <v>22.5484601</v>
      </c>
    </row>
    <row r="32" spans="1:48" x14ac:dyDescent="0.25">
      <c r="A32" t="s">
        <v>0</v>
      </c>
      <c r="B32">
        <v>27867.9582147734</v>
      </c>
      <c r="C32">
        <v>28315.3872980581</v>
      </c>
      <c r="D32">
        <v>28862.868119999999</v>
      </c>
      <c r="E32">
        <v>29492.504959999998</v>
      </c>
      <c r="F32">
        <v>28683.332640000001</v>
      </c>
      <c r="G32">
        <v>27352.100050000001</v>
      </c>
      <c r="H32">
        <v>27559.673119999999</v>
      </c>
      <c r="I32">
        <v>27182.754509999999</v>
      </c>
      <c r="J32">
        <v>26537.860990000001</v>
      </c>
      <c r="K32">
        <v>26321.297760000001</v>
      </c>
      <c r="L32">
        <v>26541.643329999999</v>
      </c>
      <c r="M32">
        <v>27050.752990000001</v>
      </c>
      <c r="N32">
        <v>26468.356510000001</v>
      </c>
      <c r="O32">
        <v>25885.960029999998</v>
      </c>
      <c r="P32">
        <v>25303.563549999999</v>
      </c>
      <c r="Q32">
        <v>24721.16706</v>
      </c>
      <c r="R32">
        <v>24138.77058</v>
      </c>
      <c r="S32">
        <v>23556.374100000001</v>
      </c>
      <c r="T32">
        <v>22973.977610000002</v>
      </c>
      <c r="U32">
        <v>22391.581129999999</v>
      </c>
      <c r="V32">
        <v>22042.910039999999</v>
      </c>
      <c r="W32">
        <v>21694.238939999999</v>
      </c>
      <c r="X32">
        <v>21345.56784</v>
      </c>
      <c r="Y32">
        <v>20996.89674</v>
      </c>
      <c r="Z32">
        <v>20648.22565</v>
      </c>
      <c r="AA32">
        <v>20299.554550000001</v>
      </c>
      <c r="AB32">
        <v>19950.883450000001</v>
      </c>
      <c r="AC32">
        <v>19729.569319999999</v>
      </c>
      <c r="AD32">
        <v>19508.2552</v>
      </c>
      <c r="AE32">
        <v>19286.941070000001</v>
      </c>
      <c r="AF32">
        <v>19065.626939999998</v>
      </c>
      <c r="AG32">
        <v>18844.312819999999</v>
      </c>
      <c r="AH32">
        <v>18622.99869</v>
      </c>
      <c r="AI32">
        <v>18401.684560000002</v>
      </c>
      <c r="AJ32">
        <v>18180.370429999999</v>
      </c>
      <c r="AK32">
        <v>17959.05631</v>
      </c>
      <c r="AL32">
        <v>17737.742180000001</v>
      </c>
      <c r="AM32">
        <v>17592.042259999998</v>
      </c>
      <c r="AN32">
        <v>17446.342339999999</v>
      </c>
      <c r="AO32">
        <v>17300.64242</v>
      </c>
      <c r="AP32">
        <v>17154.942500000001</v>
      </c>
      <c r="AQ32">
        <v>17009.242579999998</v>
      </c>
      <c r="AR32">
        <v>16863.542659999999</v>
      </c>
      <c r="AS32">
        <v>16717.84274</v>
      </c>
      <c r="AT32">
        <v>16572.142820000001</v>
      </c>
      <c r="AU32">
        <v>16426.442899999998</v>
      </c>
      <c r="AV32">
        <v>16280.742980000001</v>
      </c>
    </row>
    <row r="33" spans="1:48" x14ac:dyDescent="0.25">
      <c r="A33" t="s">
        <v>29</v>
      </c>
      <c r="B33">
        <v>27867.9582147734</v>
      </c>
      <c r="C33">
        <v>28315.3872980581</v>
      </c>
      <c r="D33">
        <v>28862.868119999999</v>
      </c>
      <c r="E33">
        <v>29492.504959999998</v>
      </c>
      <c r="F33">
        <v>28683.332640000001</v>
      </c>
      <c r="G33">
        <v>27352.100050000001</v>
      </c>
      <c r="H33">
        <v>27559.673119999999</v>
      </c>
      <c r="I33">
        <v>27182.754509999999</v>
      </c>
      <c r="J33">
        <v>26537.860990000001</v>
      </c>
      <c r="K33">
        <v>26321.297760000001</v>
      </c>
      <c r="L33">
        <v>26541.643329999999</v>
      </c>
      <c r="M33">
        <v>27050.752990000001</v>
      </c>
      <c r="N33">
        <v>27050.752990000001</v>
      </c>
      <c r="O33">
        <v>27050.752990000001</v>
      </c>
      <c r="P33">
        <v>27050.752990000001</v>
      </c>
      <c r="Q33">
        <v>27050.752990000001</v>
      </c>
      <c r="R33">
        <v>27050.752990000001</v>
      </c>
      <c r="S33">
        <v>27050.752990000001</v>
      </c>
      <c r="T33">
        <v>27050.752990000001</v>
      </c>
      <c r="U33">
        <v>22391.581129999999</v>
      </c>
      <c r="V33">
        <v>22391.580709999998</v>
      </c>
      <c r="W33">
        <v>22391.580300000001</v>
      </c>
      <c r="X33">
        <v>22391.579880000001</v>
      </c>
      <c r="Y33">
        <v>22391.579470000001</v>
      </c>
      <c r="Z33">
        <v>22391.57905</v>
      </c>
      <c r="AA33">
        <v>22391.57864</v>
      </c>
      <c r="AB33">
        <v>20944.630809999999</v>
      </c>
      <c r="AC33">
        <v>20944.630990000001</v>
      </c>
      <c r="AD33">
        <v>20944.63118</v>
      </c>
      <c r="AE33">
        <v>20944.631359999999</v>
      </c>
      <c r="AF33">
        <v>20944.631549999998</v>
      </c>
      <c r="AG33">
        <v>20944.631730000001</v>
      </c>
      <c r="AH33">
        <v>20944.63191</v>
      </c>
      <c r="AI33">
        <v>20944.632099999999</v>
      </c>
      <c r="AJ33">
        <v>20944.632280000002</v>
      </c>
      <c r="AK33">
        <v>20944.63247</v>
      </c>
      <c r="AL33">
        <v>20929.353899999998</v>
      </c>
      <c r="AM33">
        <v>20929.353899999998</v>
      </c>
      <c r="AN33">
        <v>20929.353899999998</v>
      </c>
      <c r="AO33">
        <v>20929.353899999998</v>
      </c>
      <c r="AP33">
        <v>20929.353899999998</v>
      </c>
      <c r="AQ33">
        <v>20929.353899999998</v>
      </c>
      <c r="AR33">
        <v>20929.353899999998</v>
      </c>
      <c r="AS33">
        <v>20929.353899999998</v>
      </c>
      <c r="AT33">
        <v>20929.353899999998</v>
      </c>
      <c r="AU33">
        <v>20929.353899999998</v>
      </c>
      <c r="AV33">
        <v>21194.010849999999</v>
      </c>
    </row>
    <row r="34" spans="1:48" x14ac:dyDescent="0.25">
      <c r="A34" t="s">
        <v>30</v>
      </c>
      <c r="B34">
        <v>6240.0203969263302</v>
      </c>
      <c r="C34">
        <v>6340.2059427907698</v>
      </c>
      <c r="D34">
        <v>6509.6276049999997</v>
      </c>
      <c r="E34">
        <v>6528.777908</v>
      </c>
      <c r="F34">
        <v>6389.4615469999999</v>
      </c>
      <c r="G34">
        <v>6415.1840400000001</v>
      </c>
      <c r="H34">
        <v>6388.0748059999996</v>
      </c>
      <c r="I34">
        <v>6314.3757999999998</v>
      </c>
      <c r="J34">
        <v>6273.3649400000004</v>
      </c>
      <c r="K34">
        <v>6291.8236770000003</v>
      </c>
      <c r="L34">
        <v>6295.9734779999999</v>
      </c>
      <c r="M34">
        <v>6330.1623890000001</v>
      </c>
      <c r="N34">
        <v>5748.4773510000005</v>
      </c>
      <c r="O34">
        <v>5166.7922980000003</v>
      </c>
      <c r="P34">
        <v>4585.1073509999997</v>
      </c>
      <c r="Q34">
        <v>4003.4222220000001</v>
      </c>
      <c r="R34">
        <v>3421.7371760000001</v>
      </c>
      <c r="S34">
        <v>2840.0515329999998</v>
      </c>
      <c r="T34">
        <v>2258.3663900000001</v>
      </c>
      <c r="U34">
        <v>5239.8652309999998</v>
      </c>
      <c r="V34">
        <v>5033.4106179999999</v>
      </c>
      <c r="W34">
        <v>4826.9560019999999</v>
      </c>
      <c r="X34">
        <v>4620.5013840000001</v>
      </c>
      <c r="Y34">
        <v>4414.0467479999998</v>
      </c>
      <c r="Z34">
        <v>4207.5921410000001</v>
      </c>
      <c r="AA34">
        <v>4001.1375549999998</v>
      </c>
      <c r="AB34">
        <v>4901.2629610000004</v>
      </c>
      <c r="AC34">
        <v>4899.7371380000004</v>
      </c>
      <c r="AD34">
        <v>4898.2113140000001</v>
      </c>
      <c r="AE34">
        <v>4896.6854899999998</v>
      </c>
      <c r="AF34">
        <v>4895.1596659999996</v>
      </c>
      <c r="AG34">
        <v>4893.6338420000002</v>
      </c>
      <c r="AH34">
        <v>4892.1080179999999</v>
      </c>
      <c r="AI34">
        <v>4890.5821939999996</v>
      </c>
      <c r="AJ34">
        <v>4889.0563700000002</v>
      </c>
      <c r="AK34">
        <v>4887.530546</v>
      </c>
      <c r="AL34">
        <v>4897.688005</v>
      </c>
      <c r="AM34">
        <v>4924.1213580000003</v>
      </c>
      <c r="AN34">
        <v>4950.5547109999998</v>
      </c>
      <c r="AO34">
        <v>4976.9880640000001</v>
      </c>
      <c r="AP34">
        <v>5003.4214169999996</v>
      </c>
      <c r="AQ34">
        <v>5029.8547699999999</v>
      </c>
      <c r="AR34">
        <v>5056.2881230000003</v>
      </c>
      <c r="AS34">
        <v>5082.7214759999997</v>
      </c>
      <c r="AT34">
        <v>5109.1548290000001</v>
      </c>
      <c r="AU34">
        <v>5135.5881820000004</v>
      </c>
      <c r="AV34">
        <v>4959.6205140000002</v>
      </c>
    </row>
    <row r="35" spans="1:48" x14ac:dyDescent="0.25">
      <c r="N35">
        <f>AV33/N33</f>
        <v>0.78349060589311148</v>
      </c>
      <c r="V35">
        <f>AV33/V33</f>
        <v>0.94651695762304222</v>
      </c>
    </row>
    <row r="36" spans="1:48" x14ac:dyDescent="0.25">
      <c r="D36" t="s">
        <v>48</v>
      </c>
      <c r="N36">
        <f>AV28/N28</f>
        <v>0.93940798502211487</v>
      </c>
      <c r="V36">
        <f>AV28/V28</f>
        <v>1.0379238558363166</v>
      </c>
    </row>
    <row r="37" spans="1:48" x14ac:dyDescent="0.25">
      <c r="D37" t="s">
        <v>49</v>
      </c>
    </row>
    <row r="38" spans="1:48" x14ac:dyDescent="0.25">
      <c r="D38" t="s">
        <v>50</v>
      </c>
    </row>
    <row r="39" spans="1:48" x14ac:dyDescent="0.25">
      <c r="D39" t="s">
        <v>51</v>
      </c>
    </row>
    <row r="40" spans="1:48" x14ac:dyDescent="0.25">
      <c r="D40" t="s">
        <v>52</v>
      </c>
    </row>
    <row r="42" spans="1:48" x14ac:dyDescent="0.25">
      <c r="D42" t="s">
        <v>53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SNBC3 run3_brouillonnn</vt:lpstr>
      <vt:lpstr>SNBC3 run3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MONSERAND Alma</dc:creator>
  <cp:lastModifiedBy>MONSERAND Alma</cp:lastModifiedBy>
  <dcterms:created xsi:type="dcterms:W3CDTF">2015-06-05T18:19:34Z</dcterms:created>
  <dcterms:modified xsi:type="dcterms:W3CDTF">2025-06-03T15:50:43Z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8ce3bfb-fff1-481a-835b-0a342757958d_Enabled">
    <vt:lpwstr>true</vt:lpwstr>
  </property>
  <property fmtid="{D5CDD505-2E9C-101B-9397-08002B2CF9AE}" pid="3" name="MSIP_Label_98ce3bfb-fff1-481a-835b-0a342757958d_SetDate">
    <vt:lpwstr>2025-04-15T17:59:45Z</vt:lpwstr>
  </property>
  <property fmtid="{D5CDD505-2E9C-101B-9397-08002B2CF9AE}" pid="4" name="MSIP_Label_98ce3bfb-fff1-481a-835b-0a342757958d_Method">
    <vt:lpwstr>Standard</vt:lpwstr>
  </property>
  <property fmtid="{D5CDD505-2E9C-101B-9397-08002B2CF9AE}" pid="5" name="MSIP_Label_98ce3bfb-fff1-481a-835b-0a342757958d_Name">
    <vt:lpwstr>C0 - Public</vt:lpwstr>
  </property>
  <property fmtid="{D5CDD505-2E9C-101B-9397-08002B2CF9AE}" pid="6" name="MSIP_Label_98ce3bfb-fff1-481a-835b-0a342757958d_SiteId">
    <vt:lpwstr>cb6c2492-4a85-4b15-85a1-ed94d47e5849</vt:lpwstr>
  </property>
  <property fmtid="{D5CDD505-2E9C-101B-9397-08002B2CF9AE}" pid="7" name="MSIP_Label_98ce3bfb-fff1-481a-835b-0a342757958d_ActionId">
    <vt:lpwstr>cdcfd7a3-d77c-4120-9637-8c4fefb21864</vt:lpwstr>
  </property>
  <property fmtid="{D5CDD505-2E9C-101B-9397-08002B2CF9AE}" pid="8" name="MSIP_Label_98ce3bfb-fff1-481a-835b-0a342757958d_ContentBits">
    <vt:lpwstr>0</vt:lpwstr>
  </property>
  <property fmtid="{D5CDD505-2E9C-101B-9397-08002B2CF9AE}" pid="9" name="MSIP_Label_98ce3bfb-fff1-481a-835b-0a342757958d_Tag">
    <vt:lpwstr>10, 3, 0, 1</vt:lpwstr>
  </property>
</Properties>
</file>