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BD37EBE0-EE62-4EAB-94A7-8BA76B520370}" xr6:coauthVersionLast="47" xr6:coauthVersionMax="47" xr10:uidLastSave="{00000000-0000-0000-0000-000000000000}"/>
  <bookViews>
    <workbookView xWindow="-120" yWindow="-120" windowWidth="20730" windowHeight="11040" xr2:uid="{FEFFBBAA-1CA6-455B-BEE5-1B5A50BBADE8}"/>
  </bookViews>
  <sheets>
    <sheet name="Synthèse FC+F2030BCIAT BCIB" sheetId="1" r:id="rId1"/>
    <sheet name="Synthèse FC uniquement" sheetId="2" r:id="rId2"/>
    <sheet name="bilan RC" sheetId="3" r:id="rId3"/>
  </sheets>
  <externalReferences>
    <externalReference r:id="rId4"/>
    <externalReference r:id="rId5"/>
  </externalReferences>
  <definedNames>
    <definedName name="Nature">#REF!</definedName>
    <definedName name="Pôle">#REF!</definedName>
    <definedName name="Priorité">#REF!</definedName>
    <definedName name="Procédure">#REF!</definedName>
    <definedName name="Programme">#REF!</definedName>
    <definedName name="Trimestr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1" l="1"/>
  <c r="K59" i="1" l="1"/>
  <c r="K57" i="1" l="1"/>
  <c r="K51" i="1"/>
  <c r="I41" i="1" l="1"/>
  <c r="M41" i="1"/>
  <c r="N41" i="1"/>
  <c r="O41" i="1"/>
  <c r="R41" i="1"/>
  <c r="B40" i="1"/>
  <c r="B36" i="1"/>
  <c r="B30" i="1"/>
  <c r="B24" i="1"/>
  <c r="B16" i="1"/>
  <c r="B80" i="2" l="1"/>
  <c r="C76" i="2" s="1"/>
  <c r="D79" i="2"/>
  <c r="F79" i="2" s="1"/>
  <c r="F78" i="2"/>
  <c r="D78" i="2"/>
  <c r="F77" i="2"/>
  <c r="D77" i="2"/>
  <c r="F76" i="2"/>
  <c r="D76" i="2"/>
  <c r="D75" i="2"/>
  <c r="F75" i="2" s="1"/>
  <c r="C75" i="2"/>
  <c r="C74" i="2"/>
  <c r="A55" i="2"/>
  <c r="A54" i="2"/>
  <c r="A53" i="2"/>
  <c r="A52" i="2"/>
  <c r="A51" i="2"/>
  <c r="A50" i="2"/>
  <c r="U38" i="2"/>
  <c r="V43" i="1" s="1"/>
  <c r="U36" i="2"/>
  <c r="V35" i="2"/>
  <c r="U33" i="2"/>
  <c r="U32" i="2"/>
  <c r="U31" i="2"/>
  <c r="U30" i="2"/>
  <c r="U29" i="2"/>
  <c r="U28" i="2"/>
  <c r="U27" i="2"/>
  <c r="U26" i="2"/>
  <c r="V25" i="2"/>
  <c r="U25" i="2"/>
  <c r="U24" i="2"/>
  <c r="U22" i="2"/>
  <c r="U21" i="2"/>
  <c r="U20" i="2"/>
  <c r="U19" i="2"/>
  <c r="U18" i="2"/>
  <c r="U15" i="2"/>
  <c r="U14" i="2"/>
  <c r="U13" i="2"/>
  <c r="U12" i="2"/>
  <c r="U11" i="2"/>
  <c r="U10" i="2"/>
  <c r="U9" i="2"/>
  <c r="U8" i="2"/>
  <c r="V8" i="2"/>
  <c r="U7" i="2"/>
  <c r="U6" i="2"/>
  <c r="U5" i="2"/>
  <c r="U3" i="2"/>
  <c r="U2" i="2"/>
  <c r="H46" i="1"/>
  <c r="X44" i="1"/>
  <c r="V42" i="1"/>
  <c r="T39" i="1"/>
  <c r="S39" i="1"/>
  <c r="H39" i="1"/>
  <c r="T37" i="1"/>
  <c r="S37" i="1"/>
  <c r="T35" i="1"/>
  <c r="S35" i="1"/>
  <c r="H35" i="1"/>
  <c r="J35" i="1" s="1"/>
  <c r="T30" i="1"/>
  <c r="T29" i="1"/>
  <c r="S29" i="1"/>
  <c r="H29" i="1"/>
  <c r="T28" i="1"/>
  <c r="S28" i="1"/>
  <c r="P28" i="1"/>
  <c r="H28" i="1"/>
  <c r="T27" i="1"/>
  <c r="S27" i="1"/>
  <c r="P27" i="1"/>
  <c r="H27" i="1"/>
  <c r="T26" i="1"/>
  <c r="S26" i="1"/>
  <c r="T25" i="1"/>
  <c r="S25" i="1"/>
  <c r="T23" i="1"/>
  <c r="S23" i="1"/>
  <c r="K23" i="1"/>
  <c r="H23" i="1"/>
  <c r="J23" i="1" s="1"/>
  <c r="T22" i="1"/>
  <c r="S22" i="1"/>
  <c r="P22" i="1"/>
  <c r="H22" i="1"/>
  <c r="Q22" i="1" s="1"/>
  <c r="T21" i="1"/>
  <c r="S21" i="1"/>
  <c r="T12" i="1"/>
  <c r="S12" i="1"/>
  <c r="V11" i="1"/>
  <c r="T11" i="1"/>
  <c r="S11" i="1"/>
  <c r="P10" i="1"/>
  <c r="H10" i="1"/>
  <c r="V9" i="1"/>
  <c r="T9" i="1"/>
  <c r="S9" i="1"/>
  <c r="T8" i="1"/>
  <c r="S8" i="1"/>
  <c r="K8" i="1"/>
  <c r="H8" i="1"/>
  <c r="T7" i="1"/>
  <c r="S7" i="1"/>
  <c r="P7" i="1"/>
  <c r="H7" i="1"/>
  <c r="T6" i="1"/>
  <c r="S6" i="1"/>
  <c r="P6" i="1"/>
  <c r="H6" i="1"/>
  <c r="T4" i="1"/>
  <c r="S4" i="1"/>
  <c r="Q28" i="1" l="1"/>
  <c r="V31" i="2"/>
  <c r="L23" i="1"/>
  <c r="H20" i="1"/>
  <c r="S20" i="1"/>
  <c r="K4" i="1"/>
  <c r="H17" i="1"/>
  <c r="H21" i="1"/>
  <c r="V14" i="2"/>
  <c r="K7" i="1"/>
  <c r="L7" i="1" s="1"/>
  <c r="S17" i="1"/>
  <c r="S19" i="1"/>
  <c r="P37" i="1"/>
  <c r="T17" i="1"/>
  <c r="P12" i="1"/>
  <c r="K18" i="1"/>
  <c r="K2" i="1"/>
  <c r="K31" i="1"/>
  <c r="H11" i="1"/>
  <c r="K20" i="1"/>
  <c r="K28" i="1"/>
  <c r="L28" i="1" s="1"/>
  <c r="J28" i="1"/>
  <c r="V34" i="2"/>
  <c r="H14" i="1"/>
  <c r="H16" i="1"/>
  <c r="K9" i="1"/>
  <c r="W9" i="1"/>
  <c r="S18" i="1"/>
  <c r="K5" i="1"/>
  <c r="H9" i="1"/>
  <c r="P26" i="1"/>
  <c r="S34" i="1"/>
  <c r="H34" i="1"/>
  <c r="T15" i="1"/>
  <c r="P15" i="1"/>
  <c r="K3" i="1"/>
  <c r="V24" i="2"/>
  <c r="P14" i="1"/>
  <c r="P16" i="1"/>
  <c r="K22" i="1"/>
  <c r="L22" i="1" s="1"/>
  <c r="J22" i="1"/>
  <c r="V6" i="2"/>
  <c r="P2" i="1"/>
  <c r="T14" i="1"/>
  <c r="K32" i="1"/>
  <c r="T2" i="1"/>
  <c r="T5" i="1"/>
  <c r="P5" i="1"/>
  <c r="P11" i="1"/>
  <c r="S32" i="1"/>
  <c r="H32" i="1"/>
  <c r="H5" i="1"/>
  <c r="S5" i="1"/>
  <c r="K11" i="1"/>
  <c r="W11" i="1"/>
  <c r="K12" i="1"/>
  <c r="H31" i="1"/>
  <c r="H36" i="1"/>
  <c r="S3" i="1"/>
  <c r="H4" i="1"/>
  <c r="P17" i="1"/>
  <c r="H19" i="1"/>
  <c r="K33" i="1"/>
  <c r="K15" i="1"/>
  <c r="H38" i="1"/>
  <c r="S38" i="1"/>
  <c r="V11" i="2"/>
  <c r="V13" i="2"/>
  <c r="H2" i="1"/>
  <c r="P3" i="1"/>
  <c r="K14" i="1"/>
  <c r="P19" i="1"/>
  <c r="P21" i="1"/>
  <c r="S31" i="1"/>
  <c r="S36" i="1"/>
  <c r="V5" i="2"/>
  <c r="V22" i="2"/>
  <c r="K6" i="1"/>
  <c r="L6" i="1" s="1"/>
  <c r="P18" i="1"/>
  <c r="P20" i="1"/>
  <c r="T20" i="1"/>
  <c r="S2" i="1"/>
  <c r="T3" i="1"/>
  <c r="T18" i="1"/>
  <c r="P9" i="1"/>
  <c r="K17" i="1"/>
  <c r="T33" i="1"/>
  <c r="V10" i="2"/>
  <c r="S16" i="1"/>
  <c r="S14" i="1"/>
  <c r="P32" i="1"/>
  <c r="T32" i="1"/>
  <c r="V21" i="2"/>
  <c r="P4" i="1"/>
  <c r="K19" i="1"/>
  <c r="K25" i="1"/>
  <c r="V33" i="2"/>
  <c r="V27" i="2"/>
  <c r="V29" i="2"/>
  <c r="P25" i="1"/>
  <c r="P33" i="1"/>
  <c r="V3" i="2"/>
  <c r="H15" i="1"/>
  <c r="S15" i="1"/>
  <c r="K21" i="1"/>
  <c r="P31" i="1"/>
  <c r="H33" i="1"/>
  <c r="P34" i="1"/>
  <c r="T34" i="1"/>
  <c r="P38" i="1"/>
  <c r="T38" i="1"/>
  <c r="V15" i="2"/>
  <c r="V18" i="2"/>
  <c r="H12" i="1"/>
  <c r="H18" i="1"/>
  <c r="H30" i="1"/>
  <c r="H25" i="1"/>
  <c r="K26" i="1"/>
  <c r="T31" i="1"/>
  <c r="S33" i="1"/>
  <c r="K37" i="1"/>
  <c r="V2" i="2"/>
  <c r="V7" i="2"/>
  <c r="V23" i="2"/>
  <c r="V28" i="2"/>
  <c r="V30" i="2"/>
  <c r="T19" i="1"/>
  <c r="H26" i="1"/>
  <c r="K27" i="1"/>
  <c r="L27" i="1" s="1"/>
  <c r="K34" i="1"/>
  <c r="H37" i="1"/>
  <c r="K38" i="1"/>
  <c r="J6" i="1"/>
  <c r="Q6" i="1"/>
  <c r="P8" i="1"/>
  <c r="Q8" i="1" s="1"/>
  <c r="L8" i="1"/>
  <c r="J8" i="1"/>
  <c r="V44" i="1"/>
  <c r="J27" i="1"/>
  <c r="Q7" i="1"/>
  <c r="J7" i="1"/>
  <c r="Q10" i="1"/>
  <c r="J10" i="1"/>
  <c r="Q27" i="1"/>
  <c r="L10" i="1"/>
  <c r="J29" i="1"/>
  <c r="P29" i="1"/>
  <c r="Q29" i="1" s="1"/>
  <c r="P23" i="1"/>
  <c r="Q23" i="1" s="1"/>
  <c r="K35" i="1"/>
  <c r="L35" i="1" s="1"/>
  <c r="K39" i="1"/>
  <c r="V19" i="2"/>
  <c r="P39" i="1"/>
  <c r="L39" i="1"/>
  <c r="J39" i="1"/>
  <c r="K29" i="1"/>
  <c r="L29" i="1" s="1"/>
  <c r="P35" i="1"/>
  <c r="Q35" i="1" s="1"/>
  <c r="S30" i="1"/>
  <c r="C79" i="2"/>
  <c r="C77" i="2"/>
  <c r="C80" i="2"/>
  <c r="C78" i="2"/>
  <c r="P44" i="1" l="1"/>
  <c r="P36" i="1"/>
  <c r="P30" i="1"/>
  <c r="H3" i="1"/>
  <c r="Q36" i="1"/>
  <c r="J36" i="1"/>
  <c r="L36" i="1"/>
  <c r="W44" i="1"/>
  <c r="K13" i="1"/>
  <c r="E40" i="1"/>
  <c r="K40" i="1"/>
  <c r="C72" i="1"/>
  <c r="L12" i="1"/>
  <c r="J12" i="1"/>
  <c r="Q12" i="1"/>
  <c r="C70" i="1"/>
  <c r="K30" i="1"/>
  <c r="K24" i="1"/>
  <c r="C69" i="1"/>
  <c r="E24" i="1"/>
  <c r="C67" i="1"/>
  <c r="E30" i="1"/>
  <c r="Q31" i="1"/>
  <c r="J31" i="1"/>
  <c r="L31" i="1"/>
  <c r="J14" i="1"/>
  <c r="Q14" i="1"/>
  <c r="L14" i="1"/>
  <c r="J38" i="1"/>
  <c r="L38" i="1"/>
  <c r="Q38" i="1"/>
  <c r="Y44" i="1"/>
  <c r="H44" i="1"/>
  <c r="J4" i="1"/>
  <c r="Q4" i="1"/>
  <c r="L4" i="1"/>
  <c r="Q21" i="1"/>
  <c r="L21" i="1"/>
  <c r="J21" i="1"/>
  <c r="X20" i="2"/>
  <c r="V20" i="2"/>
  <c r="B52" i="2"/>
  <c r="Y20" i="2"/>
  <c r="J17" i="1"/>
  <c r="Q17" i="1"/>
  <c r="L17" i="1"/>
  <c r="T40" i="1"/>
  <c r="H24" i="1"/>
  <c r="Q16" i="1"/>
  <c r="J16" i="1"/>
  <c r="J15" i="1"/>
  <c r="Q15" i="1"/>
  <c r="L15" i="1"/>
  <c r="T24" i="1"/>
  <c r="T36" i="1"/>
  <c r="Q11" i="1"/>
  <c r="L11" i="1"/>
  <c r="J11" i="1"/>
  <c r="C68" i="1"/>
  <c r="K16" i="1"/>
  <c r="L16" i="1" s="1"/>
  <c r="E16" i="1"/>
  <c r="T16" i="1"/>
  <c r="P40" i="1"/>
  <c r="S40" i="1"/>
  <c r="P24" i="1"/>
  <c r="L9" i="1"/>
  <c r="Q9" i="1"/>
  <c r="J9" i="1"/>
  <c r="Q26" i="1"/>
  <c r="L26" i="1"/>
  <c r="J26" i="1"/>
  <c r="V9" i="2"/>
  <c r="B50" i="2"/>
  <c r="J25" i="1"/>
  <c r="Q25" i="1"/>
  <c r="L25" i="1"/>
  <c r="K36" i="1"/>
  <c r="E36" i="1"/>
  <c r="C71" i="1"/>
  <c r="H40" i="1"/>
  <c r="J30" i="1"/>
  <c r="L30" i="1"/>
  <c r="Q30" i="1"/>
  <c r="B53" i="2"/>
  <c r="V26" i="2"/>
  <c r="B51" i="2"/>
  <c r="V12" i="2"/>
  <c r="S13" i="1"/>
  <c r="T13" i="1"/>
  <c r="J34" i="1"/>
  <c r="L34" i="1"/>
  <c r="Q34" i="1"/>
  <c r="S24" i="1"/>
  <c r="L19" i="1"/>
  <c r="Q19" i="1"/>
  <c r="J19" i="1"/>
  <c r="B55" i="2"/>
  <c r="V36" i="2"/>
  <c r="J32" i="1"/>
  <c r="Q32" i="1"/>
  <c r="L32" i="1"/>
  <c r="Q37" i="1"/>
  <c r="L37" i="1"/>
  <c r="J37" i="1"/>
  <c r="Q18" i="1"/>
  <c r="L18" i="1"/>
  <c r="J18" i="1"/>
  <c r="L33" i="1"/>
  <c r="J33" i="1"/>
  <c r="Q33" i="1"/>
  <c r="B54" i="2"/>
  <c r="V32" i="2"/>
  <c r="J2" i="1"/>
  <c r="L2" i="1"/>
  <c r="Q2" i="1"/>
  <c r="L5" i="1"/>
  <c r="J5" i="1"/>
  <c r="Q5" i="1"/>
  <c r="K44" i="1"/>
  <c r="Q20" i="1"/>
  <c r="L20" i="1"/>
  <c r="J20" i="1"/>
  <c r="S42" i="1" l="1"/>
  <c r="K42" i="1"/>
  <c r="K41" i="1" s="1"/>
  <c r="E44" i="1"/>
  <c r="V38" i="2"/>
  <c r="C68" i="2"/>
  <c r="J24" i="1"/>
  <c r="Q24" i="1"/>
  <c r="L24" i="1"/>
  <c r="T42" i="1"/>
  <c r="T43" i="1"/>
  <c r="T49" i="1" s="1"/>
  <c r="E13" i="1"/>
  <c r="L40" i="1"/>
  <c r="J40" i="1"/>
  <c r="Q40" i="1"/>
  <c r="E42" i="1"/>
  <c r="E8" i="1"/>
  <c r="E23" i="1"/>
  <c r="W42" i="1"/>
  <c r="E10" i="1"/>
  <c r="E2" i="1"/>
  <c r="E35" i="1"/>
  <c r="E20" i="1"/>
  <c r="E18" i="1"/>
  <c r="E31" i="1"/>
  <c r="E9" i="1"/>
  <c r="E11" i="1"/>
  <c r="E38" i="1"/>
  <c r="E39" i="1"/>
  <c r="E29" i="1"/>
  <c r="E37" i="1"/>
  <c r="E4" i="1"/>
  <c r="E26" i="1"/>
  <c r="E14" i="1"/>
  <c r="E15" i="1"/>
  <c r="E5" i="1"/>
  <c r="E12" i="1"/>
  <c r="E22" i="1"/>
  <c r="E6" i="1"/>
  <c r="E19" i="1"/>
  <c r="E21" i="1"/>
  <c r="E7" i="1"/>
  <c r="E28" i="1"/>
  <c r="E32" i="1"/>
  <c r="E25" i="1"/>
  <c r="E17" i="1"/>
  <c r="E3" i="1"/>
  <c r="E33" i="1"/>
  <c r="E34" i="1"/>
  <c r="E27" i="1"/>
  <c r="H13" i="1"/>
  <c r="L3" i="1"/>
  <c r="Q3" i="1"/>
  <c r="J3" i="1"/>
  <c r="Q44" i="1"/>
  <c r="L44" i="1"/>
  <c r="J44" i="1"/>
  <c r="P13" i="1"/>
  <c r="T48" i="1" l="1"/>
  <c r="T41" i="1"/>
  <c r="S48" i="1"/>
  <c r="S41" i="1"/>
  <c r="S43" i="1"/>
  <c r="S49" i="1" s="1"/>
  <c r="C69" i="2"/>
  <c r="C70" i="2" s="1"/>
  <c r="G70" i="2" s="1"/>
  <c r="F74" i="2" s="1"/>
  <c r="K43" i="1"/>
  <c r="K49" i="1" s="1"/>
  <c r="K48" i="1"/>
  <c r="H48" i="1"/>
  <c r="H42" i="1"/>
  <c r="H41" i="1" s="1"/>
  <c r="J13" i="1"/>
  <c r="Q13" i="1"/>
  <c r="L13" i="1"/>
  <c r="W43" i="1"/>
  <c r="E43" i="1"/>
  <c r="P48" i="1"/>
  <c r="P49" i="1" s="1"/>
  <c r="P42" i="1"/>
  <c r="P43" i="1" l="1"/>
  <c r="P41" i="1"/>
  <c r="F80" i="2"/>
  <c r="G74" i="2" s="1"/>
  <c r="B68" i="2"/>
  <c r="G69" i="2"/>
  <c r="D74" i="2" s="1"/>
  <c r="Q42" i="1"/>
  <c r="Q41" i="1" s="1"/>
  <c r="L42" i="1"/>
  <c r="L41" i="1" s="1"/>
  <c r="J42" i="1"/>
  <c r="J41" i="1" s="1"/>
  <c r="Q48" i="1"/>
  <c r="L48" i="1"/>
  <c r="I28" i="1"/>
  <c r="I35" i="1"/>
  <c r="J48" i="1"/>
  <c r="I22" i="1"/>
  <c r="I10" i="1"/>
  <c r="I6" i="1"/>
  <c r="I29" i="1"/>
  <c r="I8" i="1"/>
  <c r="I27" i="1"/>
  <c r="I7" i="1"/>
  <c r="I23" i="1"/>
  <c r="I39" i="1"/>
  <c r="I12" i="1"/>
  <c r="I4" i="1"/>
  <c r="I30" i="1"/>
  <c r="I32" i="1"/>
  <c r="I18" i="1"/>
  <c r="I2" i="1"/>
  <c r="I20" i="1"/>
  <c r="I19" i="1"/>
  <c r="I33" i="1"/>
  <c r="I25" i="1"/>
  <c r="I11" i="1"/>
  <c r="I31" i="1"/>
  <c r="I9" i="1"/>
  <c r="I37" i="1"/>
  <c r="I16" i="1"/>
  <c r="I26" i="1"/>
  <c r="I5" i="1"/>
  <c r="I34" i="1"/>
  <c r="I36" i="1"/>
  <c r="I17" i="1"/>
  <c r="I15" i="1"/>
  <c r="I14" i="1"/>
  <c r="I38" i="1"/>
  <c r="I21" i="1"/>
  <c r="I3" i="1"/>
  <c r="I24" i="1"/>
  <c r="I40" i="1"/>
  <c r="H49" i="1"/>
  <c r="H43" i="1"/>
  <c r="I13" i="1"/>
  <c r="G80" i="2" l="1"/>
  <c r="G76" i="2"/>
  <c r="G77" i="2"/>
  <c r="G78" i="2"/>
  <c r="G79" i="2"/>
  <c r="G75" i="2"/>
  <c r="L43" i="1"/>
  <c r="Q43" i="1"/>
  <c r="J43" i="1"/>
  <c r="L49" i="1"/>
  <c r="J49" i="1"/>
  <c r="Q49" i="1"/>
  <c r="D80" i="2"/>
  <c r="B69" i="2"/>
  <c r="D68" i="2"/>
  <c r="E78" i="2" l="1"/>
  <c r="E80" i="2"/>
  <c r="E77" i="2"/>
  <c r="E76" i="2"/>
  <c r="E75" i="2"/>
  <c r="E79" i="2"/>
  <c r="B70" i="2"/>
  <c r="D70" i="2" s="1"/>
  <c r="D69" i="2"/>
  <c r="E74" i="2"/>
</calcChain>
</file>

<file path=xl/sharedStrings.xml><?xml version="1.0" encoding="utf-8"?>
<sst xmlns="http://schemas.openxmlformats.org/spreadsheetml/2006/main" count="228" uniqueCount="84">
  <si>
    <t>MWh/an</t>
  </si>
  <si>
    <t>Aide Production €</t>
  </si>
  <si>
    <t>Aide réseau distribution €</t>
  </si>
  <si>
    <t>Aide TOTAL €</t>
  </si>
  <si>
    <t>Ratio €/MWh/20ans</t>
  </si>
  <si>
    <t>tCO2 évitées/an</t>
  </si>
  <si>
    <t>Ratio d'aide €/tCO2év/20ans</t>
  </si>
  <si>
    <t>Nombre de projets</t>
  </si>
  <si>
    <t>Investissements production</t>
  </si>
  <si>
    <t>Investissements réseau de distribution</t>
  </si>
  <si>
    <t>Investissements totaux</t>
  </si>
  <si>
    <t>Taux d'aide</t>
  </si>
  <si>
    <t>Longueur RC ml</t>
  </si>
  <si>
    <t>Longueur RC Aide €/ml</t>
  </si>
  <si>
    <t>Ratio RC Investissement €/ml</t>
  </si>
  <si>
    <t>Biomasse</t>
  </si>
  <si>
    <t>Chaufferies hors BCIAT / BCIB</t>
  </si>
  <si>
    <t>Chaufferies BCIAT FC</t>
  </si>
  <si>
    <t>Chaufferies BCIB FC</t>
  </si>
  <si>
    <t>Réseaux sans invest. prod EnR</t>
  </si>
  <si>
    <t>CCRp</t>
  </si>
  <si>
    <t>FTD Tremplin</t>
  </si>
  <si>
    <t>CCRt 3DS gestion déléguée</t>
  </si>
  <si>
    <t>France 2030 - BCIAT</t>
  </si>
  <si>
    <t>Fonds Décarbonation Industrie - BCIAT</t>
  </si>
  <si>
    <t>France 2030 - BCIB</t>
  </si>
  <si>
    <t>Fonds MASA - BCIB</t>
  </si>
  <si>
    <t>Géothermie profonde</t>
  </si>
  <si>
    <t xml:space="preserve">Profonde </t>
  </si>
  <si>
    <t>Géothermie de surface</t>
  </si>
  <si>
    <t>PAC aquifère superficiel</t>
  </si>
  <si>
    <t>PAC sondes</t>
  </si>
  <si>
    <t>PAC eaux usées &amp; mer</t>
  </si>
  <si>
    <t>Aérothermie</t>
  </si>
  <si>
    <t>Solaire</t>
  </si>
  <si>
    <t>Solaire ECS</t>
  </si>
  <si>
    <t>PAC Solaire</t>
  </si>
  <si>
    <t>Récupération chaleur fatale</t>
  </si>
  <si>
    <t>Install. Récupération / UIOM</t>
  </si>
  <si>
    <t>Réseaux UIOM sans invest prod EnR</t>
  </si>
  <si>
    <t>Install. Récupération / Process</t>
  </si>
  <si>
    <t>Méthanisation</t>
  </si>
  <si>
    <t>Injection biogaz</t>
  </si>
  <si>
    <t>3DS gestion déléguée</t>
  </si>
  <si>
    <t>TOTAL Fonds Chaleur + BCIAT/BCIAT F2030 et F.MASA</t>
  </si>
  <si>
    <t>TOTAL Fonds Chaleur</t>
  </si>
  <si>
    <t>BCIAT/BCIAT F2030 et F.MASA et FDI</t>
  </si>
  <si>
    <t>Autres aides (sans production EnR&amp;R directement associée)</t>
  </si>
  <si>
    <t>TOTAL Fonds Chaleur + BCIAT/BCIAT F2030 et F.MASA et FDI</t>
  </si>
  <si>
    <t>Nb</t>
  </si>
  <si>
    <t>Nombre de projet</t>
  </si>
  <si>
    <t>Ratio sans BCIAT BCIB</t>
  </si>
  <si>
    <t>Part MWh</t>
  </si>
  <si>
    <t>Part €</t>
  </si>
  <si>
    <t>Longueur RC Investissement €/ml</t>
  </si>
  <si>
    <t>TOTAL Fonds Chaleur Aides aux investissements installations EnR&amp;R</t>
  </si>
  <si>
    <t>Aide €</t>
  </si>
  <si>
    <t>Ratio d'aide €/MWh/20ans</t>
  </si>
  <si>
    <t>Fonds Chaleur 2024</t>
  </si>
  <si>
    <t>Fonds Chaleur hors BCIAT</t>
  </si>
  <si>
    <t>Fonds Chaleur hors BCIAT et BCIB</t>
  </si>
  <si>
    <t>Répartition Fonds Chaleur 2024</t>
  </si>
  <si>
    <t>Répartition Fonds Chaleur 2024 hors BCIAT</t>
  </si>
  <si>
    <t>Répartition Fonds Chaleur 2024 hors BCIAT et BCIB</t>
  </si>
  <si>
    <t>TOTAL</t>
  </si>
  <si>
    <t>Longueur ml</t>
  </si>
  <si>
    <t>Total Aide</t>
  </si>
  <si>
    <t>Aide Réseau de distribution</t>
  </si>
  <si>
    <t>Aide Production</t>
  </si>
  <si>
    <t>MWh EnR&amp;R</t>
  </si>
  <si>
    <t>Investissement dépenses éligibles</t>
  </si>
  <si>
    <t>UIOM</t>
  </si>
  <si>
    <t>Chaleur de récupération process</t>
  </si>
  <si>
    <t>Biogaz</t>
  </si>
  <si>
    <t>TOTAL RC</t>
  </si>
  <si>
    <t>Création RC</t>
  </si>
  <si>
    <t>Extension RC</t>
  </si>
  <si>
    <t>Production sur RC existant</t>
  </si>
  <si>
    <t>Biomasse BCIAT</t>
  </si>
  <si>
    <t/>
  </si>
  <si>
    <t>Aide  €</t>
  </si>
  <si>
    <t>227GCO2/KWH</t>
  </si>
  <si>
    <t>227kg/MWH</t>
  </si>
  <si>
    <t>0.227t/MWH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</si>
</sst>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_-* #,##0\ &quot;€&quot;_-;\-* #,##0\ &quot;€&quot;_-;_-* &quot;-&quot;??\ &quot;€&quot;_-;_-@_-"/>
    <numFmt numFmtId="168" formatCode="_-* #,##0.0_-;\-* #,##0.0_-;_-* &quot;-&quot;??_-;_-@_-"/>
    <numFmt numFmtId="169" formatCode="_-* #,##0_-;\-* #,##0_-;_-* &quot;-&quot;??_-;_-@_-"/>
    <numFmt numFmtId="170" formatCode="_-* #,##0.0\ &quot;€&quot;_-;\-* #,##0.0\ &quot;€&quot;_-;_-* &quot;-&quot;??\ &quot;€&quot;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i/>
      <sz val="12"/>
      <color theme="1"/>
      <name val="Aptos Narrow"/>
      <family val="2"/>
      <scheme val="minor"/>
    </font>
    <font>
      <b/>
      <u val="singleAccounting"/>
      <sz val="11"/>
      <color rgb="FFC00000"/>
      <name val="Aptos Narrow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color rgb="FFC00000"/>
      <name val="Arial"/>
      <family val="2"/>
    </font>
    <font>
      <b/>
      <sz val="14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8C8E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424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5" borderId="7" xfId="0" applyFont="1" applyFill="1" applyBorder="1" applyAlignment="1">
      <alignment vertical="center"/>
    </xf>
    <xf numFmtId="165" fontId="6" fillId="5" borderId="7" xfId="4" applyNumberFormat="1" applyFont="1" applyFill="1" applyBorder="1" applyAlignment="1">
      <alignment vertical="center"/>
    </xf>
    <xf numFmtId="166" fontId="6" fillId="5" borderId="7" xfId="3" applyNumberFormat="1" applyFont="1" applyFill="1" applyBorder="1" applyAlignment="1">
      <alignment vertical="center"/>
    </xf>
    <xf numFmtId="167" fontId="6" fillId="5" borderId="7" xfId="2" applyNumberFormat="1" applyFont="1" applyFill="1" applyBorder="1" applyAlignment="1">
      <alignment vertical="center"/>
    </xf>
    <xf numFmtId="9" fontId="6" fillId="5" borderId="7" xfId="3" applyFont="1" applyFill="1" applyBorder="1" applyAlignment="1">
      <alignment vertical="center"/>
    </xf>
    <xf numFmtId="168" fontId="6" fillId="5" borderId="7" xfId="1" applyNumberFormat="1" applyFont="1" applyFill="1" applyBorder="1" applyAlignment="1">
      <alignment vertical="center"/>
    </xf>
    <xf numFmtId="169" fontId="6" fillId="5" borderId="7" xfId="1" applyNumberFormat="1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165" fontId="6" fillId="5" borderId="9" xfId="4" applyNumberFormat="1" applyFont="1" applyFill="1" applyBorder="1" applyAlignment="1">
      <alignment vertical="center"/>
    </xf>
    <xf numFmtId="166" fontId="6" fillId="5" borderId="9" xfId="3" applyNumberFormat="1" applyFont="1" applyFill="1" applyBorder="1" applyAlignment="1">
      <alignment vertical="center"/>
    </xf>
    <xf numFmtId="167" fontId="6" fillId="5" borderId="9" xfId="2" applyNumberFormat="1" applyFont="1" applyFill="1" applyBorder="1" applyAlignment="1">
      <alignment vertical="center"/>
    </xf>
    <xf numFmtId="9" fontId="6" fillId="5" borderId="9" xfId="3" applyFont="1" applyFill="1" applyBorder="1" applyAlignment="1">
      <alignment vertical="center"/>
    </xf>
    <xf numFmtId="168" fontId="6" fillId="5" borderId="9" xfId="1" applyNumberFormat="1" applyFont="1" applyFill="1" applyBorder="1" applyAlignment="1">
      <alignment vertical="center"/>
    </xf>
    <xf numFmtId="169" fontId="6" fillId="5" borderId="9" xfId="1" applyNumberFormat="1" applyFont="1" applyFill="1" applyBorder="1" applyAlignment="1">
      <alignment vertical="center"/>
    </xf>
    <xf numFmtId="0" fontId="8" fillId="6" borderId="9" xfId="0" applyFont="1" applyFill="1" applyBorder="1"/>
    <xf numFmtId="165" fontId="8" fillId="6" borderId="9" xfId="4" applyNumberFormat="1" applyFont="1" applyFill="1" applyBorder="1" applyAlignment="1">
      <alignment vertical="center"/>
    </xf>
    <xf numFmtId="166" fontId="8" fillId="6" borderId="9" xfId="3" applyNumberFormat="1" applyFont="1" applyFill="1" applyBorder="1" applyAlignment="1">
      <alignment vertical="center"/>
    </xf>
    <xf numFmtId="167" fontId="8" fillId="6" borderId="9" xfId="2" applyNumberFormat="1" applyFont="1" applyFill="1" applyBorder="1" applyAlignment="1">
      <alignment vertical="center"/>
    </xf>
    <xf numFmtId="9" fontId="8" fillId="6" borderId="9" xfId="3" applyFont="1" applyFill="1" applyBorder="1" applyAlignment="1">
      <alignment vertical="center"/>
    </xf>
    <xf numFmtId="168" fontId="8" fillId="6" borderId="9" xfId="1" applyNumberFormat="1" applyFont="1" applyFill="1" applyBorder="1" applyAlignment="1">
      <alignment vertical="center"/>
    </xf>
    <xf numFmtId="169" fontId="8" fillId="6" borderId="9" xfId="1" applyNumberFormat="1" applyFont="1" applyFill="1" applyBorder="1" applyAlignment="1">
      <alignment vertical="center"/>
    </xf>
    <xf numFmtId="0" fontId="6" fillId="7" borderId="9" xfId="0" applyFont="1" applyFill="1" applyBorder="1"/>
    <xf numFmtId="165" fontId="6" fillId="7" borderId="9" xfId="4" applyNumberFormat="1" applyFont="1" applyFill="1" applyBorder="1" applyAlignment="1">
      <alignment vertical="center"/>
    </xf>
    <xf numFmtId="166" fontId="6" fillId="7" borderId="9" xfId="3" applyNumberFormat="1" applyFont="1" applyFill="1" applyBorder="1" applyAlignment="1">
      <alignment vertical="center"/>
    </xf>
    <xf numFmtId="167" fontId="6" fillId="7" borderId="9" xfId="2" applyNumberFormat="1" applyFont="1" applyFill="1" applyBorder="1" applyAlignment="1">
      <alignment vertical="center"/>
    </xf>
    <xf numFmtId="9" fontId="6" fillId="7" borderId="9" xfId="3" applyFont="1" applyFill="1" applyBorder="1" applyAlignment="1">
      <alignment vertical="center"/>
    </xf>
    <xf numFmtId="168" fontId="6" fillId="7" borderId="9" xfId="1" applyNumberFormat="1" applyFont="1" applyFill="1" applyBorder="1" applyAlignment="1">
      <alignment vertical="center"/>
    </xf>
    <xf numFmtId="169" fontId="6" fillId="7" borderId="9" xfId="1" applyNumberFormat="1" applyFont="1" applyFill="1" applyBorder="1" applyAlignment="1">
      <alignment vertical="center"/>
    </xf>
    <xf numFmtId="169" fontId="0" fillId="0" borderId="0" xfId="1" applyNumberFormat="1" applyFont="1"/>
    <xf numFmtId="9" fontId="2" fillId="0" borderId="0" xfId="3" applyFont="1"/>
    <xf numFmtId="0" fontId="2" fillId="0" borderId="0" xfId="0" applyFont="1"/>
    <xf numFmtId="165" fontId="9" fillId="7" borderId="9" xfId="4" applyNumberFormat="1" applyFont="1" applyFill="1" applyBorder="1" applyAlignment="1">
      <alignment vertical="center"/>
    </xf>
    <xf numFmtId="166" fontId="9" fillId="7" borderId="9" xfId="3" applyNumberFormat="1" applyFont="1" applyFill="1" applyBorder="1" applyAlignment="1">
      <alignment vertical="center"/>
    </xf>
    <xf numFmtId="167" fontId="9" fillId="7" borderId="9" xfId="2" applyNumberFormat="1" applyFont="1" applyFill="1" applyBorder="1" applyAlignment="1">
      <alignment vertical="center"/>
    </xf>
    <xf numFmtId="9" fontId="9" fillId="7" borderId="9" xfId="3" applyFont="1" applyFill="1" applyBorder="1" applyAlignment="1">
      <alignment vertical="center"/>
    </xf>
    <xf numFmtId="168" fontId="9" fillId="7" borderId="9" xfId="1" applyNumberFormat="1" applyFont="1" applyFill="1" applyBorder="1" applyAlignment="1">
      <alignment vertical="center"/>
    </xf>
    <xf numFmtId="169" fontId="9" fillId="7" borderId="9" xfId="1" applyNumberFormat="1" applyFont="1" applyFill="1" applyBorder="1" applyAlignment="1">
      <alignment vertical="center"/>
    </xf>
    <xf numFmtId="0" fontId="6" fillId="8" borderId="9" xfId="0" applyFont="1" applyFill="1" applyBorder="1" applyAlignment="1">
      <alignment vertical="center"/>
    </xf>
    <xf numFmtId="165" fontId="6" fillId="8" borderId="9" xfId="4" applyNumberFormat="1" applyFont="1" applyFill="1" applyBorder="1" applyAlignment="1">
      <alignment vertical="center"/>
    </xf>
    <xf numFmtId="166" fontId="6" fillId="8" borderId="9" xfId="3" applyNumberFormat="1" applyFont="1" applyFill="1" applyBorder="1" applyAlignment="1">
      <alignment vertical="center"/>
    </xf>
    <xf numFmtId="167" fontId="6" fillId="8" borderId="9" xfId="2" applyNumberFormat="1" applyFont="1" applyFill="1" applyBorder="1" applyAlignment="1">
      <alignment vertical="center"/>
    </xf>
    <xf numFmtId="9" fontId="6" fillId="8" borderId="9" xfId="3" applyFont="1" applyFill="1" applyBorder="1" applyAlignment="1">
      <alignment vertical="center"/>
    </xf>
    <xf numFmtId="168" fontId="6" fillId="8" borderId="9" xfId="1" applyNumberFormat="1" applyFont="1" applyFill="1" applyBorder="1" applyAlignment="1">
      <alignment vertical="center"/>
    </xf>
    <xf numFmtId="169" fontId="6" fillId="8" borderId="9" xfId="1" applyNumberFormat="1" applyFont="1" applyFill="1" applyBorder="1" applyAlignment="1">
      <alignment vertical="center"/>
    </xf>
    <xf numFmtId="165" fontId="9" fillId="8" borderId="9" xfId="4" applyNumberFormat="1" applyFont="1" applyFill="1" applyBorder="1" applyAlignment="1">
      <alignment vertical="center"/>
    </xf>
    <xf numFmtId="166" fontId="9" fillId="8" borderId="9" xfId="3" applyNumberFormat="1" applyFont="1" applyFill="1" applyBorder="1" applyAlignment="1">
      <alignment vertical="center"/>
    </xf>
    <xf numFmtId="167" fontId="9" fillId="8" borderId="9" xfId="2" applyNumberFormat="1" applyFont="1" applyFill="1" applyBorder="1" applyAlignment="1">
      <alignment vertical="center"/>
    </xf>
    <xf numFmtId="9" fontId="9" fillId="8" borderId="9" xfId="3" applyFont="1" applyFill="1" applyBorder="1" applyAlignment="1">
      <alignment vertical="center"/>
    </xf>
    <xf numFmtId="168" fontId="9" fillId="8" borderId="9" xfId="1" applyNumberFormat="1" applyFont="1" applyFill="1" applyBorder="1" applyAlignment="1">
      <alignment vertical="center"/>
    </xf>
    <xf numFmtId="169" fontId="9" fillId="8" borderId="9" xfId="1" applyNumberFormat="1" applyFont="1" applyFill="1" applyBorder="1" applyAlignment="1">
      <alignment vertical="center"/>
    </xf>
    <xf numFmtId="0" fontId="6" fillId="9" borderId="9" xfId="0" applyFont="1" applyFill="1" applyBorder="1" applyAlignment="1">
      <alignment vertical="center"/>
    </xf>
    <xf numFmtId="165" fontId="6" fillId="9" borderId="9" xfId="4" applyNumberFormat="1" applyFont="1" applyFill="1" applyBorder="1" applyAlignment="1">
      <alignment vertical="center"/>
    </xf>
    <xf numFmtId="166" fontId="6" fillId="9" borderId="9" xfId="3" applyNumberFormat="1" applyFont="1" applyFill="1" applyBorder="1" applyAlignment="1">
      <alignment vertical="center"/>
    </xf>
    <xf numFmtId="167" fontId="6" fillId="9" borderId="9" xfId="2" applyNumberFormat="1" applyFont="1" applyFill="1" applyBorder="1" applyAlignment="1">
      <alignment vertical="center"/>
    </xf>
    <xf numFmtId="168" fontId="6" fillId="9" borderId="9" xfId="1" applyNumberFormat="1" applyFont="1" applyFill="1" applyBorder="1" applyAlignment="1">
      <alignment vertical="center"/>
    </xf>
    <xf numFmtId="169" fontId="6" fillId="9" borderId="9" xfId="1" applyNumberFormat="1" applyFont="1" applyFill="1" applyBorder="1" applyAlignment="1">
      <alignment vertical="center"/>
    </xf>
    <xf numFmtId="9" fontId="6" fillId="9" borderId="9" xfId="3" applyFont="1" applyFill="1" applyBorder="1" applyAlignment="1">
      <alignment vertical="center"/>
    </xf>
    <xf numFmtId="165" fontId="6" fillId="9" borderId="9" xfId="0" applyNumberFormat="1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165" fontId="8" fillId="6" borderId="9" xfId="0" applyNumberFormat="1" applyFont="1" applyFill="1" applyBorder="1" applyAlignment="1">
      <alignment vertical="center"/>
    </xf>
    <xf numFmtId="0" fontId="8" fillId="9" borderId="9" xfId="0" applyFont="1" applyFill="1" applyBorder="1" applyAlignment="1">
      <alignment vertical="center"/>
    </xf>
    <xf numFmtId="165" fontId="9" fillId="9" borderId="9" xfId="0" applyNumberFormat="1" applyFont="1" applyFill="1" applyBorder="1" applyAlignment="1">
      <alignment vertical="center"/>
    </xf>
    <xf numFmtId="166" fontId="9" fillId="9" borderId="9" xfId="3" applyNumberFormat="1" applyFont="1" applyFill="1" applyBorder="1" applyAlignment="1">
      <alignment vertical="center"/>
    </xf>
    <xf numFmtId="167" fontId="9" fillId="9" borderId="9" xfId="2" applyNumberFormat="1" applyFont="1" applyFill="1" applyBorder="1" applyAlignment="1">
      <alignment vertical="center"/>
    </xf>
    <xf numFmtId="168" fontId="9" fillId="9" borderId="9" xfId="1" applyNumberFormat="1" applyFont="1" applyFill="1" applyBorder="1" applyAlignment="1">
      <alignment vertical="center"/>
    </xf>
    <xf numFmtId="169" fontId="9" fillId="9" borderId="9" xfId="1" applyNumberFormat="1" applyFont="1" applyFill="1" applyBorder="1" applyAlignment="1">
      <alignment vertical="center"/>
    </xf>
    <xf numFmtId="9" fontId="9" fillId="9" borderId="9" xfId="3" applyFont="1" applyFill="1" applyBorder="1" applyAlignment="1">
      <alignment vertical="center"/>
    </xf>
    <xf numFmtId="0" fontId="6" fillId="10" borderId="9" xfId="0" applyFont="1" applyFill="1" applyBorder="1" applyAlignment="1">
      <alignment vertical="center"/>
    </xf>
    <xf numFmtId="165" fontId="6" fillId="10" borderId="9" xfId="4" applyNumberFormat="1" applyFont="1" applyFill="1" applyBorder="1" applyAlignment="1">
      <alignment vertical="center"/>
    </xf>
    <xf numFmtId="166" fontId="6" fillId="10" borderId="9" xfId="3" applyNumberFormat="1" applyFont="1" applyFill="1" applyBorder="1" applyAlignment="1">
      <alignment vertical="center"/>
    </xf>
    <xf numFmtId="167" fontId="6" fillId="10" borderId="9" xfId="2" applyNumberFormat="1" applyFont="1" applyFill="1" applyBorder="1" applyAlignment="1">
      <alignment vertical="center"/>
    </xf>
    <xf numFmtId="168" fontId="6" fillId="10" borderId="9" xfId="1" applyNumberFormat="1" applyFont="1" applyFill="1" applyBorder="1" applyAlignment="1">
      <alignment vertical="center"/>
    </xf>
    <xf numFmtId="169" fontId="6" fillId="10" borderId="9" xfId="1" applyNumberFormat="1" applyFont="1" applyFill="1" applyBorder="1" applyAlignment="1">
      <alignment vertical="center"/>
    </xf>
    <xf numFmtId="9" fontId="6" fillId="10" borderId="9" xfId="3" applyFont="1" applyFill="1" applyBorder="1" applyAlignment="1">
      <alignment vertical="center"/>
    </xf>
    <xf numFmtId="0" fontId="8" fillId="10" borderId="9" xfId="0" applyFont="1" applyFill="1" applyBorder="1" applyAlignment="1">
      <alignment vertical="center"/>
    </xf>
    <xf numFmtId="165" fontId="9" fillId="10" borderId="9" xfId="4" applyNumberFormat="1" applyFont="1" applyFill="1" applyBorder="1" applyAlignment="1">
      <alignment vertical="center"/>
    </xf>
    <xf numFmtId="166" fontId="9" fillId="10" borderId="9" xfId="3" applyNumberFormat="1" applyFont="1" applyFill="1" applyBorder="1" applyAlignment="1">
      <alignment vertical="center"/>
    </xf>
    <xf numFmtId="167" fontId="9" fillId="10" borderId="9" xfId="2" applyNumberFormat="1" applyFont="1" applyFill="1" applyBorder="1" applyAlignment="1">
      <alignment vertical="center"/>
    </xf>
    <xf numFmtId="168" fontId="9" fillId="10" borderId="9" xfId="1" applyNumberFormat="1" applyFont="1" applyFill="1" applyBorder="1" applyAlignment="1">
      <alignment vertical="center"/>
    </xf>
    <xf numFmtId="169" fontId="9" fillId="10" borderId="9" xfId="1" applyNumberFormat="1" applyFont="1" applyFill="1" applyBorder="1" applyAlignment="1">
      <alignment vertical="center"/>
    </xf>
    <xf numFmtId="9" fontId="9" fillId="10" borderId="9" xfId="3" applyFont="1" applyFill="1" applyBorder="1" applyAlignment="1">
      <alignment vertical="center"/>
    </xf>
    <xf numFmtId="169" fontId="9" fillId="11" borderId="9" xfId="1" applyNumberFormat="1" applyFont="1" applyFill="1" applyBorder="1" applyAlignment="1">
      <alignment vertical="center"/>
    </xf>
    <xf numFmtId="0" fontId="6" fillId="11" borderId="9" xfId="0" applyFont="1" applyFill="1" applyBorder="1" applyAlignment="1">
      <alignment vertical="center"/>
    </xf>
    <xf numFmtId="165" fontId="6" fillId="11" borderId="9" xfId="4" applyNumberFormat="1" applyFont="1" applyFill="1" applyBorder="1" applyAlignment="1">
      <alignment vertical="center"/>
    </xf>
    <xf numFmtId="166" fontId="6" fillId="11" borderId="9" xfId="3" applyNumberFormat="1" applyFont="1" applyFill="1" applyBorder="1" applyAlignment="1">
      <alignment vertical="center"/>
    </xf>
    <xf numFmtId="167" fontId="6" fillId="11" borderId="9" xfId="2" applyNumberFormat="1" applyFont="1" applyFill="1" applyBorder="1" applyAlignment="1">
      <alignment vertical="center"/>
    </xf>
    <xf numFmtId="9" fontId="6" fillId="11" borderId="9" xfId="3" applyFont="1" applyFill="1" applyBorder="1" applyAlignment="1">
      <alignment vertical="center"/>
    </xf>
    <xf numFmtId="168" fontId="6" fillId="11" borderId="9" xfId="1" applyNumberFormat="1" applyFont="1" applyFill="1" applyBorder="1" applyAlignment="1">
      <alignment vertical="center"/>
    </xf>
    <xf numFmtId="169" fontId="6" fillId="11" borderId="9" xfId="1" applyNumberFormat="1" applyFont="1" applyFill="1" applyBorder="1" applyAlignment="1">
      <alignment vertical="center"/>
    </xf>
    <xf numFmtId="0" fontId="8" fillId="11" borderId="9" xfId="0" applyFont="1" applyFill="1" applyBorder="1" applyAlignment="1">
      <alignment vertical="center"/>
    </xf>
    <xf numFmtId="165" fontId="9" fillId="11" borderId="9" xfId="4" applyNumberFormat="1" applyFont="1" applyFill="1" applyBorder="1" applyAlignment="1">
      <alignment vertical="center"/>
    </xf>
    <xf numFmtId="166" fontId="9" fillId="11" borderId="9" xfId="3" applyNumberFormat="1" applyFont="1" applyFill="1" applyBorder="1" applyAlignment="1">
      <alignment vertical="center"/>
    </xf>
    <xf numFmtId="167" fontId="9" fillId="11" borderId="9" xfId="2" applyNumberFormat="1" applyFont="1" applyFill="1" applyBorder="1" applyAlignment="1">
      <alignment vertical="center"/>
    </xf>
    <xf numFmtId="9" fontId="9" fillId="11" borderId="9" xfId="3" applyFont="1" applyFill="1" applyBorder="1" applyAlignment="1">
      <alignment vertical="center"/>
    </xf>
    <xf numFmtId="168" fontId="9" fillId="11" borderId="9" xfId="1" applyNumberFormat="1" applyFont="1" applyFill="1" applyBorder="1" applyAlignment="1">
      <alignment vertical="center"/>
    </xf>
    <xf numFmtId="0" fontId="6" fillId="12" borderId="9" xfId="0" applyFont="1" applyFill="1" applyBorder="1" applyAlignment="1">
      <alignment vertical="center"/>
    </xf>
    <xf numFmtId="165" fontId="6" fillId="12" borderId="9" xfId="4" applyNumberFormat="1" applyFont="1" applyFill="1" applyBorder="1" applyAlignment="1">
      <alignment vertical="center"/>
    </xf>
    <xf numFmtId="166" fontId="6" fillId="12" borderId="9" xfId="3" applyNumberFormat="1" applyFont="1" applyFill="1" applyBorder="1" applyAlignment="1">
      <alignment vertical="center"/>
    </xf>
    <xf numFmtId="167" fontId="6" fillId="12" borderId="9" xfId="2" applyNumberFormat="1" applyFont="1" applyFill="1" applyBorder="1" applyAlignment="1">
      <alignment vertical="center"/>
    </xf>
    <xf numFmtId="9" fontId="6" fillId="12" borderId="9" xfId="3" applyFont="1" applyFill="1" applyBorder="1" applyAlignment="1">
      <alignment vertical="center"/>
    </xf>
    <xf numFmtId="168" fontId="6" fillId="12" borderId="9" xfId="1" applyNumberFormat="1" applyFont="1" applyFill="1" applyBorder="1" applyAlignment="1">
      <alignment vertical="center"/>
    </xf>
    <xf numFmtId="169" fontId="6" fillId="12" borderId="9" xfId="1" applyNumberFormat="1" applyFont="1" applyFill="1" applyBorder="1" applyAlignment="1">
      <alignment vertical="center"/>
    </xf>
    <xf numFmtId="0" fontId="8" fillId="12" borderId="9" xfId="0" applyFont="1" applyFill="1" applyBorder="1" applyAlignment="1">
      <alignment vertical="center"/>
    </xf>
    <xf numFmtId="165" fontId="9" fillId="12" borderId="9" xfId="4" applyNumberFormat="1" applyFont="1" applyFill="1" applyBorder="1" applyAlignment="1">
      <alignment vertical="center"/>
    </xf>
    <xf numFmtId="166" fontId="9" fillId="12" borderId="9" xfId="3" applyNumberFormat="1" applyFont="1" applyFill="1" applyBorder="1" applyAlignment="1">
      <alignment vertical="center"/>
    </xf>
    <xf numFmtId="167" fontId="9" fillId="12" borderId="9" xfId="2" applyNumberFormat="1" applyFont="1" applyFill="1" applyBorder="1" applyAlignment="1">
      <alignment vertical="center"/>
    </xf>
    <xf numFmtId="9" fontId="9" fillId="12" borderId="9" xfId="3" applyFont="1" applyFill="1" applyBorder="1" applyAlignment="1">
      <alignment vertical="center"/>
    </xf>
    <xf numFmtId="168" fontId="9" fillId="12" borderId="9" xfId="1" applyNumberFormat="1" applyFont="1" applyFill="1" applyBorder="1" applyAlignment="1">
      <alignment vertical="center"/>
    </xf>
    <xf numFmtId="169" fontId="9" fillId="12" borderId="9" xfId="1" applyNumberFormat="1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0" fillId="2" borderId="0" xfId="0" applyFill="1"/>
    <xf numFmtId="169" fontId="0" fillId="2" borderId="0" xfId="1" applyNumberFormat="1" applyFont="1" applyFill="1"/>
    <xf numFmtId="0" fontId="2" fillId="2" borderId="0" xfId="0" applyFont="1" applyFill="1"/>
    <xf numFmtId="165" fontId="9" fillId="2" borderId="16" xfId="4" applyNumberFormat="1" applyFont="1" applyFill="1" applyBorder="1" applyAlignment="1">
      <alignment horizontal="right" vertical="center"/>
    </xf>
    <xf numFmtId="9" fontId="9" fillId="2" borderId="16" xfId="3" applyFont="1" applyFill="1" applyBorder="1" applyAlignment="1">
      <alignment horizontal="right" vertical="center"/>
    </xf>
    <xf numFmtId="167" fontId="9" fillId="2" borderId="16" xfId="2" applyNumberFormat="1" applyFont="1" applyFill="1" applyBorder="1" applyAlignment="1">
      <alignment horizontal="right" vertical="center"/>
    </xf>
    <xf numFmtId="170" fontId="9" fillId="2" borderId="16" xfId="2" applyNumberFormat="1" applyFont="1" applyFill="1" applyBorder="1" applyAlignment="1">
      <alignment horizontal="right" vertical="center"/>
    </xf>
    <xf numFmtId="0" fontId="10" fillId="2" borderId="0" xfId="0" applyFont="1" applyFill="1"/>
    <xf numFmtId="169" fontId="10" fillId="2" borderId="0" xfId="1" applyNumberFormat="1" applyFont="1" applyFill="1"/>
    <xf numFmtId="9" fontId="2" fillId="0" borderId="0" xfId="3" applyFont="1" applyAlignment="1">
      <alignment vertical="center"/>
    </xf>
    <xf numFmtId="167" fontId="10" fillId="2" borderId="0" xfId="2" applyNumberFormat="1" applyFont="1" applyFill="1"/>
    <xf numFmtId="0" fontId="10" fillId="2" borderId="0" xfId="0" applyFont="1" applyFill="1" applyAlignment="1">
      <alignment wrapText="1"/>
    </xf>
    <xf numFmtId="167" fontId="10" fillId="2" borderId="0" xfId="0" applyNumberFormat="1" applyFont="1" applyFill="1"/>
    <xf numFmtId="170" fontId="10" fillId="2" borderId="0" xfId="0" applyNumberFormat="1" applyFont="1" applyFill="1"/>
    <xf numFmtId="0" fontId="12" fillId="2" borderId="0" xfId="0" applyFont="1" applyFill="1" applyAlignment="1">
      <alignment horizontal="center"/>
    </xf>
    <xf numFmtId="167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69" fontId="0" fillId="0" borderId="0" xfId="0" applyNumberFormat="1"/>
    <xf numFmtId="169" fontId="13" fillId="0" borderId="0" xfId="1" applyNumberFormat="1" applyFont="1" applyAlignment="1">
      <alignment wrapText="1"/>
    </xf>
    <xf numFmtId="167" fontId="14" fillId="5" borderId="7" xfId="2" applyNumberFormat="1" applyFont="1" applyFill="1" applyBorder="1" applyAlignment="1">
      <alignment vertical="center"/>
    </xf>
    <xf numFmtId="9" fontId="14" fillId="5" borderId="7" xfId="3" applyFont="1" applyFill="1" applyBorder="1" applyAlignment="1">
      <alignment vertical="center"/>
    </xf>
    <xf numFmtId="169" fontId="14" fillId="5" borderId="7" xfId="1" applyNumberFormat="1" applyFont="1" applyFill="1" applyBorder="1" applyAlignment="1">
      <alignment vertical="center"/>
    </xf>
    <xf numFmtId="9" fontId="0" fillId="0" borderId="0" xfId="3" applyFont="1"/>
    <xf numFmtId="167" fontId="14" fillId="5" borderId="9" xfId="2" applyNumberFormat="1" applyFont="1" applyFill="1" applyBorder="1" applyAlignment="1">
      <alignment vertical="center"/>
    </xf>
    <xf numFmtId="9" fontId="14" fillId="5" borderId="9" xfId="3" applyFont="1" applyFill="1" applyBorder="1" applyAlignment="1">
      <alignment vertical="center"/>
    </xf>
    <xf numFmtId="169" fontId="14" fillId="5" borderId="9" xfId="1" applyNumberFormat="1" applyFont="1" applyFill="1" applyBorder="1" applyAlignment="1">
      <alignment vertical="center"/>
    </xf>
    <xf numFmtId="167" fontId="15" fillId="6" borderId="9" xfId="2" applyNumberFormat="1" applyFont="1" applyFill="1" applyBorder="1" applyAlignment="1">
      <alignment vertical="center"/>
    </xf>
    <xf numFmtId="9" fontId="15" fillId="6" borderId="9" xfId="3" applyFont="1" applyFill="1" applyBorder="1" applyAlignment="1">
      <alignment vertical="center"/>
    </xf>
    <xf numFmtId="169" fontId="15" fillId="6" borderId="9" xfId="1" applyNumberFormat="1" applyFont="1" applyFill="1" applyBorder="1" applyAlignment="1">
      <alignment vertical="center"/>
    </xf>
    <xf numFmtId="169" fontId="16" fillId="7" borderId="9" xfId="1" applyNumberFormat="1" applyFont="1" applyFill="1" applyBorder="1" applyAlignment="1">
      <alignment vertical="center"/>
    </xf>
    <xf numFmtId="167" fontId="16" fillId="7" borderId="9" xfId="2" applyNumberFormat="1" applyFont="1" applyFill="1" applyBorder="1" applyAlignment="1">
      <alignment vertical="center"/>
    </xf>
    <xf numFmtId="9" fontId="16" fillId="7" borderId="9" xfId="3" applyFont="1" applyFill="1" applyBorder="1" applyAlignment="1">
      <alignment vertical="center"/>
    </xf>
    <xf numFmtId="9" fontId="17" fillId="0" borderId="0" xfId="3" applyFont="1"/>
    <xf numFmtId="167" fontId="14" fillId="8" borderId="9" xfId="2" applyNumberFormat="1" applyFont="1" applyFill="1" applyBorder="1" applyAlignment="1">
      <alignment vertical="center"/>
    </xf>
    <xf numFmtId="9" fontId="14" fillId="8" borderId="9" xfId="3" applyFont="1" applyFill="1" applyBorder="1" applyAlignment="1">
      <alignment vertical="center"/>
    </xf>
    <xf numFmtId="169" fontId="14" fillId="8" borderId="9" xfId="1" applyNumberFormat="1" applyFont="1" applyFill="1" applyBorder="1" applyAlignment="1">
      <alignment vertical="center"/>
    </xf>
    <xf numFmtId="169" fontId="16" fillId="8" borderId="9" xfId="1" applyNumberFormat="1" applyFont="1" applyFill="1" applyBorder="1" applyAlignment="1">
      <alignment vertical="center"/>
    </xf>
    <xf numFmtId="167" fontId="16" fillId="8" borderId="9" xfId="2" applyNumberFormat="1" applyFont="1" applyFill="1" applyBorder="1" applyAlignment="1">
      <alignment vertical="center"/>
    </xf>
    <xf numFmtId="9" fontId="16" fillId="8" borderId="9" xfId="3" applyFont="1" applyFill="1" applyBorder="1" applyAlignment="1">
      <alignment vertical="center"/>
    </xf>
    <xf numFmtId="167" fontId="14" fillId="9" borderId="9" xfId="2" applyNumberFormat="1" applyFont="1" applyFill="1" applyBorder="1" applyAlignment="1">
      <alignment vertical="center"/>
    </xf>
    <xf numFmtId="9" fontId="14" fillId="9" borderId="9" xfId="3" applyFont="1" applyFill="1" applyBorder="1" applyAlignment="1">
      <alignment vertical="center"/>
    </xf>
    <xf numFmtId="169" fontId="14" fillId="9" borderId="9" xfId="1" applyNumberFormat="1" applyFont="1" applyFill="1" applyBorder="1" applyAlignment="1">
      <alignment vertical="center"/>
    </xf>
    <xf numFmtId="169" fontId="16" fillId="9" borderId="9" xfId="1" applyNumberFormat="1" applyFont="1" applyFill="1" applyBorder="1" applyAlignment="1">
      <alignment vertical="center"/>
    </xf>
    <xf numFmtId="167" fontId="16" fillId="9" borderId="9" xfId="2" applyNumberFormat="1" applyFont="1" applyFill="1" applyBorder="1" applyAlignment="1">
      <alignment vertical="center"/>
    </xf>
    <xf numFmtId="9" fontId="16" fillId="9" borderId="9" xfId="3" applyFont="1" applyFill="1" applyBorder="1" applyAlignment="1">
      <alignment vertical="center"/>
    </xf>
    <xf numFmtId="164" fontId="0" fillId="0" borderId="0" xfId="0" applyNumberFormat="1"/>
    <xf numFmtId="167" fontId="14" fillId="10" borderId="9" xfId="2" applyNumberFormat="1" applyFont="1" applyFill="1" applyBorder="1" applyAlignment="1">
      <alignment vertical="center"/>
    </xf>
    <xf numFmtId="9" fontId="14" fillId="10" borderId="9" xfId="3" applyFont="1" applyFill="1" applyBorder="1" applyAlignment="1">
      <alignment vertical="center"/>
    </xf>
    <xf numFmtId="169" fontId="14" fillId="10" borderId="9" xfId="1" applyNumberFormat="1" applyFont="1" applyFill="1" applyBorder="1" applyAlignment="1">
      <alignment vertical="center"/>
    </xf>
    <xf numFmtId="169" fontId="16" fillId="10" borderId="9" xfId="1" applyNumberFormat="1" applyFont="1" applyFill="1" applyBorder="1" applyAlignment="1">
      <alignment vertical="center"/>
    </xf>
    <xf numFmtId="167" fontId="16" fillId="10" borderId="9" xfId="2" applyNumberFormat="1" applyFont="1" applyFill="1" applyBorder="1" applyAlignment="1">
      <alignment vertical="center"/>
    </xf>
    <xf numFmtId="9" fontId="16" fillId="10" borderId="9" xfId="3" applyFont="1" applyFill="1" applyBorder="1" applyAlignment="1">
      <alignment vertical="center"/>
    </xf>
    <xf numFmtId="169" fontId="16" fillId="11" borderId="9" xfId="1" applyNumberFormat="1" applyFont="1" applyFill="1" applyBorder="1" applyAlignment="1">
      <alignment vertical="center"/>
    </xf>
    <xf numFmtId="167" fontId="14" fillId="11" borderId="9" xfId="2" applyNumberFormat="1" applyFont="1" applyFill="1" applyBorder="1" applyAlignment="1">
      <alignment vertical="center"/>
    </xf>
    <xf numFmtId="9" fontId="14" fillId="11" borderId="9" xfId="3" applyFont="1" applyFill="1" applyBorder="1" applyAlignment="1">
      <alignment vertical="center"/>
    </xf>
    <xf numFmtId="169" fontId="14" fillId="11" borderId="9" xfId="1" applyNumberFormat="1" applyFont="1" applyFill="1" applyBorder="1" applyAlignment="1">
      <alignment vertical="center"/>
    </xf>
    <xf numFmtId="167" fontId="16" fillId="11" borderId="9" xfId="2" applyNumberFormat="1" applyFont="1" applyFill="1" applyBorder="1" applyAlignment="1">
      <alignment vertical="center"/>
    </xf>
    <xf numFmtId="9" fontId="16" fillId="11" borderId="9" xfId="3" applyFont="1" applyFill="1" applyBorder="1" applyAlignment="1">
      <alignment vertical="center"/>
    </xf>
    <xf numFmtId="167" fontId="14" fillId="12" borderId="9" xfId="2" applyNumberFormat="1" applyFont="1" applyFill="1" applyBorder="1" applyAlignment="1">
      <alignment vertical="center"/>
    </xf>
    <xf numFmtId="9" fontId="14" fillId="12" borderId="9" xfId="3" applyFont="1" applyFill="1" applyBorder="1" applyAlignment="1">
      <alignment vertical="center"/>
    </xf>
    <xf numFmtId="169" fontId="14" fillId="12" borderId="9" xfId="1" applyNumberFormat="1" applyFont="1" applyFill="1" applyBorder="1" applyAlignment="1">
      <alignment vertical="center"/>
    </xf>
    <xf numFmtId="169" fontId="16" fillId="12" borderId="9" xfId="1" applyNumberFormat="1" applyFont="1" applyFill="1" applyBorder="1" applyAlignment="1">
      <alignment vertical="center"/>
    </xf>
    <xf numFmtId="167" fontId="16" fillId="12" borderId="9" xfId="2" applyNumberFormat="1" applyFont="1" applyFill="1" applyBorder="1" applyAlignment="1">
      <alignment vertical="center"/>
    </xf>
    <xf numFmtId="9" fontId="16" fillId="12" borderId="9" xfId="3" applyFont="1" applyFill="1" applyBorder="1" applyAlignment="1">
      <alignment vertical="center"/>
    </xf>
    <xf numFmtId="167" fontId="16" fillId="2" borderId="16" xfId="2" applyNumberFormat="1" applyFont="1" applyFill="1" applyBorder="1" applyAlignment="1">
      <alignment horizontal="right" vertical="center"/>
    </xf>
    <xf numFmtId="9" fontId="16" fillId="2" borderId="16" xfId="3" applyFont="1" applyFill="1" applyBorder="1" applyAlignment="1">
      <alignment horizontal="right" vertical="center"/>
    </xf>
    <xf numFmtId="165" fontId="16" fillId="2" borderId="16" xfId="4" applyNumberFormat="1" applyFont="1" applyFill="1" applyBorder="1" applyAlignment="1">
      <alignment horizontal="right" vertical="center"/>
    </xf>
    <xf numFmtId="0" fontId="10" fillId="0" borderId="0" xfId="0" applyFont="1"/>
    <xf numFmtId="165" fontId="11" fillId="2" borderId="16" xfId="4" applyNumberFormat="1" applyFont="1" applyFill="1" applyBorder="1" applyAlignment="1">
      <alignment horizontal="right" vertical="center"/>
    </xf>
    <xf numFmtId="167" fontId="11" fillId="2" borderId="16" xfId="2" applyNumberFormat="1" applyFont="1" applyFill="1" applyBorder="1" applyAlignment="1">
      <alignment horizontal="right" vertical="center"/>
    </xf>
    <xf numFmtId="9" fontId="11" fillId="2" borderId="16" xfId="3" applyFont="1" applyFill="1" applyBorder="1" applyAlignment="1">
      <alignment horizontal="right" vertical="center"/>
    </xf>
    <xf numFmtId="170" fontId="11" fillId="2" borderId="16" xfId="2" applyNumberFormat="1" applyFont="1" applyFill="1" applyBorder="1" applyAlignment="1">
      <alignment horizontal="right" vertical="center"/>
    </xf>
    <xf numFmtId="0" fontId="0" fillId="0" borderId="9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167" fontId="0" fillId="0" borderId="9" xfId="0" applyNumberForma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68" fontId="0" fillId="0" borderId="9" xfId="1" applyNumberFormat="1" applyFont="1" applyBorder="1" applyAlignment="1">
      <alignment vertical="center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wrapText="1"/>
    </xf>
    <xf numFmtId="165" fontId="0" fillId="0" borderId="9" xfId="0" applyNumberFormat="1" applyBorder="1"/>
    <xf numFmtId="9" fontId="0" fillId="0" borderId="9" xfId="3" applyFont="1" applyBorder="1"/>
    <xf numFmtId="0" fontId="2" fillId="0" borderId="9" xfId="0" applyFont="1" applyBorder="1" applyAlignment="1">
      <alignment wrapText="1"/>
    </xf>
    <xf numFmtId="165" fontId="2" fillId="0" borderId="9" xfId="0" applyNumberFormat="1" applyFont="1" applyBorder="1"/>
    <xf numFmtId="9" fontId="2" fillId="0" borderId="9" xfId="3" applyFont="1" applyBorder="1"/>
    <xf numFmtId="0" fontId="8" fillId="4" borderId="9" xfId="0" applyFont="1" applyFill="1" applyBorder="1" applyAlignment="1">
      <alignment vertical="center"/>
    </xf>
    <xf numFmtId="165" fontId="9" fillId="4" borderId="9" xfId="4" applyNumberFormat="1" applyFont="1" applyFill="1" applyBorder="1" applyAlignment="1">
      <alignment vertical="center"/>
    </xf>
    <xf numFmtId="166" fontId="9" fillId="4" borderId="9" xfId="3" applyNumberFormat="1" applyFont="1" applyFill="1" applyBorder="1" applyAlignment="1">
      <alignment vertical="center"/>
    </xf>
    <xf numFmtId="167" fontId="9" fillId="4" borderId="9" xfId="2" applyNumberFormat="1" applyFont="1" applyFill="1" applyBorder="1" applyAlignment="1">
      <alignment vertical="center"/>
    </xf>
    <xf numFmtId="169" fontId="9" fillId="4" borderId="9" xfId="1" applyNumberFormat="1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165" fontId="6" fillId="4" borderId="9" xfId="4" applyNumberFormat="1" applyFont="1" applyFill="1" applyBorder="1" applyAlignment="1">
      <alignment vertical="center"/>
    </xf>
    <xf numFmtId="166" fontId="6" fillId="4" borderId="9" xfId="3" applyNumberFormat="1" applyFont="1" applyFill="1" applyBorder="1" applyAlignment="1">
      <alignment vertical="center"/>
    </xf>
    <xf numFmtId="167" fontId="6" fillId="4" borderId="9" xfId="2" applyNumberFormat="1" applyFont="1" applyFill="1" applyBorder="1" applyAlignment="1">
      <alignment vertical="center"/>
    </xf>
    <xf numFmtId="169" fontId="6" fillId="4" borderId="9" xfId="1" applyNumberFormat="1" applyFont="1" applyFill="1" applyBorder="1" applyAlignment="1">
      <alignment vertical="center"/>
    </xf>
    <xf numFmtId="0" fontId="2" fillId="13" borderId="9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left" indent="1"/>
    </xf>
    <xf numFmtId="169" fontId="0" fillId="7" borderId="9" xfId="0" applyNumberFormat="1" applyFill="1" applyBorder="1"/>
    <xf numFmtId="167" fontId="0" fillId="7" borderId="9" xfId="2" applyNumberFormat="1" applyFont="1" applyFill="1" applyBorder="1"/>
    <xf numFmtId="169" fontId="0" fillId="7" borderId="9" xfId="1" applyNumberFormat="1" applyFont="1" applyFill="1" applyBorder="1"/>
    <xf numFmtId="168" fontId="0" fillId="7" borderId="9" xfId="0" applyNumberFormat="1" applyFill="1" applyBorder="1" applyAlignment="1">
      <alignment horizontal="center"/>
    </xf>
    <xf numFmtId="0" fontId="0" fillId="14" borderId="9" xfId="0" applyFill="1" applyBorder="1" applyAlignment="1">
      <alignment horizontal="left" indent="1"/>
    </xf>
    <xf numFmtId="169" fontId="0" fillId="14" borderId="9" xfId="0" applyNumberFormat="1" applyFill="1" applyBorder="1"/>
    <xf numFmtId="167" fontId="0" fillId="14" borderId="9" xfId="2" applyNumberFormat="1" applyFont="1" applyFill="1" applyBorder="1"/>
    <xf numFmtId="169" fontId="0" fillId="14" borderId="9" xfId="1" applyNumberFormat="1" applyFont="1" applyFill="1" applyBorder="1"/>
    <xf numFmtId="168" fontId="0" fillId="14" borderId="9" xfId="0" applyNumberFormat="1" applyFill="1" applyBorder="1" applyAlignment="1">
      <alignment horizontal="center"/>
    </xf>
    <xf numFmtId="0" fontId="0" fillId="15" borderId="9" xfId="0" applyFill="1" applyBorder="1" applyAlignment="1">
      <alignment horizontal="left" indent="1"/>
    </xf>
    <xf numFmtId="169" fontId="0" fillId="15" borderId="9" xfId="0" applyNumberFormat="1" applyFill="1" applyBorder="1"/>
    <xf numFmtId="167" fontId="0" fillId="15" borderId="9" xfId="2" applyNumberFormat="1" applyFont="1" applyFill="1" applyBorder="1"/>
    <xf numFmtId="169" fontId="0" fillId="15" borderId="9" xfId="1" applyNumberFormat="1" applyFont="1" applyFill="1" applyBorder="1"/>
    <xf numFmtId="168" fontId="0" fillId="15" borderId="9" xfId="0" applyNumberFormat="1" applyFill="1" applyBorder="1" applyAlignment="1">
      <alignment horizontal="center"/>
    </xf>
    <xf numFmtId="0" fontId="0" fillId="12" borderId="9" xfId="0" applyFill="1" applyBorder="1" applyAlignment="1">
      <alignment horizontal="left" indent="1"/>
    </xf>
    <xf numFmtId="169" fontId="0" fillId="12" borderId="9" xfId="0" applyNumberFormat="1" applyFill="1" applyBorder="1"/>
    <xf numFmtId="167" fontId="0" fillId="12" borderId="9" xfId="2" applyNumberFormat="1" applyFont="1" applyFill="1" applyBorder="1"/>
    <xf numFmtId="169" fontId="0" fillId="12" borderId="9" xfId="1" applyNumberFormat="1" applyFont="1" applyFill="1" applyBorder="1"/>
    <xf numFmtId="168" fontId="0" fillId="12" borderId="9" xfId="0" applyNumberFormat="1" applyFill="1" applyBorder="1" applyAlignment="1">
      <alignment horizontal="center"/>
    </xf>
    <xf numFmtId="0" fontId="2" fillId="13" borderId="9" xfId="0" applyFont="1" applyFill="1" applyBorder="1" applyAlignment="1">
      <alignment horizontal="left"/>
    </xf>
    <xf numFmtId="169" fontId="2" fillId="13" borderId="9" xfId="0" applyNumberFormat="1" applyFont="1" applyFill="1" applyBorder="1"/>
    <xf numFmtId="167" fontId="2" fillId="13" borderId="9" xfId="2" applyNumberFormat="1" applyFont="1" applyFill="1" applyBorder="1"/>
    <xf numFmtId="169" fontId="2" fillId="13" borderId="9" xfId="1" applyNumberFormat="1" applyFont="1" applyFill="1" applyBorder="1"/>
    <xf numFmtId="168" fontId="2" fillId="13" borderId="9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9" fontId="2" fillId="13" borderId="9" xfId="1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/>
    </xf>
    <xf numFmtId="169" fontId="2" fillId="2" borderId="9" xfId="0" applyNumberFormat="1" applyFont="1" applyFill="1" applyBorder="1"/>
    <xf numFmtId="167" fontId="2" fillId="2" borderId="9" xfId="2" applyNumberFormat="1" applyFont="1" applyFill="1" applyBorder="1"/>
    <xf numFmtId="169" fontId="2" fillId="2" borderId="9" xfId="1" applyNumberFormat="1" applyFont="1" applyFill="1" applyBorder="1"/>
    <xf numFmtId="168" fontId="2" fillId="2" borderId="9" xfId="0" applyNumberFormat="1" applyFont="1" applyFill="1" applyBorder="1" applyAlignment="1">
      <alignment horizontal="center"/>
    </xf>
    <xf numFmtId="167" fontId="19" fillId="7" borderId="9" xfId="2" applyNumberFormat="1" applyFont="1" applyFill="1" applyBorder="1" applyAlignment="1">
      <alignment vertical="center"/>
    </xf>
    <xf numFmtId="9" fontId="19" fillId="7" borderId="9" xfId="3" applyFont="1" applyFill="1" applyBorder="1" applyAlignment="1">
      <alignment vertical="center"/>
    </xf>
    <xf numFmtId="168" fontId="19" fillId="7" borderId="9" xfId="1" applyNumberFormat="1" applyFont="1" applyFill="1" applyBorder="1" applyAlignment="1">
      <alignment vertical="center"/>
    </xf>
    <xf numFmtId="165" fontId="19" fillId="7" borderId="9" xfId="4" applyNumberFormat="1" applyFont="1" applyFill="1" applyBorder="1" applyAlignment="1">
      <alignment vertical="center"/>
    </xf>
    <xf numFmtId="169" fontId="19" fillId="7" borderId="9" xfId="1" applyNumberFormat="1" applyFont="1" applyFill="1" applyBorder="1" applyAlignment="1">
      <alignment vertical="center"/>
    </xf>
    <xf numFmtId="167" fontId="20" fillId="8" borderId="9" xfId="2" applyNumberFormat="1" applyFont="1" applyFill="1" applyBorder="1" applyAlignment="1">
      <alignment vertical="center"/>
    </xf>
    <xf numFmtId="9" fontId="20" fillId="8" borderId="9" xfId="3" applyFont="1" applyFill="1" applyBorder="1" applyAlignment="1">
      <alignment vertical="center"/>
    </xf>
    <xf numFmtId="168" fontId="20" fillId="8" borderId="9" xfId="1" applyNumberFormat="1" applyFont="1" applyFill="1" applyBorder="1" applyAlignment="1">
      <alignment vertical="center"/>
    </xf>
    <xf numFmtId="165" fontId="20" fillId="8" borderId="9" xfId="4" applyNumberFormat="1" applyFont="1" applyFill="1" applyBorder="1" applyAlignment="1">
      <alignment vertical="center"/>
    </xf>
    <xf numFmtId="169" fontId="20" fillId="8" borderId="9" xfId="1" applyNumberFormat="1" applyFont="1" applyFill="1" applyBorder="1" applyAlignment="1">
      <alignment vertical="center"/>
    </xf>
    <xf numFmtId="167" fontId="19" fillId="8" borderId="9" xfId="2" applyNumberFormat="1" applyFont="1" applyFill="1" applyBorder="1" applyAlignment="1">
      <alignment vertical="center"/>
    </xf>
    <xf numFmtId="9" fontId="19" fillId="8" borderId="9" xfId="3" applyFont="1" applyFill="1" applyBorder="1" applyAlignment="1">
      <alignment vertical="center"/>
    </xf>
    <xf numFmtId="168" fontId="19" fillId="8" borderId="9" xfId="1" applyNumberFormat="1" applyFont="1" applyFill="1" applyBorder="1" applyAlignment="1">
      <alignment vertical="center"/>
    </xf>
    <xf numFmtId="165" fontId="19" fillId="8" borderId="9" xfId="4" applyNumberFormat="1" applyFont="1" applyFill="1" applyBorder="1" applyAlignment="1">
      <alignment vertical="center"/>
    </xf>
    <xf numFmtId="169" fontId="19" fillId="8" borderId="9" xfId="1" applyNumberFormat="1" applyFont="1" applyFill="1" applyBorder="1" applyAlignment="1">
      <alignment vertical="center"/>
    </xf>
    <xf numFmtId="167" fontId="20" fillId="9" borderId="9" xfId="2" applyNumberFormat="1" applyFont="1" applyFill="1" applyBorder="1" applyAlignment="1">
      <alignment vertical="center"/>
    </xf>
    <xf numFmtId="166" fontId="20" fillId="9" borderId="9" xfId="3" applyNumberFormat="1" applyFont="1" applyFill="1" applyBorder="1" applyAlignment="1">
      <alignment vertical="center"/>
    </xf>
    <xf numFmtId="168" fontId="20" fillId="9" borderId="9" xfId="1" applyNumberFormat="1" applyFont="1" applyFill="1" applyBorder="1" applyAlignment="1">
      <alignment vertical="center"/>
    </xf>
    <xf numFmtId="165" fontId="20" fillId="9" borderId="9" xfId="4" applyNumberFormat="1" applyFont="1" applyFill="1" applyBorder="1" applyAlignment="1">
      <alignment vertical="center"/>
    </xf>
    <xf numFmtId="169" fontId="20" fillId="9" borderId="9" xfId="1" applyNumberFormat="1" applyFont="1" applyFill="1" applyBorder="1" applyAlignment="1">
      <alignment vertical="center"/>
    </xf>
    <xf numFmtId="9" fontId="20" fillId="9" borderId="9" xfId="3" applyFont="1" applyFill="1" applyBorder="1" applyAlignment="1">
      <alignment vertical="center"/>
    </xf>
    <xf numFmtId="165" fontId="20" fillId="9" borderId="9" xfId="0" applyNumberFormat="1" applyFont="1" applyFill="1" applyBorder="1" applyAlignment="1">
      <alignment vertical="center"/>
    </xf>
    <xf numFmtId="167" fontId="21" fillId="6" borderId="9" xfId="2" applyNumberFormat="1" applyFont="1" applyFill="1" applyBorder="1" applyAlignment="1">
      <alignment vertical="center"/>
    </xf>
    <xf numFmtId="166" fontId="21" fillId="6" borderId="9" xfId="3" applyNumberFormat="1" applyFont="1" applyFill="1" applyBorder="1" applyAlignment="1">
      <alignment vertical="center"/>
    </xf>
    <xf numFmtId="168" fontId="21" fillId="6" borderId="9" xfId="1" applyNumberFormat="1" applyFont="1" applyFill="1" applyBorder="1" applyAlignment="1">
      <alignment vertical="center"/>
    </xf>
    <xf numFmtId="165" fontId="21" fillId="6" borderId="9" xfId="0" applyNumberFormat="1" applyFont="1" applyFill="1" applyBorder="1" applyAlignment="1">
      <alignment vertical="center"/>
    </xf>
    <xf numFmtId="169" fontId="21" fillId="6" borderId="9" xfId="1" applyNumberFormat="1" applyFont="1" applyFill="1" applyBorder="1" applyAlignment="1">
      <alignment vertical="center"/>
    </xf>
    <xf numFmtId="9" fontId="21" fillId="6" borderId="9" xfId="3" applyFont="1" applyFill="1" applyBorder="1" applyAlignment="1">
      <alignment vertical="center"/>
    </xf>
    <xf numFmtId="167" fontId="19" fillId="9" borderId="9" xfId="2" applyNumberFormat="1" applyFont="1" applyFill="1" applyBorder="1" applyAlignment="1">
      <alignment vertical="center"/>
    </xf>
    <xf numFmtId="166" fontId="19" fillId="9" borderId="9" xfId="3" applyNumberFormat="1" applyFont="1" applyFill="1" applyBorder="1" applyAlignment="1">
      <alignment vertical="center"/>
    </xf>
    <xf numFmtId="168" fontId="19" fillId="9" borderId="9" xfId="1" applyNumberFormat="1" applyFont="1" applyFill="1" applyBorder="1" applyAlignment="1">
      <alignment vertical="center"/>
    </xf>
    <xf numFmtId="165" fontId="19" fillId="9" borderId="9" xfId="0" applyNumberFormat="1" applyFont="1" applyFill="1" applyBorder="1" applyAlignment="1">
      <alignment vertical="center"/>
    </xf>
    <xf numFmtId="169" fontId="19" fillId="9" borderId="9" xfId="1" applyNumberFormat="1" applyFont="1" applyFill="1" applyBorder="1" applyAlignment="1">
      <alignment vertical="center"/>
    </xf>
    <xf numFmtId="9" fontId="19" fillId="9" borderId="9" xfId="3" applyFont="1" applyFill="1" applyBorder="1" applyAlignment="1">
      <alignment vertical="center"/>
    </xf>
    <xf numFmtId="167" fontId="20" fillId="4" borderId="9" xfId="2" applyNumberFormat="1" applyFont="1" applyFill="1" applyBorder="1" applyAlignment="1">
      <alignment vertical="center"/>
    </xf>
    <xf numFmtId="166" fontId="20" fillId="4" borderId="9" xfId="3" applyNumberFormat="1" applyFont="1" applyFill="1" applyBorder="1" applyAlignment="1">
      <alignment vertical="center"/>
    </xf>
    <xf numFmtId="168" fontId="20" fillId="4" borderId="9" xfId="1" applyNumberFormat="1" applyFont="1" applyFill="1" applyBorder="1" applyAlignment="1">
      <alignment vertical="center"/>
    </xf>
    <xf numFmtId="165" fontId="20" fillId="4" borderId="9" xfId="4" applyNumberFormat="1" applyFont="1" applyFill="1" applyBorder="1" applyAlignment="1">
      <alignment vertical="center"/>
    </xf>
    <xf numFmtId="169" fontId="20" fillId="4" borderId="9" xfId="1" applyNumberFormat="1" applyFont="1" applyFill="1" applyBorder="1" applyAlignment="1">
      <alignment vertical="center"/>
    </xf>
    <xf numFmtId="9" fontId="20" fillId="4" borderId="9" xfId="3" applyFont="1" applyFill="1" applyBorder="1" applyAlignment="1">
      <alignment vertical="center"/>
    </xf>
    <xf numFmtId="165" fontId="21" fillId="6" borderId="9" xfId="4" applyNumberFormat="1" applyFont="1" applyFill="1" applyBorder="1" applyAlignment="1">
      <alignment vertical="center"/>
    </xf>
    <xf numFmtId="167" fontId="19" fillId="4" borderId="9" xfId="2" applyNumberFormat="1" applyFont="1" applyFill="1" applyBorder="1" applyAlignment="1">
      <alignment vertical="center"/>
    </xf>
    <xf numFmtId="166" fontId="19" fillId="4" borderId="9" xfId="3" applyNumberFormat="1" applyFont="1" applyFill="1" applyBorder="1" applyAlignment="1">
      <alignment vertical="center"/>
    </xf>
    <xf numFmtId="168" fontId="19" fillId="4" borderId="9" xfId="1" applyNumberFormat="1" applyFont="1" applyFill="1" applyBorder="1" applyAlignment="1">
      <alignment vertical="center"/>
    </xf>
    <xf numFmtId="165" fontId="19" fillId="4" borderId="9" xfId="4" applyNumberFormat="1" applyFont="1" applyFill="1" applyBorder="1" applyAlignment="1">
      <alignment vertical="center"/>
    </xf>
    <xf numFmtId="169" fontId="19" fillId="4" borderId="9" xfId="1" applyNumberFormat="1" applyFont="1" applyFill="1" applyBorder="1" applyAlignment="1">
      <alignment vertical="center"/>
    </xf>
    <xf numFmtId="9" fontId="19" fillId="4" borderId="9" xfId="3" applyFont="1" applyFill="1" applyBorder="1" applyAlignment="1">
      <alignment vertical="center"/>
    </xf>
    <xf numFmtId="167" fontId="20" fillId="11" borderId="9" xfId="2" applyNumberFormat="1" applyFont="1" applyFill="1" applyBorder="1" applyAlignment="1">
      <alignment vertical="center"/>
    </xf>
    <xf numFmtId="9" fontId="20" fillId="11" borderId="9" xfId="3" applyFont="1" applyFill="1" applyBorder="1" applyAlignment="1">
      <alignment vertical="center"/>
    </xf>
    <xf numFmtId="168" fontId="20" fillId="11" borderId="9" xfId="1" applyNumberFormat="1" applyFont="1" applyFill="1" applyBorder="1" applyAlignment="1">
      <alignment vertical="center"/>
    </xf>
    <xf numFmtId="165" fontId="20" fillId="11" borderId="9" xfId="4" applyNumberFormat="1" applyFont="1" applyFill="1" applyBorder="1" applyAlignment="1">
      <alignment vertical="center"/>
    </xf>
    <xf numFmtId="169" fontId="20" fillId="11" borderId="9" xfId="1" applyNumberFormat="1" applyFont="1" applyFill="1" applyBorder="1" applyAlignment="1">
      <alignment vertical="center"/>
    </xf>
    <xf numFmtId="167" fontId="19" fillId="11" borderId="9" xfId="2" applyNumberFormat="1" applyFont="1" applyFill="1" applyBorder="1" applyAlignment="1">
      <alignment vertical="center"/>
    </xf>
    <xf numFmtId="9" fontId="19" fillId="11" borderId="9" xfId="3" applyFont="1" applyFill="1" applyBorder="1" applyAlignment="1">
      <alignment vertical="center"/>
    </xf>
    <xf numFmtId="168" fontId="19" fillId="11" borderId="9" xfId="1" applyNumberFormat="1" applyFont="1" applyFill="1" applyBorder="1" applyAlignment="1">
      <alignment vertical="center"/>
    </xf>
    <xf numFmtId="165" fontId="19" fillId="11" borderId="9" xfId="4" applyNumberFormat="1" applyFont="1" applyFill="1" applyBorder="1" applyAlignment="1">
      <alignment vertical="center"/>
    </xf>
    <xf numFmtId="169" fontId="19" fillId="11" borderId="9" xfId="1" applyNumberFormat="1" applyFont="1" applyFill="1" applyBorder="1" applyAlignment="1">
      <alignment vertical="center"/>
    </xf>
    <xf numFmtId="167" fontId="20" fillId="12" borderId="9" xfId="2" applyNumberFormat="1" applyFont="1" applyFill="1" applyBorder="1" applyAlignment="1">
      <alignment vertical="center"/>
    </xf>
    <xf numFmtId="9" fontId="20" fillId="12" borderId="9" xfId="3" applyFont="1" applyFill="1" applyBorder="1" applyAlignment="1">
      <alignment vertical="center"/>
    </xf>
    <xf numFmtId="168" fontId="20" fillId="12" borderId="9" xfId="1" applyNumberFormat="1" applyFont="1" applyFill="1" applyBorder="1" applyAlignment="1">
      <alignment vertical="center"/>
    </xf>
    <xf numFmtId="165" fontId="20" fillId="12" borderId="9" xfId="4" applyNumberFormat="1" applyFont="1" applyFill="1" applyBorder="1" applyAlignment="1">
      <alignment vertical="center"/>
    </xf>
    <xf numFmtId="169" fontId="20" fillId="12" borderId="9" xfId="1" applyNumberFormat="1" applyFont="1" applyFill="1" applyBorder="1" applyAlignment="1">
      <alignment vertical="center"/>
    </xf>
    <xf numFmtId="167" fontId="19" fillId="12" borderId="17" xfId="2" applyNumberFormat="1" applyFont="1" applyFill="1" applyBorder="1" applyAlignment="1">
      <alignment vertical="center"/>
    </xf>
    <xf numFmtId="9" fontId="19" fillId="12" borderId="17" xfId="3" applyFont="1" applyFill="1" applyBorder="1" applyAlignment="1">
      <alignment vertical="center"/>
    </xf>
    <xf numFmtId="168" fontId="19" fillId="12" borderId="17" xfId="1" applyNumberFormat="1" applyFont="1" applyFill="1" applyBorder="1" applyAlignment="1">
      <alignment vertical="center"/>
    </xf>
    <xf numFmtId="165" fontId="19" fillId="12" borderId="17" xfId="4" applyNumberFormat="1" applyFont="1" applyFill="1" applyBorder="1" applyAlignment="1">
      <alignment vertical="center"/>
    </xf>
    <xf numFmtId="169" fontId="19" fillId="12" borderId="17" xfId="1" applyNumberFormat="1" applyFont="1" applyFill="1" applyBorder="1" applyAlignment="1">
      <alignment vertical="center"/>
    </xf>
    <xf numFmtId="167" fontId="19" fillId="2" borderId="18" xfId="2" applyNumberFormat="1" applyFont="1" applyFill="1" applyBorder="1" applyAlignment="1">
      <alignment horizontal="right" vertical="center"/>
    </xf>
    <xf numFmtId="170" fontId="19" fillId="2" borderId="18" xfId="2" applyNumberFormat="1" applyFont="1" applyFill="1" applyBorder="1" applyAlignment="1">
      <alignment horizontal="right" vertical="center"/>
    </xf>
    <xf numFmtId="165" fontId="19" fillId="2" borderId="18" xfId="4" applyNumberFormat="1" applyFont="1" applyFill="1" applyBorder="1" applyAlignment="1">
      <alignment horizontal="right" vertical="center"/>
    </xf>
    <xf numFmtId="9" fontId="19" fillId="2" borderId="18" xfId="3" applyFont="1" applyFill="1" applyBorder="1" applyAlignment="1">
      <alignment horizontal="right" vertical="center"/>
    </xf>
    <xf numFmtId="0" fontId="8" fillId="12" borderId="17" xfId="0" applyFont="1" applyFill="1" applyBorder="1" applyAlignment="1">
      <alignment vertical="center"/>
    </xf>
    <xf numFmtId="165" fontId="9" fillId="12" borderId="17" xfId="4" applyNumberFormat="1" applyFont="1" applyFill="1" applyBorder="1" applyAlignment="1">
      <alignment vertical="center"/>
    </xf>
    <xf numFmtId="166" fontId="9" fillId="12" borderId="17" xfId="3" applyNumberFormat="1" applyFont="1" applyFill="1" applyBorder="1" applyAlignment="1">
      <alignment vertical="center"/>
    </xf>
    <xf numFmtId="167" fontId="9" fillId="12" borderId="17" xfId="2" applyNumberFormat="1" applyFont="1" applyFill="1" applyBorder="1" applyAlignment="1">
      <alignment vertical="center"/>
    </xf>
    <xf numFmtId="165" fontId="9" fillId="2" borderId="18" xfId="4" applyNumberFormat="1" applyFont="1" applyFill="1" applyBorder="1" applyAlignment="1">
      <alignment horizontal="right" vertical="center"/>
    </xf>
    <xf numFmtId="9" fontId="9" fillId="2" borderId="18" xfId="3" applyFont="1" applyFill="1" applyBorder="1" applyAlignment="1">
      <alignment horizontal="right" vertical="center"/>
    </xf>
    <xf numFmtId="167" fontId="9" fillId="2" borderId="18" xfId="2" applyNumberFormat="1" applyFont="1" applyFill="1" applyBorder="1" applyAlignment="1">
      <alignment horizontal="right" vertical="center"/>
    </xf>
    <xf numFmtId="0" fontId="2" fillId="2" borderId="21" xfId="0" applyFont="1" applyFill="1" applyBorder="1" applyAlignment="1">
      <alignment horizontal="center" vertical="center" wrapText="1"/>
    </xf>
    <xf numFmtId="167" fontId="19" fillId="2" borderId="3" xfId="2" applyNumberFormat="1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 wrapText="1"/>
    </xf>
    <xf numFmtId="169" fontId="6" fillId="5" borderId="14" xfId="1" applyNumberFormat="1" applyFont="1" applyFill="1" applyBorder="1" applyAlignment="1">
      <alignment vertical="center"/>
    </xf>
    <xf numFmtId="169" fontId="6" fillId="5" borderId="28" xfId="1" applyNumberFormat="1" applyFont="1" applyFill="1" applyBorder="1" applyAlignment="1">
      <alignment vertical="center"/>
    </xf>
    <xf numFmtId="169" fontId="8" fillId="6" borderId="28" xfId="1" applyNumberFormat="1" applyFont="1" applyFill="1" applyBorder="1" applyAlignment="1">
      <alignment vertical="center"/>
    </xf>
    <xf numFmtId="169" fontId="6" fillId="7" borderId="28" xfId="1" applyNumberFormat="1" applyFont="1" applyFill="1" applyBorder="1" applyAlignment="1">
      <alignment vertical="center"/>
    </xf>
    <xf numFmtId="169" fontId="9" fillId="7" borderId="28" xfId="1" applyNumberFormat="1" applyFont="1" applyFill="1" applyBorder="1" applyAlignment="1">
      <alignment vertical="center"/>
    </xf>
    <xf numFmtId="169" fontId="6" fillId="8" borderId="28" xfId="1" applyNumberFormat="1" applyFont="1" applyFill="1" applyBorder="1" applyAlignment="1">
      <alignment vertical="center"/>
    </xf>
    <xf numFmtId="169" fontId="9" fillId="8" borderId="28" xfId="1" applyNumberFormat="1" applyFont="1" applyFill="1" applyBorder="1" applyAlignment="1">
      <alignment vertical="center"/>
    </xf>
    <xf numFmtId="169" fontId="6" fillId="9" borderId="28" xfId="1" applyNumberFormat="1" applyFont="1" applyFill="1" applyBorder="1" applyAlignment="1">
      <alignment vertical="center"/>
    </xf>
    <xf numFmtId="169" fontId="9" fillId="9" borderId="28" xfId="1" applyNumberFormat="1" applyFont="1" applyFill="1" applyBorder="1" applyAlignment="1">
      <alignment vertical="center"/>
    </xf>
    <xf numFmtId="169" fontId="6" fillId="4" borderId="28" xfId="1" applyNumberFormat="1" applyFont="1" applyFill="1" applyBorder="1" applyAlignment="1">
      <alignment vertical="center"/>
    </xf>
    <xf numFmtId="169" fontId="9" fillId="4" borderId="28" xfId="1" applyNumberFormat="1" applyFont="1" applyFill="1" applyBorder="1" applyAlignment="1">
      <alignment vertical="center"/>
    </xf>
    <xf numFmtId="169" fontId="6" fillId="11" borderId="28" xfId="1" applyNumberFormat="1" applyFont="1" applyFill="1" applyBorder="1" applyAlignment="1">
      <alignment vertical="center"/>
    </xf>
    <xf numFmtId="169" fontId="9" fillId="11" borderId="28" xfId="1" applyNumberFormat="1" applyFont="1" applyFill="1" applyBorder="1" applyAlignment="1">
      <alignment vertical="center"/>
    </xf>
    <xf numFmtId="169" fontId="6" fillId="12" borderId="28" xfId="1" applyNumberFormat="1" applyFont="1" applyFill="1" applyBorder="1" applyAlignment="1">
      <alignment vertical="center"/>
    </xf>
    <xf numFmtId="169" fontId="9" fillId="12" borderId="28" xfId="1" applyNumberFormat="1" applyFont="1" applyFill="1" applyBorder="1" applyAlignment="1">
      <alignment vertical="center"/>
    </xf>
    <xf numFmtId="0" fontId="0" fillId="2" borderId="29" xfId="0" applyFill="1" applyBorder="1" applyAlignment="1">
      <alignment wrapText="1"/>
    </xf>
    <xf numFmtId="0" fontId="0" fillId="2" borderId="30" xfId="0" applyFill="1" applyBorder="1" applyAlignment="1">
      <alignment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33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9" borderId="33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11" borderId="17" xfId="0" applyFont="1" applyFill="1" applyBorder="1" applyAlignment="1">
      <alignment horizontal="center" vertical="center" wrapText="1"/>
    </xf>
    <xf numFmtId="0" fontId="5" fillId="11" borderId="33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5" fillId="12" borderId="33" xfId="0" applyFont="1" applyFill="1" applyBorder="1" applyAlignment="1">
      <alignment horizontal="center" vertical="center" wrapText="1"/>
    </xf>
    <xf numFmtId="0" fontId="0" fillId="2" borderId="3" xfId="0" applyFill="1" applyBorder="1"/>
    <xf numFmtId="9" fontId="19" fillId="2" borderId="34" xfId="3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 wrapText="1"/>
    </xf>
    <xf numFmtId="0" fontId="5" fillId="8" borderId="24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5" fillId="9" borderId="24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11" borderId="25" xfId="0" applyFont="1" applyFill="1" applyBorder="1" applyAlignment="1">
      <alignment horizontal="center" vertical="center" wrapText="1"/>
    </xf>
    <xf numFmtId="0" fontId="5" fillId="11" borderId="23" xfId="0" applyFont="1" applyFill="1" applyBorder="1" applyAlignment="1">
      <alignment horizontal="center" vertical="center" wrapText="1"/>
    </xf>
    <xf numFmtId="0" fontId="5" fillId="11" borderId="24" xfId="0" applyFont="1" applyFill="1" applyBorder="1" applyAlignment="1">
      <alignment horizontal="center" vertical="center" wrapText="1"/>
    </xf>
    <xf numFmtId="0" fontId="5" fillId="12" borderId="26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2" borderId="2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44" fontId="0" fillId="2" borderId="0" xfId="0" applyNumberFormat="1" applyFill="1"/>
  </cellXfs>
  <cellStyles count="5">
    <cellStyle name="Milliers" xfId="1" builtinId="3"/>
    <cellStyle name="Milliers 2" xfId="4" xr:uid="{A616FD9C-021B-4919-A358-C46610924C81}"/>
    <cellStyle name="Monétaire" xfId="2" builtinId="4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Répartition Engagement production MWh/an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'Synthèse FC+F2030BCIAT BCIB'!$C$67:$C$72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'Synthèse FC+F2030BCIAT BCIB'!$A$67:$A$72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82-454A-8FD4-D0361C843EA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50"/>
              <a:t>Répartition Nombre de projets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'Synthèse FC+F2030BCIAT BCIB'!$D$67:$D$72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'Synthèse FC+F2030BCIAT BCIB'!$A$67:$A$72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DB5-41BF-A488-9C17620F2DA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cap="none" baseline="0"/>
              <a:t>Répartition Engagement production MWh/an - FC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10-4B2D-AD44-916A432DB817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10-4B2D-AD44-916A432DB817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10-4B2D-AD44-916A432DB8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110-4B2D-AD44-916A432DB817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110-4B2D-AD44-916A432DB817}"/>
              </c:ext>
            </c:extLst>
          </c:dPt>
          <c:dPt>
            <c:idx val="5"/>
            <c:bubble3D val="0"/>
            <c:spPr>
              <a:solidFill>
                <a:srgbClr val="F8C8E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110-4B2D-AD44-916A432DB81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110-4B2D-AD44-916A432DB817}"/>
                </c:ext>
              </c:extLst>
            </c:dLbl>
            <c:dLbl>
              <c:idx val="1"/>
              <c:layout>
                <c:manualLayout>
                  <c:x val="-5.1851851851851864E-2"/>
                  <c:y val="0.211640179577525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10-4B2D-AD44-916A432DB817}"/>
                </c:ext>
              </c:extLst>
            </c:dLbl>
            <c:dLbl>
              <c:idx val="2"/>
              <c:layout>
                <c:manualLayout>
                  <c:x val="-6.6666666666666666E-2"/>
                  <c:y val="9.62000816261480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10-4B2D-AD44-916A432DB817}"/>
                </c:ext>
              </c:extLst>
            </c:dLbl>
            <c:dLbl>
              <c:idx val="3"/>
              <c:layout>
                <c:manualLayout>
                  <c:x val="-0.13333333333333336"/>
                  <c:y val="-3.46320293854132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B1D99C-B168-4D16-BFC9-9E56F60C092B}" type="CATEGORYNAM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[NOM DE CATÉGORIE]</a:t>
                    </a:fld>
                    <a:r>
                      <a:rPr lang="en-US" baseline="0"/>
                      <a:t>
&lt;1%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110-4B2D-AD44-916A432DB81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110-4B2D-AD44-916A432DB817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4E2A99-B522-43B7-892A-617C4237F443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[NOM DE CATÉGORIE]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D552312F-E4AB-4DAB-9730-503CEC75F995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[POURCENTAGE]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5110-4B2D-AD44-916A432DB8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'Synthèse FC uniquement'!$A$50:$A$55</c:f>
              <c:strCache>
                <c:ptCount val="6"/>
                <c:pt idx="0">
                  <c:v>Biomasse</c:v>
                </c:pt>
                <c:pt idx="1">
                  <c:v>Géothermie profonde</c:v>
                </c:pt>
                <c:pt idx="2">
                  <c:v>Géothermie de surface</c:v>
                </c:pt>
                <c:pt idx="3">
                  <c:v>Solaire</c:v>
                </c:pt>
                <c:pt idx="4">
                  <c:v>Récupération chaleur fatale</c:v>
                </c:pt>
                <c:pt idx="5">
                  <c:v>Méthanisation</c:v>
                </c:pt>
              </c:strCache>
            </c:strRef>
          </c:cat>
          <c:val>
            <c:numRef>
              <c:f>'Synthèse FC uniquement'!$B$50:$B$55</c:f>
              <c:numCache>
                <c:formatCode>_-* #\ ##0\ _€_-;\-* #\ ##0\ _€_-;_-* "-"??\ _€_-;_-@_-</c:formatCode>
                <c:ptCount val="6"/>
                <c:pt idx="0">
                  <c:v>2440923.7294935649</c:v>
                </c:pt>
                <c:pt idx="1">
                  <c:v>465671</c:v>
                </c:pt>
                <c:pt idx="2">
                  <c:v>96026.130270380323</c:v>
                </c:pt>
                <c:pt idx="3">
                  <c:v>11083.620630072237</c:v>
                </c:pt>
                <c:pt idx="4">
                  <c:v>289598.48138269619</c:v>
                </c:pt>
                <c:pt idx="5">
                  <c:v>304531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10-4B2D-AD44-916A432DB81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'Synthèse FC uniquement'!$G$73</c:f>
              <c:strCache>
                <c:ptCount val="1"/>
                <c:pt idx="0">
                  <c:v>Répartition Fonds Chaleur 2024 hors BCIAT et BCIB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C3-49A5-9445-F6BED87EB1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C3-49A5-9445-F6BED87EB1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C3-49A5-9445-F6BED87EB1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C3-49A5-9445-F6BED87EB1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C3-49A5-9445-F6BED87EB1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4C3-49A5-9445-F6BED87EB15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4C3-49A5-9445-F6BED87EB15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4C3-49A5-9445-F6BED87EB15D}"/>
                </c:ext>
              </c:extLst>
            </c:dLbl>
            <c:dLbl>
              <c:idx val="2"/>
              <c:layout>
                <c:manualLayout>
                  <c:x val="-9.1954022988505746E-3"/>
                  <c:y val="7.04535349229017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C3-49A5-9445-F6BED87EB15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4C3-49A5-9445-F6BED87EB15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4C3-49A5-9445-F6BED87EB15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4C3-49A5-9445-F6BED87EB15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'Synthèse FC uniquement'!$A$74:$A$79</c:f>
              <c:strCache>
                <c:ptCount val="6"/>
                <c:pt idx="0">
                  <c:v>Biomasse</c:v>
                </c:pt>
                <c:pt idx="1">
                  <c:v>Géothermie profonde</c:v>
                </c:pt>
                <c:pt idx="2">
                  <c:v>Géothermie de surface</c:v>
                </c:pt>
                <c:pt idx="3">
                  <c:v>Solaire</c:v>
                </c:pt>
                <c:pt idx="4">
                  <c:v>Récupération chaleur fatale</c:v>
                </c:pt>
                <c:pt idx="5">
                  <c:v>Méthanisation</c:v>
                </c:pt>
              </c:strCache>
            </c:strRef>
          </c:cat>
          <c:val>
            <c:numRef>
              <c:f>'Synthèse FC uniquement'!$G$74:$G$79</c:f>
              <c:numCache>
                <c:formatCode>0%</c:formatCode>
                <c:ptCount val="6"/>
                <c:pt idx="0">
                  <c:v>0.52066131209030797</c:v>
                </c:pt>
                <c:pt idx="1">
                  <c:v>0.19128645885712967</c:v>
                </c:pt>
                <c:pt idx="2">
                  <c:v>3.9445227246649416E-2</c:v>
                </c:pt>
                <c:pt idx="3">
                  <c:v>4.5528850661568929E-3</c:v>
                </c:pt>
                <c:pt idx="4">
                  <c:v>0.11896009842592377</c:v>
                </c:pt>
                <c:pt idx="5">
                  <c:v>0.12509401831383221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C3-49A5-9445-F6BED87EB15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'Synthèse FC uniquement'!$E$73</c:f>
              <c:strCache>
                <c:ptCount val="1"/>
                <c:pt idx="0">
                  <c:v>Répartition Fonds Chaleur 2024 hors BCIAT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41-4C6E-AE81-F9CDCC7F8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41-4C6E-AE81-F9CDCC7F8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41-4C6E-AE81-F9CDCC7F8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41-4C6E-AE81-F9CDCC7F8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41-4C6E-AE81-F9CDCC7F8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041-4C6E-AE81-F9CDCC7F822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041-4C6E-AE81-F9CDCC7F82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041-4C6E-AE81-F9CDCC7F82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041-4C6E-AE81-F9CDCC7F822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041-4C6E-AE81-F9CDCC7F822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041-4C6E-AE81-F9CDCC7F822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1041-4C6E-AE81-F9CDCC7F822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'Synthèse FC uniquement'!$A$74:$A$79</c:f>
              <c:strCache>
                <c:ptCount val="6"/>
                <c:pt idx="0">
                  <c:v>Biomasse</c:v>
                </c:pt>
                <c:pt idx="1">
                  <c:v>Géothermie profonde</c:v>
                </c:pt>
                <c:pt idx="2">
                  <c:v>Géothermie de surface</c:v>
                </c:pt>
                <c:pt idx="3">
                  <c:v>Solaire</c:v>
                </c:pt>
                <c:pt idx="4">
                  <c:v>Récupération chaleur fatale</c:v>
                </c:pt>
                <c:pt idx="5">
                  <c:v>Méthanisation</c:v>
                </c:pt>
              </c:strCache>
            </c:strRef>
          </c:cat>
          <c:val>
            <c:numRef>
              <c:f>'Synthèse FC uniquement'!$E$74:$E$79</c:f>
              <c:numCache>
                <c:formatCode>0%</c:formatCode>
                <c:ptCount val="6"/>
                <c:pt idx="0">
                  <c:v>0.60162181835887241</c:v>
                </c:pt>
                <c:pt idx="1">
                  <c:v>0.15897809539302338</c:v>
                </c:pt>
                <c:pt idx="2">
                  <c:v>3.2782911751746219E-2</c:v>
                </c:pt>
                <c:pt idx="3">
                  <c:v>3.7839008609677348E-3</c:v>
                </c:pt>
                <c:pt idx="4">
                  <c:v>9.8867687699970536E-2</c:v>
                </c:pt>
                <c:pt idx="5">
                  <c:v>0.10396558593541966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41-4C6E-AE81-F9CDCC7F822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63</xdr:row>
      <xdr:rowOff>109537</xdr:rowOff>
    </xdr:from>
    <xdr:to>
      <xdr:col>7</xdr:col>
      <xdr:colOff>1057275</xdr:colOff>
      <xdr:row>76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387415-448E-43C1-938A-08458C2D7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78</xdr:row>
      <xdr:rowOff>28575</xdr:rowOff>
    </xdr:from>
    <xdr:to>
      <xdr:col>7</xdr:col>
      <xdr:colOff>1095375</xdr:colOff>
      <xdr:row>91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9E5A768-73BE-4B69-A359-F639A7EE3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46</xdr:row>
      <xdr:rowOff>80961</xdr:rowOff>
    </xdr:from>
    <xdr:to>
      <xdr:col>6</xdr:col>
      <xdr:colOff>1304925</xdr:colOff>
      <xdr:row>63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D60FCD-EF6E-4D5D-8011-4CFEC674E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68</xdr:row>
      <xdr:rowOff>52386</xdr:rowOff>
    </xdr:from>
    <xdr:to>
      <xdr:col>13</xdr:col>
      <xdr:colOff>314325</xdr:colOff>
      <xdr:row>81</xdr:row>
      <xdr:rowOff>38099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059F441-A4E0-4267-BEAF-64D8640AA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352425</xdr:colOff>
      <xdr:row>82</xdr:row>
      <xdr:rowOff>66675</xdr:rowOff>
    </xdr:from>
    <xdr:to>
      <xdr:col>13</xdr:col>
      <xdr:colOff>342900</xdr:colOff>
      <xdr:row>101</xdr:row>
      <xdr:rowOff>52388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F31F3EA-1E21-4FC5-880E-FFC9A7AB1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emecloud-my.sharepoint.com/personal/simon_thouin_ademe_fr/Documents/Fonds%20Chaleur/Bilan/Bilan%20FC%20-%20MCR/Bilans%20Annuels/Bilan%202023/LISA_CLOTURE_2023_FOND_CHALEUR%20VF.xlsm" TargetMode="External"/><Relationship Id="rId1" Type="http://schemas.openxmlformats.org/officeDocument/2006/relationships/externalLinkPath" Target="https://ademecloud-my.sharepoint.com/personal/simon_thouin_ademe_fr/Documents/Fonds%20Chaleur/Bilan/Bilan%20FC%20-%20MCR/Bilans%20Annuels/Bilan%202023/LISA_CLOTURE_2023_FOND_CHALEUR%20VF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emecloud-my.sharepoint.com/personal/simon_thouin_ademe_fr/Documents/Fonds%20Chaleur/Bilan/Bilan%20FC%20-%20MCR/Bilans%20Annuels/Bilan%202024/LISA_CLOTURE_2024_FOND_CHALEUR_Bilan%20FC2024.xlsm" TargetMode="External"/><Relationship Id="rId1" Type="http://schemas.openxmlformats.org/officeDocument/2006/relationships/externalLinkPath" Target="https://ademecloud-my.sharepoint.com/personal/simon_thouin_ademe_fr/Documents/Fonds%20Chaleur/Bilan/Bilan%20FC%20-%20MCR/Bilans%20Annuels/Bilan%202024/LISA_CLOTURE_2024_FOND_CHALEUR_Bilan%20FC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ésentation"/>
      <sheetName val="LISA_2023"/>
      <sheetName val="LISA RC plusieurs thématique"/>
      <sheetName val="Liste RC 2023 invt"/>
      <sheetName val="FC2023"/>
      <sheetName val="FC2023 - hors mixEnR"/>
      <sheetName val="Feuil1"/>
      <sheetName val="FC2023 - hors mixEnR invest"/>
      <sheetName val="FC2023 -  hors inves"/>
      <sheetName val="FC2023 - mixEnR 15.01"/>
      <sheetName val="FC2023 - mixEnR (3)"/>
      <sheetName val="FC2023 - mixEnR"/>
      <sheetName val="Détails1"/>
      <sheetName val="FC2023 - global corrigé"/>
      <sheetName val="FC2023 - global corrigé (2)"/>
      <sheetName val="FC2023 - mixEnR (2)"/>
      <sheetName val="Feuil4"/>
      <sheetName val="T.Géothermie"/>
      <sheetName val="T.SolaireECS"/>
      <sheetName val="T.SolairePAC"/>
      <sheetName val="T.SolaireSSC"/>
      <sheetName val="Feuil17"/>
      <sheetName val="Feuil2"/>
      <sheetName val="T.chaleurfatale"/>
      <sheetName val="T.méthanisation"/>
      <sheetName val="T.mixEnR"/>
      <sheetName val="T.mixEnR CCRp autre"/>
      <sheetName val="T.mixEnR CCRp autre (2)"/>
      <sheetName val="Bilan Tremplin FTD CCRp"/>
      <sheetName val="T.appro"/>
      <sheetName val="T.autres"/>
      <sheetName val="FC2023 - invt "/>
      <sheetName val="FC2023 - hors invt"/>
      <sheetName val="Feuil7"/>
      <sheetName val="T.Biomasse"/>
      <sheetName val="DétailAide RC géother surface"/>
      <sheetName val="Feuil6"/>
      <sheetName val="T.RC"/>
      <sheetName val="Feuil5"/>
      <sheetName val="Détails12"/>
      <sheetName val="T.RC sans prod"/>
      <sheetName val="Liste RC n° plusieurs thématiqu"/>
      <sheetName val="Bilan projets liés RC"/>
      <sheetName val="Bilan tCO2"/>
      <sheetName val="BILAN EJ"/>
      <sheetName val="BILAN EJ répartition CCR"/>
      <sheetName val="BILAN EJ répartition CCR F2030"/>
      <sheetName val="BILAN ENR FC F2030 détaillé"/>
      <sheetName val="BILAN ENR FC F2030 filiere"/>
      <sheetName val="BILAN ENR FC F2030 filiere (2)"/>
      <sheetName val="BILAN ENR FC F2030"/>
      <sheetName val="BILAN ENR FC"/>
      <sheetName val="BCIAT BCIB F2030"/>
      <sheetName val="Bilan EVOS Strasbourg"/>
      <sheetName val="CCRT délégu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7">
          <cell r="D27">
            <v>804276793.97999978</v>
          </cell>
        </row>
      </sheetData>
      <sheetData sheetId="46" refreshError="1"/>
      <sheetData sheetId="47">
        <row r="9">
          <cell r="C9">
            <v>1930031</v>
          </cell>
        </row>
        <row r="10">
          <cell r="C10">
            <v>466304</v>
          </cell>
        </row>
      </sheetData>
      <sheetData sheetId="48">
        <row r="42">
          <cell r="C42">
            <v>5213874.787626924</v>
          </cell>
        </row>
      </sheetData>
      <sheetData sheetId="49">
        <row r="6">
          <cell r="D6">
            <v>148507508</v>
          </cell>
        </row>
        <row r="7">
          <cell r="D7">
            <v>54922309</v>
          </cell>
        </row>
      </sheetData>
      <sheetData sheetId="50" refreshError="1"/>
      <sheetData sheetId="51">
        <row r="3">
          <cell r="C3">
            <v>586091</v>
          </cell>
          <cell r="D3">
            <v>1335619.2430495224</v>
          </cell>
        </row>
        <row r="4">
          <cell r="C4">
            <v>354639</v>
          </cell>
        </row>
        <row r="5">
          <cell r="C5">
            <v>82647</v>
          </cell>
        </row>
        <row r="6">
          <cell r="C6">
            <v>16054</v>
          </cell>
        </row>
        <row r="7">
          <cell r="C7">
            <v>290700.24304952245</v>
          </cell>
        </row>
        <row r="8">
          <cell r="C8">
            <v>5488</v>
          </cell>
        </row>
        <row r="9">
          <cell r="C9">
            <v>205339</v>
          </cell>
          <cell r="D9">
            <v>222907</v>
          </cell>
        </row>
        <row r="10">
          <cell r="C10">
            <v>17568</v>
          </cell>
        </row>
        <row r="11">
          <cell r="C11">
            <v>78549.61</v>
          </cell>
          <cell r="D11">
            <v>118115.34884926186</v>
          </cell>
        </row>
        <row r="12">
          <cell r="C12">
            <v>9113.6899999999987</v>
          </cell>
        </row>
        <row r="13">
          <cell r="C13">
            <v>12295</v>
          </cell>
        </row>
        <row r="15">
          <cell r="C15">
            <v>16628.948849261855</v>
          </cell>
        </row>
        <row r="16">
          <cell r="C16">
            <v>73.099999999999994</v>
          </cell>
        </row>
        <row r="17">
          <cell r="C17">
            <v>41445.152000000002</v>
          </cell>
          <cell r="D17">
            <v>47615.195878140141</v>
          </cell>
        </row>
        <row r="18">
          <cell r="C18">
            <v>1103.3</v>
          </cell>
        </row>
        <row r="19">
          <cell r="C19">
            <v>4263.4138781401325</v>
          </cell>
        </row>
        <row r="20">
          <cell r="C20">
            <v>803.33</v>
          </cell>
        </row>
        <row r="21">
          <cell r="C21">
            <v>23000</v>
          </cell>
          <cell r="D21">
            <v>795974.99985000002</v>
          </cell>
        </row>
        <row r="22">
          <cell r="C22">
            <v>260112</v>
          </cell>
        </row>
        <row r="23">
          <cell r="C23">
            <v>295506</v>
          </cell>
        </row>
        <row r="24">
          <cell r="C24">
            <v>213924</v>
          </cell>
        </row>
        <row r="25">
          <cell r="C25">
            <v>149.99985000000001</v>
          </cell>
        </row>
        <row r="26">
          <cell r="C26">
            <v>3283</v>
          </cell>
        </row>
        <row r="27">
          <cell r="C27">
            <v>278009</v>
          </cell>
          <cell r="D27">
            <v>278009</v>
          </cell>
        </row>
        <row r="28">
          <cell r="D28">
            <v>19299</v>
          </cell>
        </row>
        <row r="29">
          <cell r="D29">
            <v>2817539.7876269245</v>
          </cell>
        </row>
      </sheetData>
      <sheetData sheetId="52" refreshError="1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èse prod"/>
      <sheetName val="Synthèse prod FC"/>
      <sheetName val="Synthèse répartition budget"/>
      <sheetName val="Synthèse répartition budget (2)"/>
      <sheetName val="Synthèse répartition par filièr"/>
      <sheetName val="Présentation"/>
      <sheetName val="LISA_2024"/>
      <sheetName val="LISA_2024-RC"/>
      <sheetName val="LISA_2024_Sol"/>
      <sheetName val="LISA_2024_CF"/>
      <sheetName val="LISA_2024_Géo"/>
      <sheetName val="LISA_2024_Prod biomasse"/>
      <sheetName val="LISA_2024_Prod autre"/>
      <sheetName val="Détails12"/>
      <sheetName val="Bilan Global"/>
      <sheetName val="Bilan RC"/>
      <sheetName val="Détailsmétha"/>
      <sheetName val="TCD sous programme"/>
      <sheetName val="TCD prod filière"/>
      <sheetName val="Détails1234"/>
      <sheetName val="Détails12345"/>
      <sheetName val="TCD région"/>
      <sheetName val="Synthèse répartition région"/>
      <sheetName val="TCD région (2)"/>
      <sheetName val="TCD Mix EnR CCRp Tremplin"/>
      <sheetName val="Détail CCRt mandat"/>
      <sheetName val="TCD_Mix EnR"/>
      <sheetName val="TCD_Mix EnR (2)"/>
      <sheetName val="TCD3DS"/>
      <sheetName val="3DS"/>
      <sheetName val="TCD prod solaire"/>
      <sheetName val="TCD prod CF"/>
      <sheetName val="Liste dossier F2030 MASA"/>
      <sheetName val="Bilan dossier F2030 MASA"/>
      <sheetName val="Liste dossier 2024 RC"/>
      <sheetName val="Détails1"/>
      <sheetName val="Liste dossier RC"/>
      <sheetName val="Vérif liste dossier par code"/>
      <sheetName val="Détails2"/>
      <sheetName val="Bilan aide investissement"/>
      <sheetName val="Feuil2"/>
      <sheetName val="Feuil3"/>
      <sheetName val="Feuil1"/>
      <sheetName val="CNA CCRt"/>
      <sheetName val="LISA_2024 biomasse énergie"/>
      <sheetName val="LISA_2024 appro biomasse"/>
      <sheetName val="LISA_2024 géothermie"/>
      <sheetName val="LISA_2024 RC"/>
      <sheetName val="LISA_2024 Solaire"/>
      <sheetName val="LISA_2024 Chaleur Fatale"/>
      <sheetName val="LISA_2024 Méthanisation"/>
      <sheetName val="LISA_2024 Mix EnR"/>
      <sheetName val="LISA_2024 Aérothermie"/>
      <sheetName val="LISA_2024 Autres divers"/>
      <sheetName val="Détails123"/>
      <sheetName val="Détails achat"/>
      <sheetName val="Fonds Air"/>
      <sheetName val="Bilan hors aide investissement"/>
      <sheetName val="S. répartition budget détail"/>
    </sheetNames>
    <sheetDataSet>
      <sheetData sheetId="0">
        <row r="3">
          <cell r="O3">
            <v>178605922.93000001</v>
          </cell>
        </row>
      </sheetData>
      <sheetData sheetId="1" refreshError="1"/>
      <sheetData sheetId="2">
        <row r="16">
          <cell r="B16">
            <v>119780017.66999999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60FC-EBEE-49BA-B597-43C48A4BE47D}">
  <sheetPr>
    <tabColor rgb="FF00B050"/>
  </sheetPr>
  <dimension ref="A1:Y100"/>
  <sheetViews>
    <sheetView tabSelected="1" zoomScale="85" zoomScaleNormal="85" workbookViewId="0">
      <pane xSplit="3" ySplit="1" topLeftCell="H13" activePane="bottomRight" state="frozen"/>
      <selection pane="topRight" activeCell="C1" sqref="C1"/>
      <selection pane="bottomLeft" activeCell="A2" sqref="A2"/>
      <selection pane="bottomRight" activeCell="L57" sqref="L57"/>
    </sheetView>
  </sheetViews>
  <sheetFormatPr baseColWidth="10" defaultColWidth="11.42578125" defaultRowHeight="15" x14ac:dyDescent="0.25"/>
  <cols>
    <col min="1" max="1" width="23.42578125" style="10" hidden="1" customWidth="1"/>
    <col min="2" max="2" width="23.42578125" style="10" customWidth="1"/>
    <col min="3" max="3" width="45.7109375" hidden="1" customWidth="1"/>
    <col min="4" max="4" width="20.85546875" hidden="1" customWidth="1"/>
    <col min="5" max="5" width="8.5703125" hidden="1" customWidth="1"/>
    <col min="6" max="6" width="23" hidden="1" customWidth="1"/>
    <col min="7" max="7" width="21.140625" hidden="1" customWidth="1"/>
    <col min="8" max="8" width="23.42578125" customWidth="1"/>
    <col min="9" max="9" width="10.28515625" hidden="1" customWidth="1"/>
    <col min="10" max="10" width="19.85546875" customWidth="1"/>
    <col min="11" max="11" width="23.140625" customWidth="1"/>
    <col min="12" max="12" width="18.42578125" customWidth="1"/>
    <col min="13" max="13" width="16.28515625" customWidth="1"/>
    <col min="14" max="14" width="24.7109375" hidden="1" customWidth="1"/>
    <col min="15" max="15" width="22.7109375" hidden="1" customWidth="1"/>
    <col min="16" max="16" width="25.42578125" customWidth="1"/>
    <col min="18" max="18" width="15.140625" hidden="1" customWidth="1"/>
    <col min="19" max="19" width="14.42578125" hidden="1" customWidth="1"/>
    <col min="20" max="20" width="16.7109375" hidden="1" customWidth="1"/>
    <col min="22" max="22" width="14.7109375" bestFit="1" customWidth="1"/>
    <col min="24" max="24" width="19" bestFit="1" customWidth="1"/>
  </cols>
  <sheetData>
    <row r="1" spans="1:23" s="10" customFormat="1" ht="48" customHeight="1" thickBot="1" x14ac:dyDescent="0.3">
      <c r="A1" s="1"/>
      <c r="B1" s="347"/>
      <c r="C1" s="348"/>
      <c r="D1" s="349" t="s">
        <v>0</v>
      </c>
      <c r="E1" s="350"/>
      <c r="F1" s="351" t="s">
        <v>1</v>
      </c>
      <c r="G1" s="352" t="s">
        <v>2</v>
      </c>
      <c r="H1" s="352" t="s">
        <v>80</v>
      </c>
      <c r="I1" s="353"/>
      <c r="J1" s="353" t="s">
        <v>4</v>
      </c>
      <c r="K1" s="353" t="s">
        <v>5</v>
      </c>
      <c r="L1" s="353" t="s">
        <v>6</v>
      </c>
      <c r="M1" s="353" t="s">
        <v>7</v>
      </c>
      <c r="N1" s="354" t="s">
        <v>8</v>
      </c>
      <c r="O1" s="354" t="s">
        <v>9</v>
      </c>
      <c r="P1" s="355" t="s">
        <v>10</v>
      </c>
      <c r="Q1" s="355" t="s">
        <v>11</v>
      </c>
      <c r="R1" s="331" t="s">
        <v>12</v>
      </c>
      <c r="S1" s="8" t="s">
        <v>13</v>
      </c>
      <c r="T1" s="8" t="s">
        <v>14</v>
      </c>
      <c r="U1"/>
      <c r="V1" s="9">
        <v>2023</v>
      </c>
    </row>
    <row r="2" spans="1:23" hidden="1" x14ac:dyDescent="0.25">
      <c r="A2" s="377" t="s">
        <v>15</v>
      </c>
      <c r="B2" s="356"/>
      <c r="C2" s="11" t="s">
        <v>16</v>
      </c>
      <c r="D2" s="12">
        <v>804809</v>
      </c>
      <c r="E2" s="13">
        <f t="shared" ref="E2:E40" si="0">D2/$D$42</f>
        <v>0.14261030742225089</v>
      </c>
      <c r="F2" s="14">
        <v>130691391.74000001</v>
      </c>
      <c r="G2" s="14">
        <v>78451072.240000024</v>
      </c>
      <c r="H2" s="14">
        <f>SUM(F2:G2)</f>
        <v>209142463.98000002</v>
      </c>
      <c r="I2" s="15">
        <f t="shared" ref="I2:I40" si="1">H2/$H$48</f>
        <v>0.20298137933363583</v>
      </c>
      <c r="J2" s="16">
        <f>H2/D2/20</f>
        <v>12.993298035931508</v>
      </c>
      <c r="K2" s="12">
        <f>D2/0.9*0.201</f>
        <v>179740.6766666667</v>
      </c>
      <c r="L2" s="16">
        <f t="shared" ref="L2:L40" si="2">H2/K2/20</f>
        <v>58.178946429544055</v>
      </c>
      <c r="M2" s="17">
        <v>79</v>
      </c>
      <c r="N2" s="14">
        <v>367070614.86000013</v>
      </c>
      <c r="O2" s="14">
        <v>186224491.79999998</v>
      </c>
      <c r="P2" s="14">
        <f>N2+O2</f>
        <v>553295106.66000009</v>
      </c>
      <c r="Q2" s="15">
        <f>H2/P2</f>
        <v>0.37799442189630295</v>
      </c>
      <c r="R2" s="332">
        <v>165284</v>
      </c>
      <c r="S2" s="17">
        <f t="shared" ref="S2:S40" si="3">IFERROR(G2/R2,"")</f>
        <v>474.64408073376751</v>
      </c>
      <c r="T2" s="17">
        <f t="shared" ref="T2:T40" si="4">IFERROR(O2/R2,"")</f>
        <v>1126.6940042593353</v>
      </c>
    </row>
    <row r="3" spans="1:23" hidden="1" x14ac:dyDescent="0.25">
      <c r="A3" s="378"/>
      <c r="B3" s="356"/>
      <c r="C3" s="18" t="s">
        <v>17</v>
      </c>
      <c r="D3" s="19">
        <v>678682</v>
      </c>
      <c r="E3" s="20">
        <f t="shared" si="0"/>
        <v>0.12026089253717102</v>
      </c>
      <c r="F3" s="21">
        <v>48669390</v>
      </c>
      <c r="G3" s="21">
        <v>4799600</v>
      </c>
      <c r="H3" s="21">
        <f t="shared" ref="H3:H40" si="5">SUM(F3:G3)</f>
        <v>53468990</v>
      </c>
      <c r="I3" s="22">
        <f t="shared" si="1"/>
        <v>5.1893858068030874E-2</v>
      </c>
      <c r="J3" s="23">
        <f t="shared" ref="J3:J40" si="6">H3/D3/20</f>
        <v>3.9391784370294189</v>
      </c>
      <c r="K3" s="19">
        <f t="shared" ref="K3:K40" si="7">D3/0.9*0.201</f>
        <v>151572.31333333335</v>
      </c>
      <c r="L3" s="23">
        <f t="shared" si="2"/>
        <v>17.638112404609338</v>
      </c>
      <c r="M3" s="24">
        <v>18</v>
      </c>
      <c r="N3" s="21">
        <v>168296675.74000001</v>
      </c>
      <c r="O3" s="21">
        <v>10309247.189999999</v>
      </c>
      <c r="P3" s="21">
        <f t="shared" ref="P3:P40" si="8">N3+O3</f>
        <v>178605922.93000001</v>
      </c>
      <c r="Q3" s="22">
        <f t="shared" ref="Q3:Q40" si="9">H3/P3</f>
        <v>0.29936851546046317</v>
      </c>
      <c r="R3" s="333">
        <v>5402</v>
      </c>
      <c r="S3" s="24">
        <f t="shared" si="3"/>
        <v>888.48574601999258</v>
      </c>
      <c r="T3" s="24">
        <f t="shared" si="4"/>
        <v>1908.4130303591262</v>
      </c>
    </row>
    <row r="4" spans="1:23" hidden="1" x14ac:dyDescent="0.25">
      <c r="A4" s="378"/>
      <c r="B4" s="356"/>
      <c r="C4" s="18" t="s">
        <v>18</v>
      </c>
      <c r="D4" s="19">
        <v>494735</v>
      </c>
      <c r="E4" s="20">
        <f t="shared" si="0"/>
        <v>8.7665906373496444E-2</v>
      </c>
      <c r="F4" s="21">
        <v>44305900</v>
      </c>
      <c r="G4" s="21"/>
      <c r="H4" s="21">
        <f t="shared" si="5"/>
        <v>44305900</v>
      </c>
      <c r="I4" s="22">
        <f t="shared" si="1"/>
        <v>4.300070164363249E-2</v>
      </c>
      <c r="J4" s="23">
        <f t="shared" si="6"/>
        <v>4.4777406086086495</v>
      </c>
      <c r="K4" s="19">
        <f t="shared" si="7"/>
        <v>110490.81666666667</v>
      </c>
      <c r="L4" s="23">
        <f t="shared" si="2"/>
        <v>20.049584814665593</v>
      </c>
      <c r="M4" s="24">
        <v>6</v>
      </c>
      <c r="N4" s="21">
        <v>116422878</v>
      </c>
      <c r="O4" s="21"/>
      <c r="P4" s="21">
        <f t="shared" si="8"/>
        <v>116422878</v>
      </c>
      <c r="Q4" s="22">
        <f t="shared" si="9"/>
        <v>0.38056008201412095</v>
      </c>
      <c r="R4" s="333"/>
      <c r="S4" s="24" t="str">
        <f t="shared" si="3"/>
        <v/>
      </c>
      <c r="T4" s="24" t="str">
        <f t="shared" si="4"/>
        <v/>
      </c>
    </row>
    <row r="5" spans="1:23" hidden="1" x14ac:dyDescent="0.25">
      <c r="A5" s="378"/>
      <c r="B5" s="356"/>
      <c r="C5" s="18" t="s">
        <v>19</v>
      </c>
      <c r="D5" s="19">
        <v>182630</v>
      </c>
      <c r="E5" s="20">
        <f t="shared" si="0"/>
        <v>3.236161678674776E-2</v>
      </c>
      <c r="F5" s="21"/>
      <c r="G5" s="21">
        <v>68355918.549999997</v>
      </c>
      <c r="H5" s="21">
        <f t="shared" si="5"/>
        <v>68355918.549999997</v>
      </c>
      <c r="I5" s="22">
        <f t="shared" si="1"/>
        <v>6.6342235664888727E-2</v>
      </c>
      <c r="J5" s="23">
        <f t="shared" si="6"/>
        <v>18.714318170618188</v>
      </c>
      <c r="K5" s="19">
        <f t="shared" si="7"/>
        <v>40787.366666666669</v>
      </c>
      <c r="L5" s="23">
        <f>H5/K5/20</f>
        <v>83.795454495305322</v>
      </c>
      <c r="M5" s="24">
        <v>20</v>
      </c>
      <c r="N5" s="21"/>
      <c r="O5" s="21">
        <v>171349810.36000001</v>
      </c>
      <c r="P5" s="21">
        <f t="shared" si="8"/>
        <v>171349810.36000001</v>
      </c>
      <c r="Q5" s="22">
        <f t="shared" si="9"/>
        <v>0.39892614066153081</v>
      </c>
      <c r="R5" s="333">
        <v>90126.399999999994</v>
      </c>
      <c r="S5" s="24">
        <f t="shared" si="3"/>
        <v>758.44501222727195</v>
      </c>
      <c r="T5" s="24">
        <f t="shared" si="4"/>
        <v>1901.2166286459908</v>
      </c>
    </row>
    <row r="6" spans="1:23" hidden="1" x14ac:dyDescent="0.25">
      <c r="A6" s="378"/>
      <c r="B6" s="356"/>
      <c r="C6" s="18" t="s">
        <v>20</v>
      </c>
      <c r="D6" s="19">
        <v>10079</v>
      </c>
      <c r="E6" s="20">
        <f t="shared" si="0"/>
        <v>1.7859756644233186E-3</v>
      </c>
      <c r="F6" s="21">
        <v>3943810</v>
      </c>
      <c r="G6" s="21"/>
      <c r="H6" s="21">
        <f t="shared" si="5"/>
        <v>3943810</v>
      </c>
      <c r="I6" s="22">
        <f t="shared" si="1"/>
        <v>3.8276301158350072E-3</v>
      </c>
      <c r="J6" s="23">
        <f t="shared" si="6"/>
        <v>19.564490524853657</v>
      </c>
      <c r="K6" s="19">
        <f t="shared" si="7"/>
        <v>2250.9766666666669</v>
      </c>
      <c r="L6" s="23">
        <f t="shared" si="2"/>
        <v>87.602196379941731</v>
      </c>
      <c r="M6" s="24">
        <v>19</v>
      </c>
      <c r="N6" s="21">
        <v>12708200.869777106</v>
      </c>
      <c r="O6" s="21"/>
      <c r="P6" s="21">
        <f t="shared" si="8"/>
        <v>12708200.869777106</v>
      </c>
      <c r="Q6" s="22">
        <f t="shared" si="9"/>
        <v>0.3103358249065174</v>
      </c>
      <c r="R6" s="333"/>
      <c r="S6" s="24" t="str">
        <f t="shared" si="3"/>
        <v/>
      </c>
      <c r="T6" s="24" t="str">
        <f t="shared" si="4"/>
        <v/>
      </c>
    </row>
    <row r="7" spans="1:23" hidden="1" x14ac:dyDescent="0.25">
      <c r="A7" s="378"/>
      <c r="B7" s="356"/>
      <c r="C7" s="18" t="s">
        <v>21</v>
      </c>
      <c r="D7" s="19">
        <v>6562</v>
      </c>
      <c r="E7" s="20">
        <f t="shared" si="0"/>
        <v>1.1627713374288936E-3</v>
      </c>
      <c r="F7" s="21">
        <v>2377120.56</v>
      </c>
      <c r="G7" s="21"/>
      <c r="H7" s="21">
        <f t="shared" si="5"/>
        <v>2377120.56</v>
      </c>
      <c r="I7" s="22">
        <f t="shared" si="1"/>
        <v>2.3070934564359282E-3</v>
      </c>
      <c r="J7" s="23">
        <f t="shared" si="6"/>
        <v>18.112774763791528</v>
      </c>
      <c r="K7" s="19">
        <f t="shared" si="7"/>
        <v>1465.5133333333335</v>
      </c>
      <c r="L7" s="23">
        <f t="shared" si="2"/>
        <v>81.101976554290417</v>
      </c>
      <c r="M7" s="24">
        <v>53</v>
      </c>
      <c r="N7" s="21">
        <v>4948468.874022726</v>
      </c>
      <c r="O7" s="21"/>
      <c r="P7" s="21">
        <f t="shared" si="8"/>
        <v>4948468.874022726</v>
      </c>
      <c r="Q7" s="22">
        <f t="shared" si="9"/>
        <v>0.4803749645630454</v>
      </c>
      <c r="R7" s="333"/>
      <c r="S7" s="24" t="str">
        <f t="shared" si="3"/>
        <v/>
      </c>
      <c r="T7" s="24" t="str">
        <f t="shared" si="4"/>
        <v/>
      </c>
    </row>
    <row r="8" spans="1:23" hidden="1" x14ac:dyDescent="0.25">
      <c r="A8" s="378"/>
      <c r="B8" s="356"/>
      <c r="C8" s="25" t="s">
        <v>22</v>
      </c>
      <c r="D8" s="26">
        <v>263426.72949356516</v>
      </c>
      <c r="E8" s="27">
        <f t="shared" si="0"/>
        <v>4.6678611790270053E-2</v>
      </c>
      <c r="F8" s="28">
        <v>98229488.00881727</v>
      </c>
      <c r="G8" s="28"/>
      <c r="H8" s="28">
        <f t="shared" si="5"/>
        <v>98229488.00881727</v>
      </c>
      <c r="I8" s="29">
        <f t="shared" si="1"/>
        <v>9.5335765811639675E-2</v>
      </c>
      <c r="J8" s="30">
        <f t="shared" si="6"/>
        <v>18.644555963941535</v>
      </c>
      <c r="K8" s="26">
        <f t="shared" si="7"/>
        <v>58831.969586896223</v>
      </c>
      <c r="L8" s="30">
        <f t="shared" si="2"/>
        <v>83.483086405708349</v>
      </c>
      <c r="M8" s="31">
        <v>592</v>
      </c>
      <c r="N8" s="28">
        <v>196458976.01763454</v>
      </c>
      <c r="P8" s="28">
        <f>O8+N8</f>
        <v>196458976.01763454</v>
      </c>
      <c r="Q8" s="29">
        <f t="shared" si="9"/>
        <v>0.5</v>
      </c>
      <c r="R8" s="334"/>
      <c r="S8" s="31" t="str">
        <f t="shared" si="3"/>
        <v/>
      </c>
      <c r="T8" s="31" t="str">
        <f t="shared" si="4"/>
        <v/>
      </c>
    </row>
    <row r="9" spans="1:23" hidden="1" x14ac:dyDescent="0.25">
      <c r="A9" s="378"/>
      <c r="B9" s="356"/>
      <c r="C9" s="32" t="s">
        <v>23</v>
      </c>
      <c r="D9" s="33">
        <v>1395011</v>
      </c>
      <c r="E9" s="34">
        <f t="shared" si="0"/>
        <v>0.24719274705852151</v>
      </c>
      <c r="F9" s="35">
        <v>132321665</v>
      </c>
      <c r="G9" s="35"/>
      <c r="H9" s="35">
        <f t="shared" si="5"/>
        <v>132321665</v>
      </c>
      <c r="I9" s="36">
        <f t="shared" si="1"/>
        <v>0.12842362840284674</v>
      </c>
      <c r="J9" s="37">
        <f t="shared" si="6"/>
        <v>4.7426746097342605</v>
      </c>
      <c r="K9" s="33">
        <f t="shared" si="7"/>
        <v>311552.45666666667</v>
      </c>
      <c r="L9" s="37">
        <f t="shared" si="2"/>
        <v>21.235856461496688</v>
      </c>
      <c r="M9" s="38">
        <v>30</v>
      </c>
      <c r="N9" s="35">
        <v>363869178</v>
      </c>
      <c r="O9" s="35"/>
      <c r="P9" s="35">
        <f t="shared" si="8"/>
        <v>363869178</v>
      </c>
      <c r="Q9" s="36">
        <f t="shared" si="9"/>
        <v>0.36365175453250398</v>
      </c>
      <c r="R9" s="335"/>
      <c r="S9" s="38" t="str">
        <f t="shared" si="3"/>
        <v/>
      </c>
      <c r="T9" s="38" t="str">
        <f t="shared" si="4"/>
        <v/>
      </c>
      <c r="V9" s="39">
        <f>'[1]BILAN ENR FC F2030 détaillé'!$C$9</f>
        <v>1930031</v>
      </c>
      <c r="W9" s="40">
        <f>(D9-V9)/V9</f>
        <v>-0.27720798266970842</v>
      </c>
    </row>
    <row r="10" spans="1:23" hidden="1" x14ac:dyDescent="0.25">
      <c r="A10" s="378"/>
      <c r="B10" s="356"/>
      <c r="C10" s="32" t="s">
        <v>24</v>
      </c>
      <c r="D10" s="33">
        <v>387884</v>
      </c>
      <c r="E10" s="34">
        <f t="shared" si="0"/>
        <v>6.8732154441827023E-2</v>
      </c>
      <c r="F10" s="35">
        <v>33459162</v>
      </c>
      <c r="G10" s="35"/>
      <c r="H10" s="35">
        <f t="shared" si="5"/>
        <v>33459162</v>
      </c>
      <c r="I10" s="36">
        <f t="shared" si="1"/>
        <v>3.2473495457895352E-2</v>
      </c>
      <c r="J10" s="37">
        <f t="shared" si="6"/>
        <v>4.3130371451258629</v>
      </c>
      <c r="K10" s="33">
        <v>80594</v>
      </c>
      <c r="L10" s="37">
        <f t="shared" si="2"/>
        <v>20.75784921954488</v>
      </c>
      <c r="M10" s="38">
        <v>1</v>
      </c>
      <c r="N10" s="35">
        <v>72893695</v>
      </c>
      <c r="O10" s="35"/>
      <c r="P10" s="35">
        <f t="shared" si="8"/>
        <v>72893695</v>
      </c>
      <c r="Q10" s="36">
        <f t="shared" si="9"/>
        <v>0.45901311492029589</v>
      </c>
      <c r="R10" s="335"/>
      <c r="S10" s="38"/>
      <c r="T10" s="38"/>
      <c r="V10" s="39"/>
      <c r="W10" s="40"/>
    </row>
    <row r="11" spans="1:23" hidden="1" x14ac:dyDescent="0.25">
      <c r="A11" s="378"/>
      <c r="B11" s="356"/>
      <c r="C11" s="32" t="s">
        <v>25</v>
      </c>
      <c r="D11" s="33">
        <v>95928</v>
      </c>
      <c r="E11" s="34">
        <f t="shared" si="0"/>
        <v>1.6998221404583801E-2</v>
      </c>
      <c r="F11" s="35">
        <v>23827400</v>
      </c>
      <c r="G11" s="35"/>
      <c r="H11" s="35">
        <f t="shared" si="5"/>
        <v>23827400</v>
      </c>
      <c r="I11" s="36">
        <f t="shared" si="1"/>
        <v>2.3125473545137075E-2</v>
      </c>
      <c r="J11" s="37">
        <f t="shared" si="6"/>
        <v>12.419418730714703</v>
      </c>
      <c r="K11" s="33">
        <f t="shared" si="7"/>
        <v>21423.919999999998</v>
      </c>
      <c r="L11" s="37">
        <f t="shared" si="2"/>
        <v>55.609337600215085</v>
      </c>
      <c r="M11" s="38">
        <v>4</v>
      </c>
      <c r="N11" s="35">
        <v>49941311</v>
      </c>
      <c r="O11" s="35"/>
      <c r="P11" s="35">
        <f t="shared" si="8"/>
        <v>49941311</v>
      </c>
      <c r="Q11" s="36">
        <f t="shared" si="9"/>
        <v>0.47710801985154133</v>
      </c>
      <c r="R11" s="335"/>
      <c r="S11" s="38" t="str">
        <f t="shared" si="3"/>
        <v/>
      </c>
      <c r="T11" s="38" t="str">
        <f t="shared" si="4"/>
        <v/>
      </c>
      <c r="V11" s="39">
        <f>'[1]BILAN ENR FC F2030 détaillé'!$C$10</f>
        <v>466304</v>
      </c>
      <c r="W11" s="40">
        <f>((D11+D12)-V11)/V11</f>
        <v>-0.45811101770518803</v>
      </c>
    </row>
    <row r="12" spans="1:23" hidden="1" x14ac:dyDescent="0.25">
      <c r="A12" s="378"/>
      <c r="B12" s="356"/>
      <c r="C12" s="32" t="s">
        <v>26</v>
      </c>
      <c r="D12" s="33">
        <v>156757</v>
      </c>
      <c r="E12" s="34">
        <f t="shared" si="0"/>
        <v>2.7776980576248257E-2</v>
      </c>
      <c r="F12" s="35">
        <v>19432800</v>
      </c>
      <c r="G12" s="35"/>
      <c r="H12" s="35">
        <f t="shared" si="5"/>
        <v>19432800</v>
      </c>
      <c r="I12" s="36">
        <f t="shared" si="1"/>
        <v>1.8860333158797843E-2</v>
      </c>
      <c r="J12" s="37">
        <f t="shared" si="6"/>
        <v>6.1983834852670059</v>
      </c>
      <c r="K12" s="33">
        <f t="shared" si="7"/>
        <v>35009.063333333332</v>
      </c>
      <c r="L12" s="37">
        <f t="shared" si="2"/>
        <v>27.753955904180621</v>
      </c>
      <c r="M12" s="38">
        <v>7</v>
      </c>
      <c r="N12" s="35">
        <v>53167298</v>
      </c>
      <c r="O12" s="35"/>
      <c r="P12" s="35">
        <f t="shared" si="8"/>
        <v>53167298</v>
      </c>
      <c r="Q12" s="36">
        <f t="shared" si="9"/>
        <v>0.36550286982799091</v>
      </c>
      <c r="R12" s="335"/>
      <c r="S12" s="38" t="str">
        <f t="shared" si="3"/>
        <v/>
      </c>
      <c r="T12" s="38" t="str">
        <f t="shared" si="4"/>
        <v/>
      </c>
      <c r="V12" s="39"/>
      <c r="W12" s="41"/>
    </row>
    <row r="13" spans="1:23" ht="15.75" x14ac:dyDescent="0.25">
      <c r="A13" s="379"/>
      <c r="B13" s="357" t="s">
        <v>15</v>
      </c>
      <c r="C13" s="32"/>
      <c r="D13" s="42">
        <v>4476503.7294935649</v>
      </c>
      <c r="E13" s="43">
        <f t="shared" si="0"/>
        <v>0.79322618539296896</v>
      </c>
      <c r="F13" s="44">
        <v>537258127.30881727</v>
      </c>
      <c r="G13" s="44">
        <v>151606590.79000002</v>
      </c>
      <c r="H13" s="251">
        <f t="shared" si="5"/>
        <v>688864718.09881735</v>
      </c>
      <c r="I13" s="252">
        <f t="shared" si="1"/>
        <v>0.66857159465877558</v>
      </c>
      <c r="J13" s="253">
        <f t="shared" si="6"/>
        <v>7.6942270098002341</v>
      </c>
      <c r="K13" s="254">
        <f>SUM(K2:K12)</f>
        <v>993719.07292022964</v>
      </c>
      <c r="L13" s="253">
        <f t="shared" si="2"/>
        <v>34.66093873364327</v>
      </c>
      <c r="M13" s="255">
        <v>829</v>
      </c>
      <c r="N13" s="255">
        <v>1405777296.3614345</v>
      </c>
      <c r="O13" s="255">
        <v>367883549.35000002</v>
      </c>
      <c r="P13" s="251">
        <f t="shared" si="8"/>
        <v>1773660845.7114344</v>
      </c>
      <c r="Q13" s="252">
        <f t="shared" si="9"/>
        <v>0.3883858178210538</v>
      </c>
      <c r="R13" s="336">
        <v>260812.4</v>
      </c>
      <c r="S13" s="47">
        <f t="shared" si="3"/>
        <v>581.28597716212892</v>
      </c>
      <c r="T13" s="47">
        <f t="shared" si="4"/>
        <v>1410.5293665101815</v>
      </c>
      <c r="V13" s="39"/>
      <c r="W13" s="41"/>
    </row>
    <row r="14" spans="1:23" hidden="1" x14ac:dyDescent="0.25">
      <c r="A14" s="380" t="s">
        <v>27</v>
      </c>
      <c r="B14" s="358"/>
      <c r="C14" s="48" t="s">
        <v>28</v>
      </c>
      <c r="D14" s="49">
        <v>461085</v>
      </c>
      <c r="E14" s="50">
        <f t="shared" si="0"/>
        <v>8.1703203614507974E-2</v>
      </c>
      <c r="F14" s="51">
        <v>63878451</v>
      </c>
      <c r="G14" s="51">
        <v>43756220</v>
      </c>
      <c r="H14" s="256">
        <f t="shared" si="5"/>
        <v>107634671</v>
      </c>
      <c r="I14" s="257">
        <f t="shared" si="1"/>
        <v>0.10446388345979976</v>
      </c>
      <c r="J14" s="258">
        <f t="shared" si="6"/>
        <v>11.671890323909908</v>
      </c>
      <c r="K14" s="259">
        <f t="shared" si="7"/>
        <v>102975.65</v>
      </c>
      <c r="L14" s="258">
        <f t="shared" si="2"/>
        <v>52.262195480193625</v>
      </c>
      <c r="M14" s="260">
        <v>7</v>
      </c>
      <c r="N14" s="256">
        <v>212531923.93000001</v>
      </c>
      <c r="O14" s="256"/>
      <c r="P14" s="256">
        <f t="shared" si="8"/>
        <v>212531923.93000001</v>
      </c>
      <c r="Q14" s="257">
        <f t="shared" si="9"/>
        <v>0.50644001620881574</v>
      </c>
      <c r="R14" s="337">
        <v>76601</v>
      </c>
      <c r="S14" s="54">
        <f t="shared" si="3"/>
        <v>571.22256889596747</v>
      </c>
      <c r="T14" s="54">
        <f t="shared" si="4"/>
        <v>0</v>
      </c>
      <c r="V14" s="39"/>
      <c r="W14" s="41"/>
    </row>
    <row r="15" spans="1:23" hidden="1" x14ac:dyDescent="0.25">
      <c r="A15" s="381"/>
      <c r="B15" s="359"/>
      <c r="C15" s="48" t="s">
        <v>19</v>
      </c>
      <c r="D15" s="49">
        <v>4586</v>
      </c>
      <c r="E15" s="50">
        <f t="shared" si="0"/>
        <v>8.1262867318636172E-4</v>
      </c>
      <c r="F15" s="51"/>
      <c r="G15" s="51">
        <v>536173.9</v>
      </c>
      <c r="H15" s="256">
        <f t="shared" si="5"/>
        <v>536173.9</v>
      </c>
      <c r="I15" s="257">
        <f t="shared" si="1"/>
        <v>5.2037886383084068E-4</v>
      </c>
      <c r="J15" s="258">
        <f t="shared" si="6"/>
        <v>5.8457686436982126</v>
      </c>
      <c r="K15" s="259">
        <f t="shared" si="7"/>
        <v>1024.2066666666667</v>
      </c>
      <c r="L15" s="258">
        <f t="shared" si="2"/>
        <v>26.175083479245721</v>
      </c>
      <c r="M15" s="260">
        <v>2</v>
      </c>
      <c r="N15" s="256"/>
      <c r="O15" s="256">
        <v>5026474.21</v>
      </c>
      <c r="P15" s="256">
        <f t="shared" si="8"/>
        <v>5026474.21</v>
      </c>
      <c r="Q15" s="257">
        <f t="shared" si="9"/>
        <v>0.10666997931339232</v>
      </c>
      <c r="R15" s="337">
        <v>1327</v>
      </c>
      <c r="S15" s="54">
        <f t="shared" si="3"/>
        <v>404.04966088922384</v>
      </c>
      <c r="T15" s="54">
        <f t="shared" si="4"/>
        <v>3787.8479351921628</v>
      </c>
      <c r="V15" s="39"/>
      <c r="W15" s="41"/>
    </row>
    <row r="16" spans="1:23" ht="15.75" x14ac:dyDescent="0.25">
      <c r="A16" s="382"/>
      <c r="B16" s="360" t="str">
        <f>A14</f>
        <v>Géothermie profonde</v>
      </c>
      <c r="C16" s="48"/>
      <c r="D16" s="55">
        <v>465671</v>
      </c>
      <c r="E16" s="56">
        <f t="shared" si="0"/>
        <v>8.2515832287694338E-2</v>
      </c>
      <c r="F16" s="57">
        <v>63878451</v>
      </c>
      <c r="G16" s="57">
        <v>44292393.899999999</v>
      </c>
      <c r="H16" s="261">
        <f t="shared" si="5"/>
        <v>108170844.90000001</v>
      </c>
      <c r="I16" s="262">
        <f t="shared" si="1"/>
        <v>0.1049842623236306</v>
      </c>
      <c r="J16" s="263">
        <f t="shared" si="6"/>
        <v>11.614513776893988</v>
      </c>
      <c r="K16" s="264">
        <f t="shared" si="7"/>
        <v>103999.85666666666</v>
      </c>
      <c r="L16" s="263">
        <f t="shared" si="2"/>
        <v>52.005285568182032</v>
      </c>
      <c r="M16" s="265">
        <v>9</v>
      </c>
      <c r="N16" s="265">
        <v>212531923.93000001</v>
      </c>
      <c r="O16" s="265">
        <v>5026474.21</v>
      </c>
      <c r="P16" s="261">
        <f t="shared" si="8"/>
        <v>217558398.14000002</v>
      </c>
      <c r="Q16" s="262">
        <f t="shared" si="9"/>
        <v>0.49720372012663688</v>
      </c>
      <c r="R16" s="338">
        <v>77928</v>
      </c>
      <c r="S16" s="60">
        <f t="shared" si="3"/>
        <v>568.3758584847551</v>
      </c>
      <c r="T16" s="60">
        <f t="shared" si="4"/>
        <v>64.501516913047936</v>
      </c>
      <c r="V16" s="39"/>
      <c r="W16" s="41"/>
    </row>
    <row r="17" spans="1:23" hidden="1" x14ac:dyDescent="0.25">
      <c r="A17" s="383" t="s">
        <v>29</v>
      </c>
      <c r="B17" s="361"/>
      <c r="C17" s="61" t="s">
        <v>30</v>
      </c>
      <c r="D17" s="62">
        <v>20744.3</v>
      </c>
      <c r="E17" s="63">
        <f t="shared" si="0"/>
        <v>3.6758423430396517E-3</v>
      </c>
      <c r="F17" s="64">
        <v>7671942.0300000003</v>
      </c>
      <c r="G17" s="64">
        <v>974425</v>
      </c>
      <c r="H17" s="266">
        <f t="shared" si="5"/>
        <v>8646367.0300000012</v>
      </c>
      <c r="I17" s="267">
        <f t="shared" si="1"/>
        <v>8.391655489638418E-3</v>
      </c>
      <c r="J17" s="268">
        <f t="shared" si="6"/>
        <v>20.840344166831375</v>
      </c>
      <c r="K17" s="269">
        <f t="shared" si="7"/>
        <v>4632.8936666666668</v>
      </c>
      <c r="L17" s="268">
        <f t="shared" si="2"/>
        <v>93.31497388133451</v>
      </c>
      <c r="M17" s="270">
        <v>34</v>
      </c>
      <c r="N17" s="266">
        <v>28075360.929999996</v>
      </c>
      <c r="O17" s="266">
        <v>3019063.91</v>
      </c>
      <c r="P17" s="266">
        <f t="shared" si="8"/>
        <v>31094424.839999996</v>
      </c>
      <c r="Q17" s="271">
        <f t="shared" si="9"/>
        <v>0.27806808051574827</v>
      </c>
      <c r="R17" s="339">
        <v>1851</v>
      </c>
      <c r="S17" s="66">
        <f t="shared" si="3"/>
        <v>526.43165856293899</v>
      </c>
      <c r="T17" s="66">
        <f t="shared" si="4"/>
        <v>1631.0447920043221</v>
      </c>
      <c r="V17" s="39"/>
      <c r="W17" s="41"/>
    </row>
    <row r="18" spans="1:23" hidden="1" x14ac:dyDescent="0.25">
      <c r="A18" s="384"/>
      <c r="B18" s="362"/>
      <c r="C18" s="61" t="s">
        <v>31</v>
      </c>
      <c r="D18" s="62">
        <v>14248.79</v>
      </c>
      <c r="E18" s="63">
        <f t="shared" si="0"/>
        <v>2.5248528809880288E-3</v>
      </c>
      <c r="F18" s="64">
        <v>11811353.710000001</v>
      </c>
      <c r="G18" s="64">
        <v>71280</v>
      </c>
      <c r="H18" s="266">
        <f t="shared" si="5"/>
        <v>11882633.710000001</v>
      </c>
      <c r="I18" s="267">
        <f t="shared" si="1"/>
        <v>1.1532585657988662E-2</v>
      </c>
      <c r="J18" s="268">
        <f t="shared" si="6"/>
        <v>41.696992200741256</v>
      </c>
      <c r="K18" s="269">
        <f t="shared" si="7"/>
        <v>3182.2297666666668</v>
      </c>
      <c r="L18" s="268">
        <f t="shared" si="2"/>
        <v>186.70295015257278</v>
      </c>
      <c r="M18" s="270">
        <v>87</v>
      </c>
      <c r="N18" s="266">
        <v>42339339.810000002</v>
      </c>
      <c r="O18" s="266">
        <v>158400</v>
      </c>
      <c r="P18" s="266">
        <f t="shared" si="8"/>
        <v>42497739.810000002</v>
      </c>
      <c r="Q18" s="271">
        <f t="shared" si="9"/>
        <v>0.27960625113535892</v>
      </c>
      <c r="R18" s="339">
        <v>260</v>
      </c>
      <c r="S18" s="66">
        <f t="shared" si="3"/>
        <v>274.15384615384613</v>
      </c>
      <c r="T18" s="66">
        <f t="shared" si="4"/>
        <v>609.23076923076928</v>
      </c>
      <c r="V18" s="39"/>
      <c r="W18" s="41"/>
    </row>
    <row r="19" spans="1:23" hidden="1" x14ac:dyDescent="0.25">
      <c r="A19" s="384"/>
      <c r="B19" s="362"/>
      <c r="C19" s="61" t="s">
        <v>32</v>
      </c>
      <c r="D19" s="62">
        <v>8763</v>
      </c>
      <c r="E19" s="63">
        <f t="shared" si="0"/>
        <v>1.5527834852010658E-3</v>
      </c>
      <c r="F19" s="64">
        <v>4987475.0999999996</v>
      </c>
      <c r="G19" s="64">
        <v>1424550</v>
      </c>
      <c r="H19" s="266">
        <f t="shared" si="5"/>
        <v>6412025.0999999996</v>
      </c>
      <c r="I19" s="267">
        <f t="shared" si="1"/>
        <v>6.223134577033369E-3</v>
      </c>
      <c r="J19" s="268">
        <f t="shared" si="6"/>
        <v>36.585787401574798</v>
      </c>
      <c r="K19" s="269">
        <f t="shared" si="7"/>
        <v>1957.07</v>
      </c>
      <c r="L19" s="268">
        <f t="shared" si="2"/>
        <v>163.81695851451406</v>
      </c>
      <c r="M19" s="270">
        <v>4</v>
      </c>
      <c r="N19" s="266">
        <v>12773297</v>
      </c>
      <c r="O19" s="266">
        <v>3713880</v>
      </c>
      <c r="P19" s="266">
        <f t="shared" si="8"/>
        <v>16487177</v>
      </c>
      <c r="Q19" s="271">
        <f t="shared" si="9"/>
        <v>0.38890982367690963</v>
      </c>
      <c r="R19" s="339">
        <v>3315</v>
      </c>
      <c r="S19" s="66">
        <f t="shared" si="3"/>
        <v>429.72850678733033</v>
      </c>
      <c r="T19" s="66">
        <f t="shared" si="4"/>
        <v>1120.3257918552035</v>
      </c>
      <c r="V19" s="39"/>
      <c r="W19" s="41"/>
    </row>
    <row r="20" spans="1:23" hidden="1" x14ac:dyDescent="0.25">
      <c r="A20" s="384"/>
      <c r="B20" s="362"/>
      <c r="C20" s="61" t="s">
        <v>19</v>
      </c>
      <c r="D20" s="62">
        <v>16972</v>
      </c>
      <c r="E20" s="63">
        <f t="shared" si="0"/>
        <v>3.0073994420669278E-3</v>
      </c>
      <c r="F20" s="64"/>
      <c r="G20" s="64">
        <v>1068771</v>
      </c>
      <c r="H20" s="266">
        <f t="shared" si="5"/>
        <v>1068771</v>
      </c>
      <c r="I20" s="267">
        <f t="shared" si="1"/>
        <v>1.0372862958740649E-3</v>
      </c>
      <c r="J20" s="268">
        <f t="shared" si="6"/>
        <v>3.1486300966297431</v>
      </c>
      <c r="K20" s="269">
        <f t="shared" si="7"/>
        <v>3790.4133333333334</v>
      </c>
      <c r="L20" s="268">
        <f t="shared" si="2"/>
        <v>14.098343716252581</v>
      </c>
      <c r="M20" s="270">
        <v>1</v>
      </c>
      <c r="N20" s="266"/>
      <c r="O20" s="266">
        <v>7585331.8200000003</v>
      </c>
      <c r="P20" s="266">
        <f t="shared" si="8"/>
        <v>7585331.8200000003</v>
      </c>
      <c r="Q20" s="271">
        <f t="shared" si="9"/>
        <v>0.1408997029216317</v>
      </c>
      <c r="R20" s="339">
        <v>2859</v>
      </c>
      <c r="S20" s="66">
        <f t="shared" si="3"/>
        <v>373.82686253934941</v>
      </c>
      <c r="T20" s="66">
        <f t="shared" si="4"/>
        <v>2653.1415949632742</v>
      </c>
      <c r="V20" s="39"/>
      <c r="W20" s="41"/>
    </row>
    <row r="21" spans="1:23" hidden="1" x14ac:dyDescent="0.25">
      <c r="A21" s="384"/>
      <c r="B21" s="362"/>
      <c r="C21" s="61" t="s">
        <v>33</v>
      </c>
      <c r="D21" s="62">
        <v>32</v>
      </c>
      <c r="E21" s="63">
        <f t="shared" si="0"/>
        <v>5.670326546437762E-6</v>
      </c>
      <c r="F21" s="64">
        <v>6240</v>
      </c>
      <c r="G21" s="64"/>
      <c r="H21" s="266">
        <f t="shared" si="5"/>
        <v>6240</v>
      </c>
      <c r="I21" s="267">
        <f t="shared" si="1"/>
        <v>6.0561771289211303E-6</v>
      </c>
      <c r="J21" s="268">
        <f t="shared" si="6"/>
        <v>9.75</v>
      </c>
      <c r="K21" s="269">
        <f t="shared" si="7"/>
        <v>7.1466666666666674</v>
      </c>
      <c r="L21" s="268">
        <f t="shared" si="2"/>
        <v>43.656716417910445</v>
      </c>
      <c r="M21" s="270">
        <v>1</v>
      </c>
      <c r="N21" s="266">
        <v>25697</v>
      </c>
      <c r="O21" s="266"/>
      <c r="P21" s="266">
        <f t="shared" si="8"/>
        <v>25697</v>
      </c>
      <c r="Q21" s="271">
        <f t="shared" si="9"/>
        <v>0.2428299023232284</v>
      </c>
      <c r="R21" s="339"/>
      <c r="S21" s="66" t="str">
        <f t="shared" si="3"/>
        <v/>
      </c>
      <c r="T21" s="66" t="str">
        <f t="shared" si="4"/>
        <v/>
      </c>
      <c r="V21" s="39"/>
      <c r="W21" s="41"/>
    </row>
    <row r="22" spans="1:23" hidden="1" x14ac:dyDescent="0.25">
      <c r="A22" s="384"/>
      <c r="B22" s="362"/>
      <c r="C22" s="61" t="s">
        <v>21</v>
      </c>
      <c r="D22" s="68">
        <v>95.9</v>
      </c>
      <c r="E22" s="63">
        <f t="shared" si="0"/>
        <v>1.6993259868855667E-5</v>
      </c>
      <c r="F22" s="64">
        <v>48242.569999999992</v>
      </c>
      <c r="G22" s="64"/>
      <c r="H22" s="266">
        <f t="shared" si="5"/>
        <v>48242.569999999992</v>
      </c>
      <c r="I22" s="267">
        <f t="shared" si="1"/>
        <v>4.6821402095252667E-5</v>
      </c>
      <c r="J22" s="268">
        <f t="shared" si="6"/>
        <v>25.152539103232527</v>
      </c>
      <c r="K22" s="272">
        <f t="shared" si="7"/>
        <v>21.417666666666669</v>
      </c>
      <c r="L22" s="268">
        <f t="shared" si="2"/>
        <v>112.62330941745908</v>
      </c>
      <c r="M22" s="270">
        <v>5</v>
      </c>
      <c r="N22" s="266">
        <v>100426.90306286464</v>
      </c>
      <c r="O22" s="266"/>
      <c r="P22" s="266">
        <f t="shared" si="8"/>
        <v>100426.90306286464</v>
      </c>
      <c r="Q22" s="271">
        <f t="shared" si="9"/>
        <v>0.48037496456304535</v>
      </c>
      <c r="R22" s="339"/>
      <c r="S22" s="66" t="str">
        <f t="shared" si="3"/>
        <v/>
      </c>
      <c r="T22" s="66" t="str">
        <f t="shared" si="4"/>
        <v/>
      </c>
      <c r="V22" s="39"/>
      <c r="W22" s="41"/>
    </row>
    <row r="23" spans="1:23" hidden="1" x14ac:dyDescent="0.25">
      <c r="A23" s="384"/>
      <c r="B23" s="362"/>
      <c r="C23" s="69" t="s">
        <v>22</v>
      </c>
      <c r="D23" s="70">
        <v>35170.140270380318</v>
      </c>
      <c r="E23" s="27">
        <f t="shared" si="0"/>
        <v>6.2320681255336645E-3</v>
      </c>
      <c r="F23" s="28">
        <v>22521980.241237972</v>
      </c>
      <c r="G23" s="28"/>
      <c r="H23" s="273">
        <f t="shared" si="5"/>
        <v>22521980.241237972</v>
      </c>
      <c r="I23" s="274">
        <f t="shared" si="1"/>
        <v>2.185850987740369E-2</v>
      </c>
      <c r="J23" s="275">
        <f t="shared" si="6"/>
        <v>32.018610201855793</v>
      </c>
      <c r="K23" s="276">
        <f t="shared" si="7"/>
        <v>7854.6646603849376</v>
      </c>
      <c r="L23" s="275">
        <f t="shared" si="2"/>
        <v>143.36691135159313</v>
      </c>
      <c r="M23" s="277">
        <v>192</v>
      </c>
      <c r="N23" s="273">
        <v>45043960.482475944</v>
      </c>
      <c r="P23" s="273">
        <f>O23+N23</f>
        <v>45043960.482475944</v>
      </c>
      <c r="Q23" s="278">
        <f t="shared" si="9"/>
        <v>0.5</v>
      </c>
      <c r="R23" s="334"/>
      <c r="S23" s="31" t="str">
        <f t="shared" si="3"/>
        <v/>
      </c>
      <c r="T23" s="31" t="str">
        <f t="shared" si="4"/>
        <v/>
      </c>
      <c r="V23" s="39"/>
      <c r="W23" s="41"/>
    </row>
    <row r="24" spans="1:23" ht="30" x14ac:dyDescent="0.25">
      <c r="A24" s="385"/>
      <c r="B24" s="363" t="str">
        <f>A17</f>
        <v>Géothermie de surface</v>
      </c>
      <c r="C24" s="71"/>
      <c r="D24" s="72">
        <v>96026.130270380323</v>
      </c>
      <c r="E24" s="73">
        <f t="shared" si="0"/>
        <v>1.7015609863244633E-2</v>
      </c>
      <c r="F24" s="74">
        <v>47047233.65123798</v>
      </c>
      <c r="G24" s="74">
        <v>3539026</v>
      </c>
      <c r="H24" s="279">
        <f t="shared" si="5"/>
        <v>50586259.65123798</v>
      </c>
      <c r="I24" s="280">
        <f t="shared" si="1"/>
        <v>4.9096049477162382E-2</v>
      </c>
      <c r="J24" s="281">
        <f t="shared" si="6"/>
        <v>26.339840785420847</v>
      </c>
      <c r="K24" s="282">
        <f t="shared" si="7"/>
        <v>21445.83576038494</v>
      </c>
      <c r="L24" s="281">
        <f t="shared" si="2"/>
        <v>117.93958560636199</v>
      </c>
      <c r="M24" s="283">
        <v>324</v>
      </c>
      <c r="N24" s="283">
        <v>128358082.1255388</v>
      </c>
      <c r="O24" s="283">
        <v>14476675.73</v>
      </c>
      <c r="P24" s="279">
        <f t="shared" si="8"/>
        <v>142834757.85553879</v>
      </c>
      <c r="Q24" s="284">
        <f t="shared" si="9"/>
        <v>0.35415931255612354</v>
      </c>
      <c r="R24" s="340">
        <v>8285</v>
      </c>
      <c r="S24" s="76">
        <f t="shared" si="3"/>
        <v>427.16065178032591</v>
      </c>
      <c r="T24" s="76">
        <f t="shared" si="4"/>
        <v>1747.3356342788172</v>
      </c>
      <c r="V24" s="39"/>
      <c r="W24" s="41"/>
    </row>
    <row r="25" spans="1:23" hidden="1" x14ac:dyDescent="0.25">
      <c r="A25" s="386" t="s">
        <v>34</v>
      </c>
      <c r="B25" s="364"/>
      <c r="C25" s="213" t="s">
        <v>35</v>
      </c>
      <c r="D25" s="214">
        <v>6333.670000000001</v>
      </c>
      <c r="E25" s="215">
        <f t="shared" si="0"/>
        <v>1.1223117855430145E-3</v>
      </c>
      <c r="F25" s="216">
        <v>5685963.1200000001</v>
      </c>
      <c r="G25" s="216"/>
      <c r="H25" s="285">
        <f t="shared" si="5"/>
        <v>5685963.1200000001</v>
      </c>
      <c r="I25" s="286">
        <f t="shared" si="1"/>
        <v>5.5184615069283714E-3</v>
      </c>
      <c r="J25" s="287">
        <f t="shared" si="6"/>
        <v>44.886796438715621</v>
      </c>
      <c r="K25" s="288">
        <f t="shared" si="7"/>
        <v>1414.5196333333338</v>
      </c>
      <c r="L25" s="287">
        <f t="shared" si="2"/>
        <v>200.98565569574154</v>
      </c>
      <c r="M25" s="289">
        <v>39</v>
      </c>
      <c r="N25" s="285">
        <v>14909691.029999999</v>
      </c>
      <c r="O25" s="285"/>
      <c r="P25" s="285">
        <f t="shared" si="8"/>
        <v>14909691.029999999</v>
      </c>
      <c r="Q25" s="290">
        <f t="shared" si="9"/>
        <v>0.3813602246055397</v>
      </c>
      <c r="R25" s="341"/>
      <c r="S25" s="217" t="str">
        <f t="shared" si="3"/>
        <v/>
      </c>
      <c r="T25" s="217" t="str">
        <f t="shared" si="4"/>
        <v/>
      </c>
      <c r="V25" s="39"/>
      <c r="W25" s="41"/>
    </row>
    <row r="26" spans="1:23" hidden="1" x14ac:dyDescent="0.25">
      <c r="A26" s="387"/>
      <c r="B26" s="365"/>
      <c r="C26" s="213" t="s">
        <v>36</v>
      </c>
      <c r="D26" s="214">
        <v>445.90000000000003</v>
      </c>
      <c r="E26" s="215">
        <f t="shared" si="0"/>
        <v>7.9012456470518687E-5</v>
      </c>
      <c r="F26" s="216">
        <v>300530.8</v>
      </c>
      <c r="G26" s="216"/>
      <c r="H26" s="285">
        <f t="shared" si="5"/>
        <v>300530.8</v>
      </c>
      <c r="I26" s="286">
        <f t="shared" si="1"/>
        <v>2.9167752523980294E-4</v>
      </c>
      <c r="J26" s="287">
        <f t="shared" si="6"/>
        <v>33.699349629961873</v>
      </c>
      <c r="K26" s="288">
        <f t="shared" si="7"/>
        <v>99.584333333333348</v>
      </c>
      <c r="L26" s="287">
        <f t="shared" si="2"/>
        <v>150.89261028341136</v>
      </c>
      <c r="M26" s="289">
        <v>4</v>
      </c>
      <c r="N26" s="285">
        <v>812552.84000000008</v>
      </c>
      <c r="O26" s="285"/>
      <c r="P26" s="285">
        <f t="shared" si="8"/>
        <v>812552.84000000008</v>
      </c>
      <c r="Q26" s="290">
        <f t="shared" si="9"/>
        <v>0.36986000811959496</v>
      </c>
      <c r="R26" s="341"/>
      <c r="S26" s="217" t="str">
        <f t="shared" si="3"/>
        <v/>
      </c>
      <c r="T26" s="217" t="str">
        <f t="shared" si="4"/>
        <v/>
      </c>
      <c r="V26" s="39"/>
      <c r="W26" s="41"/>
    </row>
    <row r="27" spans="1:23" hidden="1" x14ac:dyDescent="0.25">
      <c r="A27" s="387"/>
      <c r="B27" s="365"/>
      <c r="C27" s="213" t="s">
        <v>20</v>
      </c>
      <c r="D27" s="214">
        <v>17</v>
      </c>
      <c r="E27" s="215">
        <f t="shared" si="0"/>
        <v>3.0123609777950611E-6</v>
      </c>
      <c r="F27" s="216">
        <v>20400</v>
      </c>
      <c r="G27" s="216"/>
      <c r="H27" s="285">
        <f t="shared" si="5"/>
        <v>20400</v>
      </c>
      <c r="I27" s="286">
        <f t="shared" si="1"/>
        <v>1.979904061378062E-5</v>
      </c>
      <c r="J27" s="287">
        <f t="shared" si="6"/>
        <v>60</v>
      </c>
      <c r="K27" s="288">
        <f t="shared" si="7"/>
        <v>3.7966666666666669</v>
      </c>
      <c r="L27" s="287">
        <f t="shared" si="2"/>
        <v>268.65671641791045</v>
      </c>
      <c r="M27" s="289">
        <v>2</v>
      </c>
      <c r="N27" s="285">
        <v>65735.240222894354</v>
      </c>
      <c r="O27" s="285"/>
      <c r="P27" s="285">
        <f t="shared" si="8"/>
        <v>65735.240222894354</v>
      </c>
      <c r="Q27" s="290">
        <f t="shared" si="9"/>
        <v>0.31033582490651734</v>
      </c>
      <c r="R27" s="341"/>
      <c r="S27" s="217" t="str">
        <f t="shared" si="3"/>
        <v/>
      </c>
      <c r="T27" s="217" t="str">
        <f t="shared" si="4"/>
        <v/>
      </c>
      <c r="V27" s="39"/>
      <c r="W27" s="41"/>
    </row>
    <row r="28" spans="1:23" hidden="1" x14ac:dyDescent="0.25">
      <c r="A28" s="387"/>
      <c r="B28" s="365"/>
      <c r="C28" s="213" t="s">
        <v>21</v>
      </c>
      <c r="D28" s="214">
        <v>1134.03</v>
      </c>
      <c r="E28" s="215">
        <f t="shared" si="0"/>
        <v>2.0094751292052546E-4</v>
      </c>
      <c r="F28" s="216">
        <v>249239.48</v>
      </c>
      <c r="G28" s="216"/>
      <c r="H28" s="285">
        <f t="shared" si="5"/>
        <v>249239.48</v>
      </c>
      <c r="I28" s="286">
        <f t="shared" si="1"/>
        <v>2.41897185641057E-4</v>
      </c>
      <c r="J28" s="287">
        <f t="shared" si="6"/>
        <v>10.989104344682241</v>
      </c>
      <c r="K28" s="288">
        <f t="shared" si="7"/>
        <v>253.26670000000001</v>
      </c>
      <c r="L28" s="287">
        <f t="shared" si="2"/>
        <v>49.204944826935403</v>
      </c>
      <c r="M28" s="289">
        <v>35</v>
      </c>
      <c r="N28" s="285">
        <v>518843.60840226372</v>
      </c>
      <c r="O28" s="285"/>
      <c r="P28" s="285">
        <f t="shared" si="8"/>
        <v>518843.60840226372</v>
      </c>
      <c r="Q28" s="290">
        <f t="shared" si="9"/>
        <v>0.48037496456304535</v>
      </c>
      <c r="R28" s="341"/>
      <c r="S28" s="217" t="str">
        <f t="shared" si="3"/>
        <v/>
      </c>
      <c r="T28" s="217" t="str">
        <f t="shared" si="4"/>
        <v/>
      </c>
      <c r="V28" s="39"/>
      <c r="W28" s="41"/>
    </row>
    <row r="29" spans="1:23" hidden="1" x14ac:dyDescent="0.25">
      <c r="A29" s="387"/>
      <c r="B29" s="365"/>
      <c r="C29" s="69" t="s">
        <v>22</v>
      </c>
      <c r="D29" s="26">
        <v>3153.0206300722375</v>
      </c>
      <c r="E29" s="27">
        <f t="shared" si="0"/>
        <v>5.5870801813014148E-4</v>
      </c>
      <c r="F29" s="28">
        <v>3225920.630072237</v>
      </c>
      <c r="G29" s="28"/>
      <c r="H29" s="273">
        <f t="shared" si="5"/>
        <v>3225920.630072237</v>
      </c>
      <c r="I29" s="274">
        <f t="shared" si="1"/>
        <v>3.1308889005702443E-3</v>
      </c>
      <c r="J29" s="275">
        <f t="shared" si="6"/>
        <v>51.15603430096062</v>
      </c>
      <c r="K29" s="291">
        <f t="shared" si="7"/>
        <v>704.17460738279976</v>
      </c>
      <c r="L29" s="275">
        <f t="shared" si="2"/>
        <v>229.05687000430126</v>
      </c>
      <c r="M29" s="277">
        <v>90</v>
      </c>
      <c r="N29" s="273">
        <v>6451841.260144474</v>
      </c>
      <c r="O29" s="273"/>
      <c r="P29" s="273">
        <f t="shared" si="8"/>
        <v>6451841.260144474</v>
      </c>
      <c r="Q29" s="278">
        <f t="shared" si="9"/>
        <v>0.5</v>
      </c>
      <c r="R29" s="334"/>
      <c r="S29" s="31" t="str">
        <f t="shared" si="3"/>
        <v/>
      </c>
      <c r="T29" s="31" t="str">
        <f t="shared" si="4"/>
        <v/>
      </c>
      <c r="V29" s="39"/>
      <c r="W29" s="41"/>
    </row>
    <row r="30" spans="1:23" ht="15.75" x14ac:dyDescent="0.25">
      <c r="A30" s="388"/>
      <c r="B30" s="366" t="str">
        <f>A25</f>
        <v>Solaire</v>
      </c>
      <c r="C30" s="208"/>
      <c r="D30" s="209">
        <v>11083.620630072237</v>
      </c>
      <c r="E30" s="210">
        <f t="shared" si="0"/>
        <v>1.9639921340419949E-3</v>
      </c>
      <c r="F30" s="211">
        <v>9482054.0300722383</v>
      </c>
      <c r="G30" s="211">
        <v>0</v>
      </c>
      <c r="H30" s="292">
        <f t="shared" si="5"/>
        <v>9482054.0300722383</v>
      </c>
      <c r="I30" s="293">
        <f t="shared" si="1"/>
        <v>9.2027241589932567E-3</v>
      </c>
      <c r="J30" s="294">
        <f t="shared" si="6"/>
        <v>42.775074799769826</v>
      </c>
      <c r="K30" s="295">
        <f t="shared" si="7"/>
        <v>2475.3419407161332</v>
      </c>
      <c r="L30" s="294">
        <f t="shared" si="2"/>
        <v>191.53018567061116</v>
      </c>
      <c r="M30" s="296">
        <v>170</v>
      </c>
      <c r="N30" s="296">
        <v>22758663.97876963</v>
      </c>
      <c r="O30" s="296">
        <v>0</v>
      </c>
      <c r="P30" s="292">
        <f t="shared" si="8"/>
        <v>22758663.97876963</v>
      </c>
      <c r="Q30" s="297">
        <f t="shared" si="9"/>
        <v>0.41663491490175131</v>
      </c>
      <c r="R30" s="342">
        <v>0</v>
      </c>
      <c r="S30" s="212" t="str">
        <f t="shared" si="3"/>
        <v/>
      </c>
      <c r="T30" s="212" t="str">
        <f t="shared" si="4"/>
        <v/>
      </c>
      <c r="V30" s="39"/>
      <c r="W30" s="41"/>
    </row>
    <row r="31" spans="1:23" hidden="1" x14ac:dyDescent="0.25">
      <c r="A31" s="389" t="s">
        <v>37</v>
      </c>
      <c r="B31" s="367"/>
      <c r="C31" s="93" t="s">
        <v>38</v>
      </c>
      <c r="D31" s="94">
        <v>21906</v>
      </c>
      <c r="E31" s="95">
        <f t="shared" si="0"/>
        <v>3.8816929164458003E-3</v>
      </c>
      <c r="F31" s="96">
        <v>3055523</v>
      </c>
      <c r="G31" s="96">
        <v>157243</v>
      </c>
      <c r="H31" s="298">
        <f t="shared" si="5"/>
        <v>3212766</v>
      </c>
      <c r="I31" s="299">
        <f t="shared" si="1"/>
        <v>3.118121790028113E-3</v>
      </c>
      <c r="J31" s="300">
        <f t="shared" si="6"/>
        <v>7.3330731306491375</v>
      </c>
      <c r="K31" s="301">
        <f t="shared" si="7"/>
        <v>4892.34</v>
      </c>
      <c r="L31" s="300">
        <f t="shared" si="2"/>
        <v>32.834655808876732</v>
      </c>
      <c r="M31" s="302">
        <v>2</v>
      </c>
      <c r="N31" s="298">
        <v>10455365</v>
      </c>
      <c r="O31" s="298">
        <v>756400</v>
      </c>
      <c r="P31" s="298">
        <f t="shared" si="8"/>
        <v>11211765</v>
      </c>
      <c r="Q31" s="299">
        <f t="shared" si="9"/>
        <v>0.28655309846397958</v>
      </c>
      <c r="R31" s="343">
        <v>363</v>
      </c>
      <c r="S31" s="99">
        <f t="shared" si="3"/>
        <v>433.1763085399449</v>
      </c>
      <c r="T31" s="99">
        <f t="shared" si="4"/>
        <v>2083.7465564738291</v>
      </c>
      <c r="V31" s="39"/>
      <c r="W31" s="41"/>
    </row>
    <row r="32" spans="1:23" hidden="1" x14ac:dyDescent="0.25">
      <c r="A32" s="390"/>
      <c r="B32" s="368"/>
      <c r="C32" s="93" t="s">
        <v>39</v>
      </c>
      <c r="D32" s="94">
        <v>174824</v>
      </c>
      <c r="E32" s="95">
        <f t="shared" si="0"/>
        <v>3.0978411504826102E-2</v>
      </c>
      <c r="F32" s="96"/>
      <c r="G32" s="96">
        <v>17996922.850000001</v>
      </c>
      <c r="H32" s="298">
        <f t="shared" si="5"/>
        <v>17996922.850000001</v>
      </c>
      <c r="I32" s="299">
        <f t="shared" si="1"/>
        <v>1.7466755217167965E-2</v>
      </c>
      <c r="J32" s="300">
        <f t="shared" si="6"/>
        <v>5.1471545239784016</v>
      </c>
      <c r="K32" s="301">
        <f t="shared" si="7"/>
        <v>39044.026666666665</v>
      </c>
      <c r="L32" s="300">
        <f t="shared" si="2"/>
        <v>23.046960555127171</v>
      </c>
      <c r="M32" s="302">
        <v>7</v>
      </c>
      <c r="N32" s="298"/>
      <c r="O32" s="298">
        <v>48763874.259999998</v>
      </c>
      <c r="P32" s="298">
        <f t="shared" si="8"/>
        <v>48763874.259999998</v>
      </c>
      <c r="Q32" s="299">
        <f t="shared" si="9"/>
        <v>0.36906261290978898</v>
      </c>
      <c r="R32" s="343">
        <v>32050.560000000001</v>
      </c>
      <c r="S32" s="99">
        <f t="shared" si="3"/>
        <v>561.51664276692827</v>
      </c>
      <c r="T32" s="99">
        <f t="shared" si="4"/>
        <v>1521.4671525240119</v>
      </c>
      <c r="V32" s="39"/>
      <c r="W32" s="41"/>
    </row>
    <row r="33" spans="1:25" hidden="1" x14ac:dyDescent="0.25">
      <c r="A33" s="390"/>
      <c r="B33" s="368"/>
      <c r="C33" s="93" t="s">
        <v>40</v>
      </c>
      <c r="D33" s="94">
        <v>80221</v>
      </c>
      <c r="E33" s="95">
        <f t="shared" si="0"/>
        <v>1.421497705880574E-2</v>
      </c>
      <c r="F33" s="96">
        <v>8914776.1899999995</v>
      </c>
      <c r="G33" s="96">
        <v>129625</v>
      </c>
      <c r="H33" s="298">
        <f t="shared" si="5"/>
        <v>9044401.1899999995</v>
      </c>
      <c r="I33" s="299">
        <f t="shared" si="1"/>
        <v>8.7779640435360663E-3</v>
      </c>
      <c r="J33" s="300">
        <f t="shared" si="6"/>
        <v>5.6371780394161126</v>
      </c>
      <c r="K33" s="301">
        <f t="shared" si="7"/>
        <v>17916.023333333334</v>
      </c>
      <c r="L33" s="300">
        <f t="shared" si="2"/>
        <v>25.241095698878116</v>
      </c>
      <c r="M33" s="302">
        <v>18</v>
      </c>
      <c r="N33" s="298">
        <v>33553338.590000004</v>
      </c>
      <c r="O33" s="298">
        <v>1000575.01</v>
      </c>
      <c r="P33" s="298">
        <f t="shared" si="8"/>
        <v>34553913.600000001</v>
      </c>
      <c r="Q33" s="299">
        <f t="shared" si="9"/>
        <v>0.26174751996833145</v>
      </c>
      <c r="R33" s="343">
        <v>425</v>
      </c>
      <c r="S33" s="99">
        <f t="shared" si="3"/>
        <v>305</v>
      </c>
      <c r="T33" s="99">
        <f t="shared" si="4"/>
        <v>2354.2941411764705</v>
      </c>
      <c r="V33" s="39"/>
      <c r="W33" s="41"/>
    </row>
    <row r="34" spans="1:25" hidden="1" x14ac:dyDescent="0.25">
      <c r="A34" s="390"/>
      <c r="B34" s="368"/>
      <c r="C34" s="93" t="s">
        <v>19</v>
      </c>
      <c r="D34" s="94">
        <v>4900</v>
      </c>
      <c r="E34" s="95">
        <f t="shared" si="0"/>
        <v>8.6826875242328226E-4</v>
      </c>
      <c r="F34" s="96"/>
      <c r="G34" s="96">
        <v>224750</v>
      </c>
      <c r="H34" s="298">
        <f t="shared" si="5"/>
        <v>224750</v>
      </c>
      <c r="I34" s="299">
        <f t="shared" si="1"/>
        <v>2.1812913617388208E-4</v>
      </c>
      <c r="J34" s="300">
        <f t="shared" si="6"/>
        <v>2.2933673469387754</v>
      </c>
      <c r="K34" s="301">
        <f t="shared" si="7"/>
        <v>1094.3333333333335</v>
      </c>
      <c r="L34" s="300">
        <f t="shared" si="2"/>
        <v>10.26880901614377</v>
      </c>
      <c r="M34" s="302">
        <v>1</v>
      </c>
      <c r="N34" s="298"/>
      <c r="O34" s="298">
        <v>738392</v>
      </c>
      <c r="P34" s="298">
        <f t="shared" si="8"/>
        <v>738392</v>
      </c>
      <c r="Q34" s="299">
        <f t="shared" si="9"/>
        <v>0.30437762055926931</v>
      </c>
      <c r="R34" s="343">
        <v>399</v>
      </c>
      <c r="S34" s="99">
        <f t="shared" si="3"/>
        <v>563.2832080200501</v>
      </c>
      <c r="T34" s="99">
        <f t="shared" si="4"/>
        <v>1850.6065162907269</v>
      </c>
      <c r="V34" s="39"/>
      <c r="W34" s="41"/>
    </row>
    <row r="35" spans="1:25" hidden="1" x14ac:dyDescent="0.25">
      <c r="A35" s="390"/>
      <c r="B35" s="368"/>
      <c r="C35" s="69" t="s">
        <v>22</v>
      </c>
      <c r="D35" s="26">
        <v>7747.4813826961872</v>
      </c>
      <c r="E35" s="27">
        <f t="shared" si="0"/>
        <v>1.372835917260454E-3</v>
      </c>
      <c r="F35" s="28">
        <v>1466162.9432059042</v>
      </c>
      <c r="G35" s="28"/>
      <c r="H35" s="273">
        <f t="shared" si="5"/>
        <v>1466162.9432059042</v>
      </c>
      <c r="I35" s="278">
        <f t="shared" si="1"/>
        <v>1.4229715519095013E-3</v>
      </c>
      <c r="J35" s="275">
        <f t="shared" si="6"/>
        <v>9.4621908126203671</v>
      </c>
      <c r="K35" s="291">
        <f t="shared" si="7"/>
        <v>1730.2708421354816</v>
      </c>
      <c r="L35" s="275">
        <f t="shared" si="2"/>
        <v>42.368018563971802</v>
      </c>
      <c r="M35" s="277">
        <v>4</v>
      </c>
      <c r="N35" s="273">
        <v>2932325.8864118084</v>
      </c>
      <c r="O35" s="273"/>
      <c r="P35" s="273">
        <f t="shared" si="8"/>
        <v>2932325.8864118084</v>
      </c>
      <c r="Q35" s="278">
        <f t="shared" si="9"/>
        <v>0.5</v>
      </c>
      <c r="R35" s="334"/>
      <c r="S35" s="31" t="str">
        <f t="shared" si="3"/>
        <v/>
      </c>
      <c r="T35" s="31" t="str">
        <f t="shared" si="4"/>
        <v/>
      </c>
      <c r="V35" s="39"/>
      <c r="W35" s="41"/>
    </row>
    <row r="36" spans="1:25" ht="30" x14ac:dyDescent="0.25">
      <c r="A36" s="391"/>
      <c r="B36" s="369" t="str">
        <f>A31</f>
        <v>Récupération chaleur fatale</v>
      </c>
      <c r="C36" s="100"/>
      <c r="D36" s="101">
        <v>289598.48138269619</v>
      </c>
      <c r="E36" s="102">
        <f t="shared" si="0"/>
        <v>5.1316186149761377E-2</v>
      </c>
      <c r="F36" s="103">
        <v>13436462.133205904</v>
      </c>
      <c r="G36" s="103">
        <v>18508540.850000001</v>
      </c>
      <c r="H36" s="303">
        <f t="shared" si="5"/>
        <v>31945002.983205907</v>
      </c>
      <c r="I36" s="304">
        <f t="shared" si="1"/>
        <v>3.100394173881553E-2</v>
      </c>
      <c r="J36" s="305">
        <f t="shared" si="6"/>
        <v>5.5153954590306515</v>
      </c>
      <c r="K36" s="306">
        <f t="shared" si="7"/>
        <v>64676.994175468819</v>
      </c>
      <c r="L36" s="305">
        <f t="shared" si="2"/>
        <v>24.695800562823813</v>
      </c>
      <c r="M36" s="307">
        <v>32</v>
      </c>
      <c r="N36" s="307">
        <v>46941029.476411812</v>
      </c>
      <c r="O36" s="307">
        <v>51259241.269999996</v>
      </c>
      <c r="P36" s="303">
        <f t="shared" si="8"/>
        <v>98200270.7464118</v>
      </c>
      <c r="Q36" s="304">
        <f t="shared" si="9"/>
        <v>0.32530463246582408</v>
      </c>
      <c r="R36" s="344">
        <v>33237.56</v>
      </c>
      <c r="S36" s="92">
        <f t="shared" si="3"/>
        <v>556.85618468985092</v>
      </c>
      <c r="T36" s="92">
        <f t="shared" si="4"/>
        <v>1542.2083110192204</v>
      </c>
      <c r="V36" s="39"/>
      <c r="W36" s="41"/>
    </row>
    <row r="37" spans="1:25" hidden="1" x14ac:dyDescent="0.25">
      <c r="A37" s="392" t="s">
        <v>41</v>
      </c>
      <c r="B37" s="370"/>
      <c r="C37" s="106" t="s">
        <v>42</v>
      </c>
      <c r="D37" s="107">
        <v>246641</v>
      </c>
      <c r="E37" s="108">
        <f t="shared" si="0"/>
        <v>4.3704219054373626E-2</v>
      </c>
      <c r="F37" s="109">
        <v>17553648.370000001</v>
      </c>
      <c r="G37" s="109"/>
      <c r="H37" s="308">
        <f t="shared" si="5"/>
        <v>17553648.370000001</v>
      </c>
      <c r="I37" s="309">
        <f t="shared" si="1"/>
        <v>1.7036539068512449E-2</v>
      </c>
      <c r="J37" s="310">
        <f t="shared" si="6"/>
        <v>3.5585422476392816</v>
      </c>
      <c r="K37" s="311">
        <f t="shared" si="7"/>
        <v>55083.156666666669</v>
      </c>
      <c r="L37" s="310">
        <f t="shared" si="2"/>
        <v>15.933771258086335</v>
      </c>
      <c r="M37" s="312">
        <v>27</v>
      </c>
      <c r="N37" s="308">
        <v>181234793</v>
      </c>
      <c r="O37" s="308"/>
      <c r="P37" s="308">
        <f t="shared" si="8"/>
        <v>181234793</v>
      </c>
      <c r="Q37" s="309">
        <f t="shared" si="9"/>
        <v>9.6855841416719587E-2</v>
      </c>
      <c r="R37" s="345"/>
      <c r="S37" s="112" t="str">
        <f t="shared" si="3"/>
        <v/>
      </c>
      <c r="T37" s="112" t="str">
        <f t="shared" si="4"/>
        <v/>
      </c>
      <c r="V37" s="39"/>
      <c r="W37" s="41"/>
    </row>
    <row r="38" spans="1:25" hidden="1" x14ac:dyDescent="0.25">
      <c r="A38" s="393"/>
      <c r="B38" s="371"/>
      <c r="C38" s="106" t="s">
        <v>19</v>
      </c>
      <c r="D38" s="107">
        <v>10890</v>
      </c>
      <c r="E38" s="108">
        <f t="shared" si="0"/>
        <v>1.9296830028346008E-3</v>
      </c>
      <c r="F38" s="109"/>
      <c r="G38" s="109">
        <v>748742.5</v>
      </c>
      <c r="H38" s="308">
        <f t="shared" si="5"/>
        <v>748742.5</v>
      </c>
      <c r="I38" s="309">
        <f t="shared" si="1"/>
        <v>7.2668544935115863E-4</v>
      </c>
      <c r="J38" s="310">
        <f t="shared" si="6"/>
        <v>3.4377525252525252</v>
      </c>
      <c r="K38" s="311">
        <f t="shared" si="7"/>
        <v>2432.1000000000004</v>
      </c>
      <c r="L38" s="310">
        <f t="shared" si="2"/>
        <v>15.39292175486205</v>
      </c>
      <c r="M38" s="312">
        <v>1</v>
      </c>
      <c r="N38" s="308"/>
      <c r="O38" s="308">
        <v>4731427</v>
      </c>
      <c r="P38" s="308">
        <f t="shared" si="8"/>
        <v>4731427</v>
      </c>
      <c r="Q38" s="309">
        <f t="shared" si="9"/>
        <v>0.1582487693459077</v>
      </c>
      <c r="R38" s="345">
        <v>3463</v>
      </c>
      <c r="S38" s="112">
        <f t="shared" si="3"/>
        <v>216.21209933583597</v>
      </c>
      <c r="T38" s="112">
        <f t="shared" si="4"/>
        <v>1366.2798151891423</v>
      </c>
      <c r="V38" s="39"/>
      <c r="W38" s="41"/>
    </row>
    <row r="39" spans="1:25" hidden="1" x14ac:dyDescent="0.25">
      <c r="A39" s="393"/>
      <c r="B39" s="371"/>
      <c r="C39" s="69" t="s">
        <v>43</v>
      </c>
      <c r="D39" s="26">
        <v>47000</v>
      </c>
      <c r="E39" s="27">
        <f t="shared" si="0"/>
        <v>8.3282921150804618E-3</v>
      </c>
      <c r="F39" s="28">
        <v>3221666.6666666665</v>
      </c>
      <c r="G39" s="28"/>
      <c r="H39" s="273">
        <f t="shared" si="5"/>
        <v>3221666.6666666665</v>
      </c>
      <c r="I39" s="278">
        <f t="shared" si="1"/>
        <v>3.1267602537939491E-3</v>
      </c>
      <c r="J39" s="275">
        <f t="shared" si="6"/>
        <v>3.4273049645390068</v>
      </c>
      <c r="K39" s="291">
        <f t="shared" si="7"/>
        <v>10496.666666666666</v>
      </c>
      <c r="L39" s="275">
        <f t="shared" si="2"/>
        <v>15.346141632264212</v>
      </c>
      <c r="M39" s="277">
        <v>5</v>
      </c>
      <c r="N39" s="273">
        <v>16108333.333333332</v>
      </c>
      <c r="O39" s="273"/>
      <c r="P39" s="273">
        <f t="shared" si="8"/>
        <v>16108333.333333332</v>
      </c>
      <c r="Q39" s="278">
        <v>0.2</v>
      </c>
      <c r="R39" s="334"/>
      <c r="S39" s="31" t="str">
        <f t="shared" si="3"/>
        <v/>
      </c>
      <c r="T39" s="31" t="str">
        <f t="shared" si="4"/>
        <v/>
      </c>
      <c r="V39" s="39"/>
      <c r="W39" s="41"/>
    </row>
    <row r="40" spans="1:25" ht="16.5" thickBot="1" x14ac:dyDescent="0.3">
      <c r="A40" s="394"/>
      <c r="B40" s="371" t="str">
        <f>A37</f>
        <v>Méthanisation</v>
      </c>
      <c r="C40" s="322"/>
      <c r="D40" s="323">
        <v>304531</v>
      </c>
      <c r="E40" s="324">
        <f t="shared" si="0"/>
        <v>5.3962194172288688E-2</v>
      </c>
      <c r="F40" s="325">
        <v>20775315.036666669</v>
      </c>
      <c r="G40" s="325">
        <v>748742.5</v>
      </c>
      <c r="H40" s="313">
        <f t="shared" si="5"/>
        <v>21524057.536666669</v>
      </c>
      <c r="I40" s="314">
        <f t="shared" si="1"/>
        <v>2.0889984771657561E-2</v>
      </c>
      <c r="J40" s="315">
        <f t="shared" si="6"/>
        <v>3.5339682227206213</v>
      </c>
      <c r="K40" s="316">
        <f t="shared" si="7"/>
        <v>68011.923333333325</v>
      </c>
      <c r="L40" s="315">
        <f t="shared" si="2"/>
        <v>15.82373831068935</v>
      </c>
      <c r="M40" s="317">
        <v>33</v>
      </c>
      <c r="N40" s="317">
        <v>197343126.33333334</v>
      </c>
      <c r="O40" s="317">
        <v>4731427</v>
      </c>
      <c r="P40" s="313">
        <f t="shared" si="8"/>
        <v>202074553.33333334</v>
      </c>
      <c r="Q40" s="314">
        <f t="shared" si="9"/>
        <v>0.10651542800226571</v>
      </c>
      <c r="R40" s="346">
        <v>3463</v>
      </c>
      <c r="S40" s="119">
        <f t="shared" si="3"/>
        <v>216.21209933583597</v>
      </c>
      <c r="T40" s="119">
        <f t="shared" si="4"/>
        <v>1366.2798151891423</v>
      </c>
      <c r="V40" s="39"/>
      <c r="W40" s="41"/>
    </row>
    <row r="41" spans="1:25" s="121" customFormat="1" ht="15.75" thickBot="1" x14ac:dyDescent="0.3">
      <c r="A41" s="120"/>
      <c r="B41" s="329" t="s">
        <v>64</v>
      </c>
      <c r="C41" s="372"/>
      <c r="D41" s="372"/>
      <c r="E41" s="372"/>
      <c r="F41" s="372"/>
      <c r="G41" s="372"/>
      <c r="H41" s="330">
        <f>H42</f>
        <v>910572937.20000005</v>
      </c>
      <c r="I41" s="330">
        <f t="shared" ref="I41:T41" si="10">I42</f>
        <v>0</v>
      </c>
      <c r="J41" s="330">
        <f t="shared" si="10"/>
        <v>8.067571716051507</v>
      </c>
      <c r="K41" s="330">
        <f t="shared" si="10"/>
        <v>1254329.0247967995</v>
      </c>
      <c r="L41" s="330">
        <f t="shared" si="10"/>
        <v>36.29721226244893</v>
      </c>
      <c r="M41" s="330">
        <f t="shared" si="10"/>
        <v>1397</v>
      </c>
      <c r="N41" s="330">
        <f t="shared" si="10"/>
        <v>2013710122.205488</v>
      </c>
      <c r="O41" s="330">
        <f t="shared" si="10"/>
        <v>443377367.56</v>
      </c>
      <c r="P41" s="330">
        <f t="shared" si="10"/>
        <v>2457087489.7654881</v>
      </c>
      <c r="Q41" s="373">
        <f>Q42</f>
        <v>0.37059035992524136</v>
      </c>
      <c r="R41" s="136">
        <f t="shared" si="10"/>
        <v>383725.96</v>
      </c>
      <c r="S41" s="136">
        <f t="shared" si="10"/>
        <v>569.92572001122892</v>
      </c>
      <c r="T41" s="136">
        <f t="shared" si="10"/>
        <v>1155.4531456771911</v>
      </c>
      <c r="V41" s="122"/>
      <c r="W41" s="123"/>
    </row>
    <row r="42" spans="1:25" s="128" customFormat="1" ht="25.5" hidden="1" customHeight="1" thickBot="1" x14ac:dyDescent="0.3">
      <c r="A42" s="395" t="s">
        <v>44</v>
      </c>
      <c r="B42" s="396"/>
      <c r="C42" s="397"/>
      <c r="D42" s="326">
        <v>5643413.9617767138</v>
      </c>
      <c r="E42" s="327">
        <f>D42/$D$42</f>
        <v>1</v>
      </c>
      <c r="F42" s="328">
        <v>691877643.15999997</v>
      </c>
      <c r="G42" s="328">
        <v>218695294.04000002</v>
      </c>
      <c r="H42" s="318">
        <f>F42+G42</f>
        <v>910572937.20000005</v>
      </c>
      <c r="I42" s="318"/>
      <c r="J42" s="319">
        <f t="shared" ref="J42:J44" si="11">H42/D42/20</f>
        <v>8.067571716051507</v>
      </c>
      <c r="K42" s="320">
        <f>K13+K16+K24+K30+K36+K40</f>
        <v>1254329.0247967995</v>
      </c>
      <c r="L42" s="319">
        <f t="shared" ref="L42:L44" si="12">H42/K42/20</f>
        <v>36.29721226244893</v>
      </c>
      <c r="M42" s="320">
        <v>1397</v>
      </c>
      <c r="N42" s="318">
        <v>2013710122.205488</v>
      </c>
      <c r="O42" s="318">
        <v>443377367.56</v>
      </c>
      <c r="P42" s="318">
        <f>P13+P16+P24+P30+P36+P40</f>
        <v>2457087489.7654881</v>
      </c>
      <c r="Q42" s="321">
        <f t="shared" ref="Q42:Q49" si="13">H42/P42</f>
        <v>0.37059035992524136</v>
      </c>
      <c r="R42" s="124">
        <v>383725.96</v>
      </c>
      <c r="S42" s="124">
        <f>IFERROR(G42/R42,"")</f>
        <v>569.92572001122892</v>
      </c>
      <c r="T42" s="124">
        <f>IFERROR(O42/R42,"")</f>
        <v>1155.4531456771911</v>
      </c>
      <c r="V42" s="129">
        <f>'[1]BILAN ENR FC F2030 filiere'!$C$42</f>
        <v>5213874.787626924</v>
      </c>
      <c r="W42" s="130">
        <f>(D42-V42)/V42</f>
        <v>8.2383868360078716E-2</v>
      </c>
    </row>
    <row r="43" spans="1:25" s="128" customFormat="1" ht="25.5" hidden="1" customHeight="1" thickBot="1" x14ac:dyDescent="0.3">
      <c r="A43" s="395" t="s">
        <v>45</v>
      </c>
      <c r="B43" s="398"/>
      <c r="C43" s="399"/>
      <c r="D43" s="124">
        <v>3607833.9617767138</v>
      </c>
      <c r="E43" s="125">
        <f t="shared" ref="E43:E44" si="14">D43/$D$42</f>
        <v>0.63929989651881947</v>
      </c>
      <c r="F43" s="126">
        <v>482836616.15999997</v>
      </c>
      <c r="G43" s="126">
        <v>218695294.04000002</v>
      </c>
      <c r="H43" s="126">
        <f>F43+G43</f>
        <v>701531910.20000005</v>
      </c>
      <c r="I43" s="126"/>
      <c r="J43" s="127">
        <f t="shared" si="11"/>
        <v>9.7223419596411205</v>
      </c>
      <c r="K43" s="124">
        <f>K42-K44</f>
        <v>805749.58479679958</v>
      </c>
      <c r="L43" s="127">
        <f t="shared" si="12"/>
        <v>43.53287444615426</v>
      </c>
      <c r="M43" s="124">
        <v>1356</v>
      </c>
      <c r="N43" s="126">
        <v>1546732335.205488</v>
      </c>
      <c r="O43" s="126">
        <v>443377367.56</v>
      </c>
      <c r="P43" s="126">
        <f>P42-P44</f>
        <v>1917216007.7654881</v>
      </c>
      <c r="Q43" s="125">
        <f t="shared" si="13"/>
        <v>0.36591177382126816</v>
      </c>
      <c r="R43" s="124">
        <v>383725.96</v>
      </c>
      <c r="S43" s="124">
        <f>IFERROR(G43/R43,"")</f>
        <v>569.92572001122892</v>
      </c>
      <c r="T43" s="124">
        <f>IFERROR(O43/R43,"")</f>
        <v>1155.4531456771911</v>
      </c>
      <c r="V43" s="129">
        <f>'Synthèse FC uniquement'!U38</f>
        <v>2817539.7876269245</v>
      </c>
      <c r="W43" s="130">
        <f>(D43-V43)/V43</f>
        <v>0.28049086569081438</v>
      </c>
    </row>
    <row r="44" spans="1:25" s="128" customFormat="1" ht="25.5" hidden="1" customHeight="1" thickBot="1" x14ac:dyDescent="0.3">
      <c r="A44" s="395" t="s">
        <v>46</v>
      </c>
      <c r="B44" s="398"/>
      <c r="C44" s="399"/>
      <c r="D44" s="124">
        <v>2035580</v>
      </c>
      <c r="E44" s="125">
        <f t="shared" si="14"/>
        <v>0.36070010348118059</v>
      </c>
      <c r="F44" s="126">
        <v>209041027</v>
      </c>
      <c r="G44" s="126"/>
      <c r="H44" s="126">
        <f t="shared" ref="H44" si="15">SUM(F44:G44)</f>
        <v>209041027</v>
      </c>
      <c r="I44" s="126"/>
      <c r="J44" s="127">
        <f t="shared" si="11"/>
        <v>5.1346797227325869</v>
      </c>
      <c r="K44" s="124">
        <f>K9+K11+K12+K10</f>
        <v>448579.44</v>
      </c>
      <c r="L44" s="127">
        <f t="shared" si="12"/>
        <v>23.300335276177613</v>
      </c>
      <c r="M44" s="124">
        <v>41</v>
      </c>
      <c r="N44" s="126">
        <v>466977787</v>
      </c>
      <c r="O44" s="126">
        <v>0</v>
      </c>
      <c r="P44" s="126">
        <f>P9+P11+P12+P10</f>
        <v>539871482</v>
      </c>
      <c r="Q44" s="125">
        <f t="shared" si="13"/>
        <v>0.38720516635846308</v>
      </c>
      <c r="R44" s="124"/>
      <c r="S44" s="124"/>
      <c r="T44" s="124"/>
      <c r="V44" s="129">
        <f>V9+V11</f>
        <v>2396335</v>
      </c>
      <c r="W44" s="130">
        <f>(D44-V44)/V44</f>
        <v>-0.15054447729553672</v>
      </c>
      <c r="X44" s="131">
        <f>'[1]BILAN ENR FC F2030 filiere (2)'!$D$6+'[1]BILAN ENR FC F2030 filiere (2)'!$D$7</f>
        <v>203429817</v>
      </c>
      <c r="Y44" s="130">
        <f>(F44-X44)/X44</f>
        <v>2.7583026336793097E-2</v>
      </c>
    </row>
    <row r="45" spans="1:25" s="128" customFormat="1" ht="14.25" hidden="1" customHeight="1" thickBot="1" x14ac:dyDescent="0.3">
      <c r="A45" s="132"/>
      <c r="B45" s="132"/>
      <c r="F45" s="133"/>
      <c r="H45" s="133"/>
      <c r="I45" s="133"/>
      <c r="J45" s="134"/>
      <c r="K45" s="133"/>
      <c r="L45" s="134"/>
    </row>
    <row r="46" spans="1:25" s="128" customFormat="1" ht="41.25" hidden="1" customHeight="1" thickBot="1" x14ac:dyDescent="0.3">
      <c r="A46" s="400" t="s">
        <v>47</v>
      </c>
      <c r="B46" s="401"/>
      <c r="C46" s="402"/>
      <c r="D46" s="124"/>
      <c r="E46" s="124"/>
      <c r="F46" s="126"/>
      <c r="G46" s="126"/>
      <c r="H46" s="126">
        <f>'[2]Synthèse répartition budget'!B16</f>
        <v>119780017.66999999</v>
      </c>
      <c r="I46" s="126"/>
      <c r="J46" s="127"/>
      <c r="K46" s="124"/>
      <c r="L46" s="127"/>
      <c r="M46" s="124"/>
      <c r="N46" s="126"/>
      <c r="O46" s="126"/>
      <c r="P46" s="126"/>
      <c r="Q46" s="126"/>
      <c r="R46" s="126"/>
      <c r="S46" s="126"/>
      <c r="T46" s="126"/>
    </row>
    <row r="47" spans="1:25" s="128" customFormat="1" ht="9" hidden="1" customHeight="1" thickBot="1" x14ac:dyDescent="0.3">
      <c r="A47" s="132"/>
      <c r="B47" s="132"/>
      <c r="C47" s="135"/>
      <c r="J47" s="134"/>
      <c r="L47" s="134"/>
    </row>
    <row r="48" spans="1:25" s="128" customFormat="1" ht="41.25" hidden="1" customHeight="1" thickBot="1" x14ac:dyDescent="0.3">
      <c r="A48" s="374" t="s">
        <v>48</v>
      </c>
      <c r="B48" s="375"/>
      <c r="C48" s="376"/>
      <c r="D48" s="124">
        <v>5643413.9617767138</v>
      </c>
      <c r="E48" s="124"/>
      <c r="F48" s="126">
        <v>691877643.15999997</v>
      </c>
      <c r="G48" s="126">
        <v>218695294.04000002</v>
      </c>
      <c r="H48" s="126">
        <f>F48+G48+H46</f>
        <v>1030352954.87</v>
      </c>
      <c r="I48" s="126"/>
      <c r="J48" s="127">
        <f>H48/D48/20</f>
        <v>9.1288089253124216</v>
      </c>
      <c r="K48" s="124">
        <f>K42</f>
        <v>1254329.0247967995</v>
      </c>
      <c r="L48" s="127">
        <f t="shared" ref="L48:L49" si="16">H48/K48/20</f>
        <v>41.071877254730531</v>
      </c>
      <c r="M48" s="124">
        <v>1397</v>
      </c>
      <c r="N48" s="126">
        <v>2013710122.205488</v>
      </c>
      <c r="O48" s="126">
        <v>443377367.56</v>
      </c>
      <c r="P48" s="126">
        <f>P13+P16+P24+P36+P40+P30</f>
        <v>2457087489.7654886</v>
      </c>
      <c r="Q48" s="125">
        <f t="shared" si="13"/>
        <v>0.41933914000284123</v>
      </c>
      <c r="R48" s="124">
        <v>383725.96</v>
      </c>
      <c r="S48" s="124">
        <f t="shared" ref="S48:T49" si="17">S42</f>
        <v>569.92572001122892</v>
      </c>
      <c r="T48" s="124">
        <f t="shared" si="17"/>
        <v>1155.4531456771911</v>
      </c>
    </row>
    <row r="49" spans="1:20" s="128" customFormat="1" ht="27" hidden="1" customHeight="1" thickBot="1" x14ac:dyDescent="0.3">
      <c r="A49" s="374" t="s">
        <v>45</v>
      </c>
      <c r="B49" s="375"/>
      <c r="C49" s="376"/>
      <c r="D49" s="124">
        <v>3607833.9617767138</v>
      </c>
      <c r="E49" s="124"/>
      <c r="F49" s="126">
        <v>482836616.15999997</v>
      </c>
      <c r="G49" s="126">
        <v>218695294.04000002</v>
      </c>
      <c r="H49" s="126">
        <f>F49+G49+H46</f>
        <v>821311927.87</v>
      </c>
      <c r="I49" s="126"/>
      <c r="J49" s="127">
        <f>H49/D49/20</f>
        <v>11.382340991456502</v>
      </c>
      <c r="K49" s="124">
        <f>K43</f>
        <v>805749.58479679958</v>
      </c>
      <c r="L49" s="127">
        <f t="shared" si="16"/>
        <v>50.965705931894774</v>
      </c>
      <c r="M49" s="124">
        <v>1356</v>
      </c>
      <c r="N49" s="126">
        <v>1546732335.205488</v>
      </c>
      <c r="O49" s="126">
        <v>443377367.56</v>
      </c>
      <c r="P49" s="126">
        <f>P48-P44</f>
        <v>1917216007.7654886</v>
      </c>
      <c r="Q49" s="125">
        <f t="shared" si="13"/>
        <v>0.428387789661342</v>
      </c>
      <c r="R49" s="124">
        <v>383725.96</v>
      </c>
      <c r="S49" s="124">
        <f t="shared" si="17"/>
        <v>569.92572001122892</v>
      </c>
      <c r="T49" s="124">
        <f t="shared" si="17"/>
        <v>1155.4531456771911</v>
      </c>
    </row>
    <row r="50" spans="1:20" s="121" customFormat="1" x14ac:dyDescent="0.25">
      <c r="A50" s="120"/>
      <c r="B50" s="120"/>
    </row>
    <row r="51" spans="1:20" s="121" customFormat="1" x14ac:dyDescent="0.25">
      <c r="A51" s="120"/>
      <c r="B51" s="120"/>
      <c r="H51" s="136"/>
      <c r="K51" s="423">
        <f>K41/2.394</f>
        <v>523946.96106800309</v>
      </c>
    </row>
    <row r="52" spans="1:20" s="121" customFormat="1" x14ac:dyDescent="0.25">
      <c r="A52" s="120"/>
      <c r="B52" s="120"/>
      <c r="D52" s="137">
        <v>5255529.9617767138</v>
      </c>
    </row>
    <row r="53" spans="1:20" s="121" customFormat="1" x14ac:dyDescent="0.25">
      <c r="A53" s="120"/>
      <c r="B53" s="120"/>
      <c r="D53" s="137">
        <v>1419701</v>
      </c>
    </row>
    <row r="54" spans="1:20" s="121" customFormat="1" x14ac:dyDescent="0.25">
      <c r="A54" s="120"/>
      <c r="B54" s="120"/>
      <c r="D54" s="137">
        <v>24690</v>
      </c>
      <c r="K54" s="121" t="s">
        <v>81</v>
      </c>
    </row>
    <row r="55" spans="1:20" s="121" customFormat="1" x14ac:dyDescent="0.25">
      <c r="A55" s="120"/>
      <c r="B55" s="120"/>
      <c r="K55" s="121" t="s">
        <v>82</v>
      </c>
    </row>
    <row r="56" spans="1:20" s="121" customFormat="1" x14ac:dyDescent="0.25">
      <c r="A56" s="120"/>
      <c r="B56" s="120"/>
      <c r="K56" s="121" t="s">
        <v>83</v>
      </c>
    </row>
    <row r="57" spans="1:20" s="121" customFormat="1" x14ac:dyDescent="0.25">
      <c r="A57" s="120"/>
      <c r="B57" s="120"/>
      <c r="K57" s="423">
        <f>K41/0.227</f>
        <v>5525678.5233339183</v>
      </c>
      <c r="L57" s="423">
        <f>K57*48.58</f>
        <v>268437462.66356176</v>
      </c>
    </row>
    <row r="58" spans="1:20" s="121" customFormat="1" x14ac:dyDescent="0.25">
      <c r="A58" s="120"/>
      <c r="B58" s="120"/>
    </row>
    <row r="59" spans="1:20" s="121" customFormat="1" x14ac:dyDescent="0.25">
      <c r="A59" s="120"/>
      <c r="B59" s="120"/>
      <c r="K59" s="121">
        <f>3463/910.5</f>
        <v>3.8034047226798462</v>
      </c>
    </row>
    <row r="60" spans="1:20" s="121" customFormat="1" x14ac:dyDescent="0.25">
      <c r="A60" s="120"/>
      <c r="B60" s="120"/>
    </row>
    <row r="61" spans="1:20" s="121" customFormat="1" x14ac:dyDescent="0.25">
      <c r="A61" s="120"/>
      <c r="B61" s="120"/>
    </row>
    <row r="66" spans="1:4" x14ac:dyDescent="0.25">
      <c r="C66" t="s">
        <v>0</v>
      </c>
      <c r="D66" t="s">
        <v>49</v>
      </c>
    </row>
    <row r="67" spans="1:4" x14ac:dyDescent="0.25">
      <c r="A67" s="10" t="s">
        <v>15</v>
      </c>
      <c r="C67" s="138">
        <f>D13</f>
        <v>4476503.7294935649</v>
      </c>
      <c r="D67" s="139">
        <v>829</v>
      </c>
    </row>
    <row r="68" spans="1:4" x14ac:dyDescent="0.25">
      <c r="A68" s="10" t="s">
        <v>27</v>
      </c>
      <c r="C68" s="138">
        <f>D16</f>
        <v>465671</v>
      </c>
      <c r="D68" s="139">
        <v>9</v>
      </c>
    </row>
    <row r="69" spans="1:4" x14ac:dyDescent="0.25">
      <c r="A69" s="10" t="s">
        <v>29</v>
      </c>
      <c r="C69" s="138">
        <f>D24</f>
        <v>96026.130270380323</v>
      </c>
      <c r="D69" s="139">
        <v>324</v>
      </c>
    </row>
    <row r="70" spans="1:4" x14ac:dyDescent="0.25">
      <c r="A70" s="10" t="s">
        <v>34</v>
      </c>
      <c r="C70" s="138">
        <f>D30</f>
        <v>11083.620630072237</v>
      </c>
      <c r="D70" s="139">
        <v>170</v>
      </c>
    </row>
    <row r="71" spans="1:4" ht="30" x14ac:dyDescent="0.25">
      <c r="A71" s="10" t="s">
        <v>37</v>
      </c>
      <c r="C71" s="138">
        <f>D36</f>
        <v>289598.48138269619</v>
      </c>
      <c r="D71" s="139">
        <v>32</v>
      </c>
    </row>
    <row r="72" spans="1:4" x14ac:dyDescent="0.25">
      <c r="A72" s="10" t="s">
        <v>41</v>
      </c>
      <c r="C72" s="138">
        <f>D40</f>
        <v>304531</v>
      </c>
      <c r="D72" s="139">
        <v>33</v>
      </c>
    </row>
    <row r="79" spans="1:4" x14ac:dyDescent="0.25">
      <c r="A79" s="10" t="s">
        <v>50</v>
      </c>
    </row>
    <row r="80" spans="1:4" x14ac:dyDescent="0.25">
      <c r="A80" s="10" t="s">
        <v>15</v>
      </c>
    </row>
    <row r="81" spans="1:1" x14ac:dyDescent="0.25">
      <c r="A81" s="10" t="s">
        <v>27</v>
      </c>
    </row>
    <row r="82" spans="1:1" x14ac:dyDescent="0.25">
      <c r="A82" s="10" t="s">
        <v>29</v>
      </c>
    </row>
    <row r="83" spans="1:1" x14ac:dyDescent="0.25">
      <c r="A83" s="10" t="s">
        <v>34</v>
      </c>
    </row>
    <row r="84" spans="1:1" ht="30" x14ac:dyDescent="0.25">
      <c r="A84" s="10" t="s">
        <v>37</v>
      </c>
    </row>
    <row r="85" spans="1:1" x14ac:dyDescent="0.25">
      <c r="A85" s="10" t="s">
        <v>41</v>
      </c>
    </row>
    <row r="100" spans="3:3" x14ac:dyDescent="0.25">
      <c r="C100" t="s">
        <v>51</v>
      </c>
    </row>
  </sheetData>
  <mergeCells count="12">
    <mergeCell ref="A49:C49"/>
    <mergeCell ref="A2:A13"/>
    <mergeCell ref="A14:A16"/>
    <mergeCell ref="A17:A24"/>
    <mergeCell ref="A25:A30"/>
    <mergeCell ref="A31:A36"/>
    <mergeCell ref="A37:A40"/>
    <mergeCell ref="A42:C42"/>
    <mergeCell ref="A43:C43"/>
    <mergeCell ref="A44:C44"/>
    <mergeCell ref="A46:C46"/>
    <mergeCell ref="A48:C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3218-FF18-467D-8763-F16CA20EE243}">
  <sheetPr>
    <tabColor rgb="FF00B050"/>
  </sheetPr>
  <dimension ref="A1:Y80"/>
  <sheetViews>
    <sheetView topLeftCell="C30" workbookViewId="0">
      <selection activeCell="G24" sqref="G24"/>
    </sheetView>
  </sheetViews>
  <sheetFormatPr baseColWidth="10" defaultColWidth="11.42578125" defaultRowHeight="15" x14ac:dyDescent="0.25"/>
  <cols>
    <col min="1" max="1" width="20.5703125" style="10" customWidth="1"/>
    <col min="2" max="2" width="34.28515625" customWidth="1"/>
    <col min="3" max="3" width="20.85546875" customWidth="1"/>
    <col min="4" max="4" width="17.42578125" customWidth="1"/>
    <col min="5" max="5" width="18.28515625" customWidth="1"/>
    <col min="6" max="6" width="18" customWidth="1"/>
    <col min="7" max="7" width="19.7109375" customWidth="1"/>
    <col min="8" max="8" width="10.85546875" customWidth="1"/>
    <col min="9" max="12" width="14.5703125" customWidth="1"/>
    <col min="13" max="13" width="24.7109375" customWidth="1"/>
    <col min="14" max="14" width="22.7109375" customWidth="1"/>
    <col min="15" max="15" width="25.42578125" customWidth="1"/>
    <col min="17" max="17" width="15.140625" customWidth="1"/>
    <col min="18" max="18" width="14.42578125" customWidth="1"/>
    <col min="19" max="19" width="16.7109375" customWidth="1"/>
    <col min="21" max="21" width="19.85546875" customWidth="1"/>
    <col min="24" max="24" width="15.140625" customWidth="1"/>
    <col min="25" max="25" width="13.28515625" bestFit="1" customWidth="1"/>
  </cols>
  <sheetData>
    <row r="1" spans="1:22" s="10" customFormat="1" ht="29.25" customHeight="1" thickBot="1" x14ac:dyDescent="0.45">
      <c r="A1" s="1"/>
      <c r="B1" s="2"/>
      <c r="C1" s="3" t="s">
        <v>0</v>
      </c>
      <c r="D1" s="3" t="s">
        <v>52</v>
      </c>
      <c r="E1" s="3" t="s">
        <v>1</v>
      </c>
      <c r="F1" s="4" t="s">
        <v>2</v>
      </c>
      <c r="G1" s="4" t="s">
        <v>3</v>
      </c>
      <c r="H1" s="5" t="s">
        <v>53</v>
      </c>
      <c r="I1" s="5" t="s">
        <v>4</v>
      </c>
      <c r="J1" s="5" t="s">
        <v>5</v>
      </c>
      <c r="K1" s="5" t="s">
        <v>6</v>
      </c>
      <c r="L1" s="5" t="s">
        <v>7</v>
      </c>
      <c r="M1" s="6" t="s">
        <v>8</v>
      </c>
      <c r="N1" s="6" t="s">
        <v>9</v>
      </c>
      <c r="O1" s="7" t="s">
        <v>10</v>
      </c>
      <c r="P1" s="7" t="s">
        <v>11</v>
      </c>
      <c r="Q1" s="8" t="s">
        <v>12</v>
      </c>
      <c r="R1" s="8" t="s">
        <v>13</v>
      </c>
      <c r="S1" s="8" t="s">
        <v>54</v>
      </c>
      <c r="T1"/>
      <c r="U1" s="140">
        <v>2023</v>
      </c>
    </row>
    <row r="2" spans="1:22" x14ac:dyDescent="0.25">
      <c r="A2" s="405" t="s">
        <v>15</v>
      </c>
      <c r="B2" s="11" t="s">
        <v>16</v>
      </c>
      <c r="C2" s="12">
        <v>804809</v>
      </c>
      <c r="D2" s="13">
        <v>0.22307262710162631</v>
      </c>
      <c r="E2" s="14">
        <v>130691391.74000001</v>
      </c>
      <c r="F2" s="14">
        <v>78451072.240000024</v>
      </c>
      <c r="G2" s="14">
        <v>209142463.98000002</v>
      </c>
      <c r="H2" s="15">
        <v>0.25464437673807139</v>
      </c>
      <c r="I2" s="16">
        <v>12.993298035931508</v>
      </c>
      <c r="J2" s="12">
        <v>179740.6766666667</v>
      </c>
      <c r="K2" s="16">
        <v>58.178946429544055</v>
      </c>
      <c r="L2" s="17">
        <v>79</v>
      </c>
      <c r="M2" s="141">
        <v>367070614.86000013</v>
      </c>
      <c r="N2" s="141">
        <v>186224491.79999998</v>
      </c>
      <c r="O2" s="141">
        <v>553295106.66000009</v>
      </c>
      <c r="P2" s="142">
        <v>0.37799442189630295</v>
      </c>
      <c r="Q2" s="143">
        <v>165284</v>
      </c>
      <c r="R2" s="143">
        <v>474.64408073376751</v>
      </c>
      <c r="S2" s="143">
        <v>1126.6940042593353</v>
      </c>
      <c r="U2" s="12">
        <f>'[1]BILAN ENR FC'!$C$3</f>
        <v>586091</v>
      </c>
      <c r="V2" s="144">
        <f t="shared" ref="V2:V8" si="0">(C2-U2)/U2</f>
        <v>0.37318095654087846</v>
      </c>
    </row>
    <row r="3" spans="1:22" x14ac:dyDescent="0.25">
      <c r="A3" s="406"/>
      <c r="B3" s="18" t="s">
        <v>17</v>
      </c>
      <c r="C3" s="19">
        <v>678682</v>
      </c>
      <c r="D3" s="20">
        <v>0.18811342406283471</v>
      </c>
      <c r="E3" s="21">
        <v>48669390</v>
      </c>
      <c r="F3" s="21">
        <v>4799600</v>
      </c>
      <c r="G3" s="21">
        <v>53468990</v>
      </c>
      <c r="H3" s="22">
        <v>6.5101928007629331E-2</v>
      </c>
      <c r="I3" s="23">
        <v>3.9391784370294189</v>
      </c>
      <c r="J3" s="19">
        <v>151572.31333333335</v>
      </c>
      <c r="K3" s="23">
        <v>17.638112404609338</v>
      </c>
      <c r="L3" s="24">
        <v>18</v>
      </c>
      <c r="M3" s="145">
        <v>168296675.74000001</v>
      </c>
      <c r="N3" s="145">
        <v>10309247.189999999</v>
      </c>
      <c r="O3" s="145">
        <v>178605922.93000001</v>
      </c>
      <c r="P3" s="146">
        <v>0.29936851546046317</v>
      </c>
      <c r="Q3" s="147">
        <v>5402</v>
      </c>
      <c r="R3" s="147">
        <v>888.48574601999258</v>
      </c>
      <c r="S3" s="147">
        <v>1908.4130303591262</v>
      </c>
      <c r="U3" s="19">
        <f>'[1]BILAN ENR FC'!$C$4</f>
        <v>354639</v>
      </c>
      <c r="V3" s="144">
        <f>(C3+C4-U3)/U3</f>
        <v>2.3087646874709211</v>
      </c>
    </row>
    <row r="4" spans="1:22" x14ac:dyDescent="0.25">
      <c r="A4" s="406"/>
      <c r="B4" s="18" t="s">
        <v>18</v>
      </c>
      <c r="C4" s="19">
        <v>494735</v>
      </c>
      <c r="D4" s="20">
        <v>0.13712798461389361</v>
      </c>
      <c r="E4" s="21">
        <v>44305900</v>
      </c>
      <c r="F4" s="21"/>
      <c r="G4" s="21">
        <v>44305900</v>
      </c>
      <c r="H4" s="22">
        <v>5.3945277666797603E-2</v>
      </c>
      <c r="I4" s="23">
        <v>4.4777406086086495</v>
      </c>
      <c r="J4" s="19">
        <v>110490.81666666667</v>
      </c>
      <c r="K4" s="23">
        <v>20.049584814665593</v>
      </c>
      <c r="L4" s="24">
        <v>6</v>
      </c>
      <c r="M4" s="145">
        <v>116422878</v>
      </c>
      <c r="N4" s="145"/>
      <c r="O4" s="145">
        <v>116422878</v>
      </c>
      <c r="P4" s="146">
        <v>0.38056008201412095</v>
      </c>
      <c r="Q4" s="147"/>
      <c r="R4" s="147" t="s">
        <v>79</v>
      </c>
      <c r="S4" s="147" t="s">
        <v>79</v>
      </c>
      <c r="U4" s="19"/>
      <c r="V4" s="144"/>
    </row>
    <row r="5" spans="1:22" x14ac:dyDescent="0.25">
      <c r="A5" s="406"/>
      <c r="B5" s="18" t="s">
        <v>19</v>
      </c>
      <c r="C5" s="19">
        <v>182630</v>
      </c>
      <c r="D5" s="20">
        <v>5.0620400477094582E-2</v>
      </c>
      <c r="E5" s="21"/>
      <c r="F5" s="21">
        <v>68355918.549999997</v>
      </c>
      <c r="G5" s="21">
        <v>68355918.549999997</v>
      </c>
      <c r="H5" s="22">
        <v>8.3227719250681079E-2</v>
      </c>
      <c r="I5" s="23">
        <v>18.714318170618188</v>
      </c>
      <c r="J5" s="19">
        <v>40787.366666666669</v>
      </c>
      <c r="K5" s="23">
        <v>83.795454495305322</v>
      </c>
      <c r="L5" s="24">
        <v>20</v>
      </c>
      <c r="M5" s="145"/>
      <c r="N5" s="145">
        <v>171349810.36000001</v>
      </c>
      <c r="O5" s="145">
        <v>171349810.36000001</v>
      </c>
      <c r="P5" s="146">
        <v>0.39892614066153081</v>
      </c>
      <c r="Q5" s="147">
        <v>90126.399999999994</v>
      </c>
      <c r="R5" s="147">
        <v>758.44501222727195</v>
      </c>
      <c r="S5" s="147">
        <v>1901.2166286459908</v>
      </c>
      <c r="U5" s="19">
        <f>'[1]BILAN ENR FC'!$C5</f>
        <v>82647</v>
      </c>
      <c r="V5" s="144">
        <f t="shared" si="0"/>
        <v>1.2097595799000569</v>
      </c>
    </row>
    <row r="6" spans="1:22" x14ac:dyDescent="0.25">
      <c r="A6" s="406"/>
      <c r="B6" s="18" t="s">
        <v>20</v>
      </c>
      <c r="C6" s="19">
        <v>10079</v>
      </c>
      <c r="D6" s="20">
        <v>2.7936429743669511E-3</v>
      </c>
      <c r="E6" s="21">
        <v>3943810</v>
      </c>
      <c r="F6" s="21"/>
      <c r="G6" s="21">
        <v>3943810</v>
      </c>
      <c r="H6" s="22">
        <v>4.8018418656452762E-3</v>
      </c>
      <c r="I6" s="23">
        <v>19.564490524853657</v>
      </c>
      <c r="J6" s="19">
        <v>2250.9766666666669</v>
      </c>
      <c r="K6" s="23">
        <v>87.602196379941731</v>
      </c>
      <c r="L6" s="24">
        <v>19</v>
      </c>
      <c r="M6" s="145">
        <v>12708200.869777106</v>
      </c>
      <c r="N6" s="145"/>
      <c r="O6" s="145">
        <v>12708200.869777106</v>
      </c>
      <c r="P6" s="146">
        <v>0.3103358249065174</v>
      </c>
      <c r="Q6" s="147"/>
      <c r="R6" s="147" t="s">
        <v>79</v>
      </c>
      <c r="S6" s="147" t="s">
        <v>79</v>
      </c>
      <c r="U6" s="19">
        <f>'[1]BILAN ENR FC'!$C6</f>
        <v>16054</v>
      </c>
      <c r="V6" s="144">
        <f t="shared" si="0"/>
        <v>-0.37218138781612059</v>
      </c>
    </row>
    <row r="7" spans="1:22" x14ac:dyDescent="0.25">
      <c r="A7" s="406"/>
      <c r="B7" s="18" t="s">
        <v>21</v>
      </c>
      <c r="C7" s="19">
        <v>6562</v>
      </c>
      <c r="D7" s="20">
        <v>1.8188198430197375E-3</v>
      </c>
      <c r="E7" s="21">
        <v>2377120.56</v>
      </c>
      <c r="F7" s="21"/>
      <c r="G7" s="21">
        <v>2377120.56</v>
      </c>
      <c r="H7" s="22">
        <v>2.8942968917605423E-3</v>
      </c>
      <c r="I7" s="23">
        <v>18.112774763791528</v>
      </c>
      <c r="J7" s="19">
        <v>1465.5133333333335</v>
      </c>
      <c r="K7" s="23">
        <v>81.101976554290417</v>
      </c>
      <c r="L7" s="24">
        <v>53</v>
      </c>
      <c r="M7" s="145">
        <v>4948468.874022726</v>
      </c>
      <c r="N7" s="145"/>
      <c r="O7" s="145">
        <v>4948468.874022726</v>
      </c>
      <c r="P7" s="146">
        <v>0.4803749645630454</v>
      </c>
      <c r="Q7" s="147"/>
      <c r="R7" s="147" t="s">
        <v>79</v>
      </c>
      <c r="S7" s="147" t="s">
        <v>79</v>
      </c>
      <c r="U7" s="19">
        <f>'[1]BILAN ENR FC'!$C8</f>
        <v>5488</v>
      </c>
      <c r="V7" s="144">
        <f t="shared" si="0"/>
        <v>0.19569970845481049</v>
      </c>
    </row>
    <row r="8" spans="1:22" x14ac:dyDescent="0.25">
      <c r="A8" s="406"/>
      <c r="B8" s="25" t="s">
        <v>22</v>
      </c>
      <c r="C8" s="26">
        <v>263426.72949356516</v>
      </c>
      <c r="D8" s="27">
        <v>7.301520310647501E-2</v>
      </c>
      <c r="E8" s="28">
        <v>98229488.00881727</v>
      </c>
      <c r="F8" s="28"/>
      <c r="G8" s="28">
        <v>98229488.00881727</v>
      </c>
      <c r="H8" s="29">
        <v>0.11960070793512857</v>
      </c>
      <c r="I8" s="30">
        <v>18.644555963941535</v>
      </c>
      <c r="J8" s="26">
        <v>58831.969586896223</v>
      </c>
      <c r="K8" s="30">
        <v>83.483086405708349</v>
      </c>
      <c r="L8" s="31">
        <v>592</v>
      </c>
      <c r="M8" s="148">
        <v>196458976.01763454</v>
      </c>
      <c r="O8" s="148">
        <v>196458976.01763454</v>
      </c>
      <c r="P8" s="149">
        <v>0.5</v>
      </c>
      <c r="Q8" s="150"/>
      <c r="R8" s="150" t="s">
        <v>79</v>
      </c>
      <c r="S8" s="150" t="s">
        <v>79</v>
      </c>
      <c r="U8" s="12">
        <f>'[1]BILAN ENR FC'!$C7</f>
        <v>290700.24304952245</v>
      </c>
      <c r="V8" s="144">
        <f t="shared" si="0"/>
        <v>-9.3820057629986561E-2</v>
      </c>
    </row>
    <row r="9" spans="1:22" ht="18.75" x14ac:dyDescent="0.3">
      <c r="A9" s="407"/>
      <c r="B9" s="32"/>
      <c r="C9" s="42">
        <v>2440923.7294935649</v>
      </c>
      <c r="D9" s="43">
        <v>0.6765621021793109</v>
      </c>
      <c r="E9" s="44">
        <v>328217100.30881727</v>
      </c>
      <c r="F9" s="44">
        <v>151606590.79000002</v>
      </c>
      <c r="G9" s="44">
        <v>479823691.09881729</v>
      </c>
      <c r="H9" s="45">
        <v>0.58421614835571378</v>
      </c>
      <c r="I9" s="46">
        <v>9.8287317481724337</v>
      </c>
      <c r="J9" s="42">
        <v>545139.63292022957</v>
      </c>
      <c r="K9" s="46">
        <v>44.009246633607908</v>
      </c>
      <c r="L9" s="47">
        <v>787</v>
      </c>
      <c r="M9" s="151">
        <v>865905814.36143446</v>
      </c>
      <c r="N9" s="151">
        <v>367883549.35000002</v>
      </c>
      <c r="O9" s="152">
        <v>1233789363.7114344</v>
      </c>
      <c r="P9" s="153">
        <v>0.38890243765388882</v>
      </c>
      <c r="Q9" s="151">
        <v>260812.4</v>
      </c>
      <c r="R9" s="151">
        <v>581.28597716212892</v>
      </c>
      <c r="S9" s="151">
        <v>1410.5293665101815</v>
      </c>
      <c r="U9" s="42">
        <f>'[1]BILAN ENR FC'!$D$3+'[1]BILAN ENR FC'!$D$28/2</f>
        <v>1345268.7430495224</v>
      </c>
      <c r="V9" s="154">
        <f>(C9-U9)/U9</f>
        <v>0.81445063828685793</v>
      </c>
    </row>
    <row r="10" spans="1:22" x14ac:dyDescent="0.25">
      <c r="A10" s="408" t="s">
        <v>27</v>
      </c>
      <c r="B10" s="48" t="s">
        <v>28</v>
      </c>
      <c r="C10" s="49">
        <v>461085</v>
      </c>
      <c r="D10" s="50">
        <v>0.12780105871971284</v>
      </c>
      <c r="E10" s="51">
        <v>63878451</v>
      </c>
      <c r="F10" s="51">
        <v>43756220</v>
      </c>
      <c r="G10" s="51">
        <v>107634671</v>
      </c>
      <c r="H10" s="52">
        <v>0.13105212203497518</v>
      </c>
      <c r="I10" s="53">
        <v>11.671890323909908</v>
      </c>
      <c r="J10" s="49">
        <v>102975.65</v>
      </c>
      <c r="K10" s="53">
        <v>52.262195480193625</v>
      </c>
      <c r="L10" s="54">
        <v>7</v>
      </c>
      <c r="M10" s="155">
        <v>212531923.93000001</v>
      </c>
      <c r="N10" s="155"/>
      <c r="O10" s="155">
        <v>212531923.93000001</v>
      </c>
      <c r="P10" s="156">
        <v>0.50644001620881574</v>
      </c>
      <c r="Q10" s="157">
        <v>76601</v>
      </c>
      <c r="R10" s="157">
        <v>571.22256889596747</v>
      </c>
      <c r="S10" s="157">
        <v>0</v>
      </c>
      <c r="U10" s="49">
        <f>'[1]BILAN ENR FC'!$C$9</f>
        <v>205339</v>
      </c>
      <c r="V10" s="144">
        <f t="shared" ref="V10:V38" si="1">(C10-U10)/U10</f>
        <v>1.2454818617018686</v>
      </c>
    </row>
    <row r="11" spans="1:22" x14ac:dyDescent="0.25">
      <c r="A11" s="409"/>
      <c r="B11" s="48" t="s">
        <v>19</v>
      </c>
      <c r="C11" s="49">
        <v>4586</v>
      </c>
      <c r="D11" s="50">
        <v>1.2711227979409503E-3</v>
      </c>
      <c r="E11" s="51"/>
      <c r="F11" s="51">
        <v>536173.9</v>
      </c>
      <c r="G11" s="51">
        <v>536173.9</v>
      </c>
      <c r="H11" s="52">
        <v>6.5282614534835706E-4</v>
      </c>
      <c r="I11" s="53">
        <v>5.8457686436982126</v>
      </c>
      <c r="J11" s="49">
        <v>1024.2066666666667</v>
      </c>
      <c r="K11" s="53">
        <v>26.175083479245721</v>
      </c>
      <c r="L11" s="54">
        <v>2</v>
      </c>
      <c r="M11" s="155"/>
      <c r="N11" s="155">
        <v>5026474.21</v>
      </c>
      <c r="O11" s="155">
        <v>5026474.21</v>
      </c>
      <c r="P11" s="156">
        <v>0.10666997931339232</v>
      </c>
      <c r="Q11" s="157">
        <v>1327</v>
      </c>
      <c r="R11" s="157">
        <v>404.04966088922384</v>
      </c>
      <c r="S11" s="157">
        <v>3787.8479351921628</v>
      </c>
      <c r="U11" s="49">
        <f>'[1]BILAN ENR FC'!$C$10</f>
        <v>17568</v>
      </c>
      <c r="V11" s="144">
        <f t="shared" si="1"/>
        <v>-0.73895719489981782</v>
      </c>
    </row>
    <row r="12" spans="1:22" ht="18.75" x14ac:dyDescent="0.3">
      <c r="A12" s="410"/>
      <c r="B12" s="48"/>
      <c r="C12" s="55">
        <v>465671</v>
      </c>
      <c r="D12" s="56">
        <v>0.12907218151765379</v>
      </c>
      <c r="E12" s="57">
        <v>63878451</v>
      </c>
      <c r="F12" s="57">
        <v>44292393.899999999</v>
      </c>
      <c r="G12" s="57">
        <v>108170844.90000001</v>
      </c>
      <c r="H12" s="58">
        <v>0.13170494818032355</v>
      </c>
      <c r="I12" s="59">
        <v>11.614513776893988</v>
      </c>
      <c r="J12" s="55">
        <v>103999.85666666666</v>
      </c>
      <c r="K12" s="59">
        <v>52.005285568182032</v>
      </c>
      <c r="L12" s="60">
        <v>9</v>
      </c>
      <c r="M12" s="158">
        <v>212531923.93000001</v>
      </c>
      <c r="N12" s="158">
        <v>5026474.21</v>
      </c>
      <c r="O12" s="159">
        <v>217558398.14000002</v>
      </c>
      <c r="P12" s="160">
        <v>0.49720372012663688</v>
      </c>
      <c r="Q12" s="158">
        <v>77928</v>
      </c>
      <c r="R12" s="158">
        <v>568.3758584847551</v>
      </c>
      <c r="S12" s="158">
        <v>64.501516913047936</v>
      </c>
      <c r="U12" s="55">
        <f>'[1]BILAN ENR FC'!$D$9</f>
        <v>222907</v>
      </c>
      <c r="V12" s="154">
        <f t="shared" si="1"/>
        <v>1.0890819938359944</v>
      </c>
    </row>
    <row r="13" spans="1:22" x14ac:dyDescent="0.25">
      <c r="A13" s="411" t="s">
        <v>29</v>
      </c>
      <c r="B13" s="61" t="s">
        <v>30</v>
      </c>
      <c r="C13" s="62">
        <v>20744.3</v>
      </c>
      <c r="D13" s="63">
        <v>5.7497934272408317E-3</v>
      </c>
      <c r="E13" s="64">
        <v>7671942.0300000003</v>
      </c>
      <c r="F13" s="64">
        <v>974425</v>
      </c>
      <c r="G13" s="64">
        <v>8646367.0300000012</v>
      </c>
      <c r="H13" s="67">
        <v>1.0527506951498428E-2</v>
      </c>
      <c r="I13" s="65">
        <v>20.840344166831375</v>
      </c>
      <c r="J13" s="62">
        <v>4632.8936666666668</v>
      </c>
      <c r="K13" s="65">
        <v>93.31497388133451</v>
      </c>
      <c r="L13" s="66">
        <v>34</v>
      </c>
      <c r="M13" s="161">
        <v>28075360.929999996</v>
      </c>
      <c r="N13" s="161">
        <v>3019063.91</v>
      </c>
      <c r="O13" s="161">
        <v>31094424.839999996</v>
      </c>
      <c r="P13" s="162">
        <v>0.27806808051574827</v>
      </c>
      <c r="Q13" s="163">
        <v>1851</v>
      </c>
      <c r="R13" s="163">
        <v>526.43165856293899</v>
      </c>
      <c r="S13" s="163">
        <v>1631.0447920043221</v>
      </c>
      <c r="U13" s="62">
        <f>'[1]BILAN ENR FC'!$C$11</f>
        <v>78549.61</v>
      </c>
      <c r="V13" s="144">
        <f t="shared" si="1"/>
        <v>-0.73590830049951872</v>
      </c>
    </row>
    <row r="14" spans="1:22" x14ac:dyDescent="0.25">
      <c r="A14" s="412"/>
      <c r="B14" s="61" t="s">
        <v>31</v>
      </c>
      <c r="C14" s="62">
        <v>14248.79</v>
      </c>
      <c r="D14" s="63">
        <v>3.949402924568913E-3</v>
      </c>
      <c r="E14" s="64">
        <v>11811353.710000001</v>
      </c>
      <c r="F14" s="64">
        <v>71280</v>
      </c>
      <c r="G14" s="64">
        <v>11882633.710000001</v>
      </c>
      <c r="H14" s="67">
        <v>1.4467869401113607E-2</v>
      </c>
      <c r="I14" s="65">
        <v>41.696992200741256</v>
      </c>
      <c r="J14" s="62">
        <v>3182.2297666666668</v>
      </c>
      <c r="K14" s="65">
        <v>186.70295015257278</v>
      </c>
      <c r="L14" s="66">
        <v>87</v>
      </c>
      <c r="M14" s="161">
        <v>42339339.810000002</v>
      </c>
      <c r="N14" s="161">
        <v>158400</v>
      </c>
      <c r="O14" s="161">
        <v>42497739.810000002</v>
      </c>
      <c r="P14" s="162">
        <v>0.27960625113535892</v>
      </c>
      <c r="Q14" s="163">
        <v>260</v>
      </c>
      <c r="R14" s="163">
        <v>274.15384615384613</v>
      </c>
      <c r="S14" s="163">
        <v>609.23076923076928</v>
      </c>
      <c r="U14" s="62">
        <f>'[1]BILAN ENR FC'!$C12</f>
        <v>9113.6899999999987</v>
      </c>
      <c r="V14" s="144">
        <f t="shared" si="1"/>
        <v>0.56344905301804238</v>
      </c>
    </row>
    <row r="15" spans="1:22" x14ac:dyDescent="0.25">
      <c r="A15" s="412"/>
      <c r="B15" s="61" t="s">
        <v>32</v>
      </c>
      <c r="C15" s="62">
        <v>8763</v>
      </c>
      <c r="D15" s="63">
        <v>2.4288811771383664E-3</v>
      </c>
      <c r="E15" s="64">
        <v>4987475.0999999996</v>
      </c>
      <c r="F15" s="64">
        <v>1424550</v>
      </c>
      <c r="G15" s="64">
        <v>6412025.0999999996</v>
      </c>
      <c r="H15" s="67">
        <v>7.8070522080800897E-3</v>
      </c>
      <c r="I15" s="65">
        <v>36.585787401574798</v>
      </c>
      <c r="J15" s="62">
        <v>1957.07</v>
      </c>
      <c r="K15" s="65">
        <v>163.81695851451406</v>
      </c>
      <c r="L15" s="66">
        <v>4</v>
      </c>
      <c r="M15" s="161">
        <v>12773297</v>
      </c>
      <c r="N15" s="161">
        <v>3713880</v>
      </c>
      <c r="O15" s="161">
        <v>16487177</v>
      </c>
      <c r="P15" s="162">
        <v>0.38890982367690963</v>
      </c>
      <c r="Q15" s="163">
        <v>3315</v>
      </c>
      <c r="R15" s="163">
        <v>429.72850678733033</v>
      </c>
      <c r="S15" s="163">
        <v>1120.3257918552035</v>
      </c>
      <c r="U15" s="62">
        <f>'[1]BILAN ENR FC'!$C13</f>
        <v>12295</v>
      </c>
      <c r="V15" s="144">
        <f t="shared" si="1"/>
        <v>-0.28727124847498986</v>
      </c>
    </row>
    <row r="16" spans="1:22" x14ac:dyDescent="0.25">
      <c r="A16" s="412"/>
      <c r="B16" s="61" t="s">
        <v>19</v>
      </c>
      <c r="C16" s="62">
        <v>16972</v>
      </c>
      <c r="D16" s="63">
        <v>4.7042076159297449E-3</v>
      </c>
      <c r="E16" s="64"/>
      <c r="F16" s="64">
        <v>1068771</v>
      </c>
      <c r="G16" s="64">
        <v>1068771</v>
      </c>
      <c r="H16" s="67">
        <v>1.3012973070679287E-3</v>
      </c>
      <c r="I16" s="65">
        <v>3.1486300966297431</v>
      </c>
      <c r="J16" s="62">
        <v>3790.4133333333334</v>
      </c>
      <c r="K16" s="65">
        <v>14.098343716252581</v>
      </c>
      <c r="L16" s="66">
        <v>1</v>
      </c>
      <c r="M16" s="161"/>
      <c r="N16" s="161">
        <v>7585331.8200000003</v>
      </c>
      <c r="O16" s="161">
        <v>7585331.8200000003</v>
      </c>
      <c r="P16" s="162">
        <v>0.1408997029216317</v>
      </c>
      <c r="Q16" s="163">
        <v>2859</v>
      </c>
      <c r="R16" s="163">
        <v>373.82686253934941</v>
      </c>
      <c r="S16" s="163">
        <v>2653.1415949632742</v>
      </c>
      <c r="U16" s="62">
        <v>0</v>
      </c>
      <c r="V16" s="144"/>
    </row>
    <row r="17" spans="1:25" x14ac:dyDescent="0.25">
      <c r="A17" s="412"/>
      <c r="B17" s="61" t="s">
        <v>33</v>
      </c>
      <c r="C17" s="62">
        <v>32</v>
      </c>
      <c r="D17" s="63">
        <v>8.8695877745552569E-6</v>
      </c>
      <c r="E17" s="64">
        <v>6240</v>
      </c>
      <c r="F17" s="64"/>
      <c r="G17" s="64">
        <v>6240</v>
      </c>
      <c r="H17" s="67">
        <v>7.5976006049040204E-6</v>
      </c>
      <c r="I17" s="65">
        <v>9.75</v>
      </c>
      <c r="J17" s="62">
        <v>7.1466666666666674</v>
      </c>
      <c r="K17" s="65">
        <v>43.656716417910445</v>
      </c>
      <c r="L17" s="66">
        <v>1</v>
      </c>
      <c r="M17" s="161">
        <v>25697</v>
      </c>
      <c r="N17" s="161"/>
      <c r="O17" s="161">
        <v>25697</v>
      </c>
      <c r="P17" s="162">
        <v>0.2428299023232284</v>
      </c>
      <c r="Q17" s="163"/>
      <c r="R17" s="163" t="s">
        <v>79</v>
      </c>
      <c r="S17" s="163" t="s">
        <v>79</v>
      </c>
      <c r="U17">
        <v>0</v>
      </c>
      <c r="V17" s="144"/>
    </row>
    <row r="18" spans="1:25" x14ac:dyDescent="0.25">
      <c r="A18" s="412"/>
      <c r="B18" s="61" t="s">
        <v>21</v>
      </c>
      <c r="C18" s="68">
        <v>95.9</v>
      </c>
      <c r="D18" s="63">
        <v>2.6581045861870289E-5</v>
      </c>
      <c r="E18" s="64">
        <v>48242.569999999992</v>
      </c>
      <c r="F18" s="64"/>
      <c r="G18" s="64">
        <v>48242.569999999992</v>
      </c>
      <c r="H18" s="67">
        <v>5.8738426124058408E-5</v>
      </c>
      <c r="I18" s="65">
        <v>25.152539103232527</v>
      </c>
      <c r="J18" s="68">
        <v>21.417666666666669</v>
      </c>
      <c r="K18" s="65">
        <v>112.62330941745908</v>
      </c>
      <c r="L18" s="66">
        <v>5</v>
      </c>
      <c r="M18" s="161">
        <v>100426.90306286464</v>
      </c>
      <c r="N18" s="161"/>
      <c r="O18" s="161">
        <v>100426.90306286464</v>
      </c>
      <c r="P18" s="162">
        <v>0.48037496456304535</v>
      </c>
      <c r="Q18" s="163"/>
      <c r="R18" s="163" t="s">
        <v>79</v>
      </c>
      <c r="S18" s="163" t="s">
        <v>79</v>
      </c>
      <c r="U18" s="62">
        <f>'[1]BILAN ENR FC'!$C16</f>
        <v>73.099999999999994</v>
      </c>
      <c r="V18" s="144">
        <f t="shared" si="1"/>
        <v>0.31190150478796186</v>
      </c>
    </row>
    <row r="19" spans="1:25" x14ac:dyDescent="0.25">
      <c r="A19" s="412"/>
      <c r="B19" s="69" t="s">
        <v>22</v>
      </c>
      <c r="C19" s="70">
        <v>35170.140270380318</v>
      </c>
      <c r="D19" s="27">
        <v>9.748270192861213E-3</v>
      </c>
      <c r="E19" s="28">
        <v>22521980.241237972</v>
      </c>
      <c r="F19" s="28"/>
      <c r="G19" s="28">
        <v>22521980.241237972</v>
      </c>
      <c r="H19" s="29">
        <v>2.7421956843664424E-2</v>
      </c>
      <c r="I19" s="30">
        <v>32.018610201855793</v>
      </c>
      <c r="J19" s="70">
        <v>7854.6646603849376</v>
      </c>
      <c r="K19" s="30">
        <v>143.36691135159313</v>
      </c>
      <c r="L19" s="31">
        <v>192</v>
      </c>
      <c r="M19" s="148">
        <v>45043960.482475944</v>
      </c>
      <c r="O19" s="148">
        <v>45043960.482475944</v>
      </c>
      <c r="P19" s="149">
        <v>0.5</v>
      </c>
      <c r="Q19" s="150"/>
      <c r="R19" s="150" t="s">
        <v>79</v>
      </c>
      <c r="S19" s="150" t="s">
        <v>79</v>
      </c>
      <c r="U19" s="62">
        <f>'[1]BILAN ENR FC'!$C15</f>
        <v>16628.948849261855</v>
      </c>
      <c r="V19" s="144">
        <f t="shared" si="1"/>
        <v>1.1149947954732864</v>
      </c>
    </row>
    <row r="20" spans="1:25" ht="18.75" x14ac:dyDescent="0.3">
      <c r="A20" s="413"/>
      <c r="B20" s="71"/>
      <c r="C20" s="72">
        <v>96026.130270380323</v>
      </c>
      <c r="D20" s="73">
        <v>2.6616005971375496E-2</v>
      </c>
      <c r="E20" s="74">
        <v>47047233.65123798</v>
      </c>
      <c r="F20" s="74">
        <v>3539026</v>
      </c>
      <c r="G20" s="74">
        <v>50586259.65123798</v>
      </c>
      <c r="H20" s="77">
        <v>6.1592018738153446E-2</v>
      </c>
      <c r="I20" s="75">
        <v>26.339840785420847</v>
      </c>
      <c r="J20" s="72">
        <v>21445.83576038494</v>
      </c>
      <c r="K20" s="75">
        <v>117.93958560636199</v>
      </c>
      <c r="L20" s="76">
        <v>324</v>
      </c>
      <c r="M20" s="164">
        <v>128358082.1255388</v>
      </c>
      <c r="N20" s="164">
        <v>14476675.73</v>
      </c>
      <c r="O20" s="165">
        <v>142834757.85553879</v>
      </c>
      <c r="P20" s="166">
        <v>0.35415931255612354</v>
      </c>
      <c r="Q20" s="164">
        <v>8285</v>
      </c>
      <c r="R20" s="164">
        <v>427.16065178032591</v>
      </c>
      <c r="S20" s="164">
        <v>1747.3356342788172</v>
      </c>
      <c r="U20" s="72">
        <f>'[1]BILAN ENR FC'!$D$11</f>
        <v>118115.34884926186</v>
      </c>
      <c r="V20" s="154">
        <f t="shared" si="1"/>
        <v>-0.18701395537570376</v>
      </c>
      <c r="W20" s="138">
        <v>36000</v>
      </c>
      <c r="X20" s="154">
        <f>(C20-W20)/W20</f>
        <v>1.6673925075105644</v>
      </c>
      <c r="Y20" s="167">
        <f>C20/W20</f>
        <v>2.6673925075105647</v>
      </c>
    </row>
    <row r="21" spans="1:25" x14ac:dyDescent="0.25">
      <c r="A21" s="414" t="s">
        <v>34</v>
      </c>
      <c r="B21" s="78" t="s">
        <v>35</v>
      </c>
      <c r="C21" s="79">
        <v>6333.670000000001</v>
      </c>
      <c r="D21" s="80">
        <v>1.7555325625021063E-3</v>
      </c>
      <c r="E21" s="81">
        <v>5685963.1200000001</v>
      </c>
      <c r="F21" s="81"/>
      <c r="G21" s="81">
        <v>5685963.1200000001</v>
      </c>
      <c r="H21" s="84">
        <v>6.9230251346112104E-3</v>
      </c>
      <c r="I21" s="82">
        <v>44.886796438715621</v>
      </c>
      <c r="J21" s="79">
        <v>1414.5196333333338</v>
      </c>
      <c r="K21" s="82">
        <v>200.98565569574154</v>
      </c>
      <c r="L21" s="83">
        <v>39</v>
      </c>
      <c r="M21" s="168">
        <v>14909691.029999999</v>
      </c>
      <c r="N21" s="168"/>
      <c r="O21" s="168">
        <v>14909691.029999999</v>
      </c>
      <c r="P21" s="169">
        <v>0.3813602246055397</v>
      </c>
      <c r="Q21" s="170"/>
      <c r="R21" s="170" t="s">
        <v>79</v>
      </c>
      <c r="S21" s="170" t="s">
        <v>79</v>
      </c>
      <c r="U21" s="79">
        <f>'[1]BILAN ENR FC'!$C$17</f>
        <v>41445.152000000002</v>
      </c>
      <c r="V21" s="144">
        <f t="shared" si="1"/>
        <v>-0.84717947228182444</v>
      </c>
    </row>
    <row r="22" spans="1:25" x14ac:dyDescent="0.25">
      <c r="A22" s="415"/>
      <c r="B22" s="78" t="s">
        <v>36</v>
      </c>
      <c r="C22" s="79">
        <v>445.90000000000003</v>
      </c>
      <c r="D22" s="80">
        <v>1.2359216214606841E-4</v>
      </c>
      <c r="E22" s="81">
        <v>300530.8</v>
      </c>
      <c r="F22" s="81"/>
      <c r="G22" s="81">
        <v>300530.8</v>
      </c>
      <c r="H22" s="84">
        <v>3.6591554292825142E-4</v>
      </c>
      <c r="I22" s="82">
        <v>33.699349629961873</v>
      </c>
      <c r="J22" s="79">
        <v>99.584333333333348</v>
      </c>
      <c r="K22" s="82">
        <v>150.89261028341136</v>
      </c>
      <c r="L22" s="83">
        <v>4</v>
      </c>
      <c r="M22" s="168">
        <v>812552.84000000008</v>
      </c>
      <c r="N22" s="168"/>
      <c r="O22" s="168">
        <v>812552.84000000008</v>
      </c>
      <c r="P22" s="169">
        <v>0.36986000811959496</v>
      </c>
      <c r="Q22" s="170"/>
      <c r="R22" s="170" t="s">
        <v>79</v>
      </c>
      <c r="S22" s="170" t="s">
        <v>79</v>
      </c>
      <c r="U22" s="79">
        <f>'[1]BILAN ENR FC'!$C$18</f>
        <v>1103.3</v>
      </c>
      <c r="V22" s="144">
        <f t="shared" si="1"/>
        <v>-0.59584881718480909</v>
      </c>
    </row>
    <row r="23" spans="1:25" x14ac:dyDescent="0.25">
      <c r="A23" s="415"/>
      <c r="B23" s="78" t="s">
        <v>20</v>
      </c>
      <c r="C23" s="79">
        <v>17</v>
      </c>
      <c r="D23" s="80">
        <v>4.7119685052324804E-6</v>
      </c>
      <c r="E23" s="81">
        <v>20400</v>
      </c>
      <c r="F23" s="81"/>
      <c r="G23" s="81">
        <v>20400</v>
      </c>
      <c r="H23" s="84">
        <v>2.4838309669878527E-5</v>
      </c>
      <c r="I23" s="82">
        <v>60</v>
      </c>
      <c r="J23" s="79">
        <v>3.7966666666666669</v>
      </c>
      <c r="K23" s="82">
        <v>268.65671641791045</v>
      </c>
      <c r="L23" s="83">
        <v>2</v>
      </c>
      <c r="M23" s="168">
        <v>65735.240222894354</v>
      </c>
      <c r="N23" s="168"/>
      <c r="O23" s="168">
        <v>65735.240222894354</v>
      </c>
      <c r="P23" s="169">
        <v>0.31033582490651734</v>
      </c>
      <c r="Q23" s="170"/>
      <c r="R23" s="170" t="s">
        <v>79</v>
      </c>
      <c r="S23" s="170" t="s">
        <v>79</v>
      </c>
      <c r="U23" s="79"/>
      <c r="V23" s="144" t="e">
        <f t="shared" si="1"/>
        <v>#DIV/0!</v>
      </c>
    </row>
    <row r="24" spans="1:25" x14ac:dyDescent="0.25">
      <c r="A24" s="415"/>
      <c r="B24" s="78" t="s">
        <v>21</v>
      </c>
      <c r="C24" s="79">
        <v>1134.03</v>
      </c>
      <c r="D24" s="80">
        <v>3.1432433199934056E-4</v>
      </c>
      <c r="E24" s="81">
        <v>249239.48</v>
      </c>
      <c r="F24" s="81"/>
      <c r="G24" s="81">
        <v>249239.48</v>
      </c>
      <c r="H24" s="84">
        <v>3.0346506795095568E-4</v>
      </c>
      <c r="I24" s="82">
        <v>10.989104344682241</v>
      </c>
      <c r="J24" s="79">
        <v>253.26670000000001</v>
      </c>
      <c r="K24" s="82">
        <v>49.204944826935403</v>
      </c>
      <c r="L24" s="83">
        <v>35</v>
      </c>
      <c r="M24" s="168">
        <v>518843.60840226372</v>
      </c>
      <c r="N24" s="168"/>
      <c r="O24" s="168">
        <v>518843.60840226372</v>
      </c>
      <c r="P24" s="169">
        <v>0.48037496456304535</v>
      </c>
      <c r="Q24" s="170"/>
      <c r="R24" s="170" t="s">
        <v>79</v>
      </c>
      <c r="S24" s="170" t="s">
        <v>79</v>
      </c>
      <c r="U24" s="79">
        <f>'[1]BILAN ENR FC'!$C$20</f>
        <v>803.33</v>
      </c>
      <c r="V24" s="144">
        <f t="shared" si="1"/>
        <v>0.41166145917617902</v>
      </c>
    </row>
    <row r="25" spans="1:25" x14ac:dyDescent="0.25">
      <c r="A25" s="415"/>
      <c r="B25" s="69" t="s">
        <v>22</v>
      </c>
      <c r="C25" s="26">
        <v>3153.0206300722375</v>
      </c>
      <c r="D25" s="27">
        <v>8.7393728854403847E-4</v>
      </c>
      <c r="E25" s="28">
        <v>3225920.630072237</v>
      </c>
      <c r="F25" s="28"/>
      <c r="G25" s="28">
        <v>3225920.630072237</v>
      </c>
      <c r="H25" s="29">
        <v>3.9277654696168564E-3</v>
      </c>
      <c r="I25" s="30">
        <v>51.15603430096062</v>
      </c>
      <c r="J25" s="26">
        <v>704.17460738279976</v>
      </c>
      <c r="K25" s="30">
        <v>229.05687000430126</v>
      </c>
      <c r="L25" s="31">
        <v>90</v>
      </c>
      <c r="M25" s="148">
        <v>6451841.260144474</v>
      </c>
      <c r="N25" s="148"/>
      <c r="O25" s="148">
        <v>6451841.260144474</v>
      </c>
      <c r="P25" s="149">
        <v>0.5</v>
      </c>
      <c r="Q25" s="150"/>
      <c r="R25" s="150" t="s">
        <v>79</v>
      </c>
      <c r="S25" s="150" t="s">
        <v>79</v>
      </c>
      <c r="U25" s="26">
        <f>'[1]BILAN ENR FC'!$C$19</f>
        <v>4263.4138781401325</v>
      </c>
      <c r="V25" s="144">
        <f t="shared" si="1"/>
        <v>-0.26044697507817183</v>
      </c>
    </row>
    <row r="26" spans="1:25" ht="18.75" x14ac:dyDescent="0.3">
      <c r="A26" s="416"/>
      <c r="B26" s="85"/>
      <c r="C26" s="86">
        <v>11083.620630072237</v>
      </c>
      <c r="D26" s="87">
        <v>3.0720983136967861E-3</v>
      </c>
      <c r="E26" s="88">
        <v>9482054.0300722383</v>
      </c>
      <c r="F26" s="88">
        <v>0</v>
      </c>
      <c r="G26" s="88">
        <v>9482054.0300722383</v>
      </c>
      <c r="H26" s="91">
        <v>1.1545009524777154E-2</v>
      </c>
      <c r="I26" s="89">
        <v>42.775074799769826</v>
      </c>
      <c r="J26" s="86">
        <v>2475.3419407161332</v>
      </c>
      <c r="K26" s="89">
        <v>191.53018567061116</v>
      </c>
      <c r="L26" s="90">
        <v>170</v>
      </c>
      <c r="M26" s="171">
        <v>22758663.97876963</v>
      </c>
      <c r="N26" s="171">
        <v>0</v>
      </c>
      <c r="O26" s="172">
        <v>22758663.97876963</v>
      </c>
      <c r="P26" s="173">
        <v>0.41663491490175131</v>
      </c>
      <c r="Q26" s="174">
        <v>0</v>
      </c>
      <c r="R26" s="171" t="s">
        <v>79</v>
      </c>
      <c r="S26" s="171" t="s">
        <v>79</v>
      </c>
      <c r="U26" s="86">
        <f>'[1]BILAN ENR FC'!$D$17</f>
        <v>47615.195878140141</v>
      </c>
      <c r="V26" s="154">
        <f t="shared" si="1"/>
        <v>-0.76722513841089413</v>
      </c>
    </row>
    <row r="27" spans="1:25" x14ac:dyDescent="0.25">
      <c r="A27" s="417" t="s">
        <v>37</v>
      </c>
      <c r="B27" s="93" t="s">
        <v>38</v>
      </c>
      <c r="C27" s="94">
        <v>21906</v>
      </c>
      <c r="D27" s="95">
        <v>6.0717871809189833E-3</v>
      </c>
      <c r="E27" s="96">
        <v>3055523</v>
      </c>
      <c r="F27" s="96">
        <v>157243</v>
      </c>
      <c r="G27" s="96">
        <v>3212766</v>
      </c>
      <c r="H27" s="97">
        <v>3.9117488629831845E-3</v>
      </c>
      <c r="I27" s="98">
        <v>7.3330731306491375</v>
      </c>
      <c r="J27" s="94">
        <v>4892.34</v>
      </c>
      <c r="K27" s="98">
        <v>32.834655808876732</v>
      </c>
      <c r="L27" s="99">
        <v>2</v>
      </c>
      <c r="M27" s="175">
        <v>10455365</v>
      </c>
      <c r="N27" s="175">
        <v>756400</v>
      </c>
      <c r="O27" s="175">
        <v>11211765</v>
      </c>
      <c r="P27" s="176">
        <v>0.28655309846397958</v>
      </c>
      <c r="Q27" s="177">
        <v>363</v>
      </c>
      <c r="R27" s="177">
        <v>433.1763085399449</v>
      </c>
      <c r="S27" s="177">
        <v>2083.7465564738291</v>
      </c>
      <c r="U27" s="94">
        <f>'[1]BILAN ENR FC'!$C21</f>
        <v>23000</v>
      </c>
      <c r="V27" s="144">
        <f t="shared" si="1"/>
        <v>-4.756521739130435E-2</v>
      </c>
    </row>
    <row r="28" spans="1:25" x14ac:dyDescent="0.25">
      <c r="A28" s="418"/>
      <c r="B28" s="93" t="s">
        <v>39</v>
      </c>
      <c r="C28" s="94">
        <v>174824</v>
      </c>
      <c r="D28" s="95">
        <v>4.8456775409339008E-2</v>
      </c>
      <c r="E28" s="96"/>
      <c r="F28" s="96">
        <v>17996922.850000001</v>
      </c>
      <c r="G28" s="96">
        <v>17996922.850000001</v>
      </c>
      <c r="H28" s="97">
        <v>2.1912408963392787E-2</v>
      </c>
      <c r="I28" s="98">
        <v>5.1471545239784016</v>
      </c>
      <c r="J28" s="94">
        <v>39044.026666666665</v>
      </c>
      <c r="K28" s="98">
        <v>23.046960555127171</v>
      </c>
      <c r="L28" s="99">
        <v>7</v>
      </c>
      <c r="M28" s="175"/>
      <c r="N28" s="175">
        <v>48763874.259999998</v>
      </c>
      <c r="O28" s="175">
        <v>48763874.259999998</v>
      </c>
      <c r="P28" s="176">
        <v>0.36906261290978898</v>
      </c>
      <c r="Q28" s="177">
        <v>32050.560000000001</v>
      </c>
      <c r="R28" s="177">
        <v>561.51664276692827</v>
      </c>
      <c r="S28" s="177">
        <v>1521.4671525240119</v>
      </c>
      <c r="U28" s="94">
        <f>'[1]BILAN ENR FC'!$C22</f>
        <v>260112</v>
      </c>
      <c r="V28" s="144">
        <f t="shared" si="1"/>
        <v>-0.32788952451251768</v>
      </c>
    </row>
    <row r="29" spans="1:25" x14ac:dyDescent="0.25">
      <c r="A29" s="418"/>
      <c r="B29" s="93" t="s">
        <v>40</v>
      </c>
      <c r="C29" s="94">
        <v>80221</v>
      </c>
      <c r="D29" s="95">
        <v>2.2235225026956164E-2</v>
      </c>
      <c r="E29" s="96">
        <v>8914776.1899999995</v>
      </c>
      <c r="F29" s="96">
        <v>129625</v>
      </c>
      <c r="G29" s="96">
        <v>9044401.1899999995</v>
      </c>
      <c r="H29" s="97">
        <v>1.1012139094894012E-2</v>
      </c>
      <c r="I29" s="98">
        <v>5.6371780394161126</v>
      </c>
      <c r="J29" s="94">
        <v>17916.023333333334</v>
      </c>
      <c r="K29" s="98">
        <v>25.241095698878116</v>
      </c>
      <c r="L29" s="99">
        <v>18</v>
      </c>
      <c r="M29" s="175">
        <v>33553338.590000004</v>
      </c>
      <c r="N29" s="175">
        <v>1000575.01</v>
      </c>
      <c r="O29" s="175">
        <v>34553913.600000001</v>
      </c>
      <c r="P29" s="176">
        <v>0.26174751996833145</v>
      </c>
      <c r="Q29" s="177">
        <v>425</v>
      </c>
      <c r="R29" s="177">
        <v>305</v>
      </c>
      <c r="S29" s="177">
        <v>2354.2941411764705</v>
      </c>
      <c r="U29" s="94">
        <f>'[1]BILAN ENR FC'!$C23</f>
        <v>295506</v>
      </c>
      <c r="V29" s="144">
        <f t="shared" si="1"/>
        <v>-0.72853004676723987</v>
      </c>
    </row>
    <row r="30" spans="1:25" x14ac:dyDescent="0.25">
      <c r="A30" s="418"/>
      <c r="B30" s="93" t="s">
        <v>19</v>
      </c>
      <c r="C30" s="94">
        <v>4900</v>
      </c>
      <c r="D30" s="95">
        <v>1.3581556279787738E-3</v>
      </c>
      <c r="E30" s="96"/>
      <c r="F30" s="96">
        <v>224750</v>
      </c>
      <c r="G30" s="96">
        <v>224750</v>
      </c>
      <c r="H30" s="97">
        <v>2.7364755383849017E-4</v>
      </c>
      <c r="I30" s="98">
        <v>2.2933673469387754</v>
      </c>
      <c r="J30" s="94">
        <v>1094.3333333333335</v>
      </c>
      <c r="K30" s="98">
        <v>10.26880901614377</v>
      </c>
      <c r="L30" s="99">
        <v>1</v>
      </c>
      <c r="M30" s="175"/>
      <c r="N30" s="175">
        <v>738392</v>
      </c>
      <c r="O30" s="175">
        <v>738392</v>
      </c>
      <c r="P30" s="176">
        <v>0.30437762055926931</v>
      </c>
      <c r="Q30" s="177">
        <v>399</v>
      </c>
      <c r="R30" s="177">
        <v>563.2832080200501</v>
      </c>
      <c r="S30" s="177">
        <v>1850.6065162907269</v>
      </c>
      <c r="U30" s="94">
        <f>'[1]BILAN ENR FC'!$C24</f>
        <v>213924</v>
      </c>
      <c r="V30" s="144">
        <f t="shared" si="1"/>
        <v>-0.97709466913483289</v>
      </c>
    </row>
    <row r="31" spans="1:25" x14ac:dyDescent="0.25">
      <c r="A31" s="418"/>
      <c r="B31" s="69" t="s">
        <v>22</v>
      </c>
      <c r="C31" s="26">
        <v>7747.4813826961872</v>
      </c>
      <c r="D31" s="27">
        <v>2.1474051923611424E-3</v>
      </c>
      <c r="E31" s="28">
        <v>1466162.9432059042</v>
      </c>
      <c r="F31" s="28"/>
      <c r="G31" s="28">
        <v>1466162.9432059042</v>
      </c>
      <c r="H31" s="29">
        <v>1.7851475102867046E-3</v>
      </c>
      <c r="I31" s="30">
        <v>9.4621908126203671</v>
      </c>
      <c r="J31" s="26">
        <v>1730.2708421354816</v>
      </c>
      <c r="K31" s="30">
        <v>42.368018563971802</v>
      </c>
      <c r="L31" s="31">
        <v>4</v>
      </c>
      <c r="M31" s="148">
        <v>2932325.8864118084</v>
      </c>
      <c r="N31" s="148"/>
      <c r="O31" s="148">
        <v>2932325.8864118084</v>
      </c>
      <c r="P31" s="149">
        <v>0.5</v>
      </c>
      <c r="Q31" s="150"/>
      <c r="R31" s="150" t="s">
        <v>79</v>
      </c>
      <c r="S31" s="150" t="s">
        <v>79</v>
      </c>
      <c r="U31" s="94">
        <f>'[1]BILAN ENR FC'!$C25+'[1]BILAN ENR FC'!$C$26</f>
        <v>3432.9998500000002</v>
      </c>
      <c r="V31" s="144">
        <f t="shared" si="1"/>
        <v>1.2567671777486931</v>
      </c>
    </row>
    <row r="32" spans="1:25" ht="18.75" x14ac:dyDescent="0.3">
      <c r="A32" s="419"/>
      <c r="B32" s="100"/>
      <c r="C32" s="101">
        <v>289598.48138269619</v>
      </c>
      <c r="D32" s="102">
        <v>8.0269348437554081E-2</v>
      </c>
      <c r="E32" s="103">
        <v>13436462.133205904</v>
      </c>
      <c r="F32" s="103">
        <v>18508540.850000001</v>
      </c>
      <c r="G32" s="103">
        <v>31945002.983205907</v>
      </c>
      <c r="H32" s="104">
        <v>3.8895091985395182E-2</v>
      </c>
      <c r="I32" s="105">
        <v>5.5153954590306515</v>
      </c>
      <c r="J32" s="101">
        <v>64676.994175468819</v>
      </c>
      <c r="K32" s="105">
        <v>24.695800562823813</v>
      </c>
      <c r="L32" s="92">
        <v>32</v>
      </c>
      <c r="M32" s="174">
        <v>46941029.476411812</v>
      </c>
      <c r="N32" s="174">
        <v>51259241.269999996</v>
      </c>
      <c r="O32" s="178">
        <v>98200270.7464118</v>
      </c>
      <c r="P32" s="179">
        <v>0.32530463246582408</v>
      </c>
      <c r="Q32" s="174">
        <v>33237.56</v>
      </c>
      <c r="R32" s="174">
        <v>556.85618468985092</v>
      </c>
      <c r="S32" s="174">
        <v>1542.2083110192204</v>
      </c>
      <c r="U32" s="101">
        <f>'[1]BILAN ENR FC'!$D$21+'[1]BILAN ENR FC'!$D$28/2</f>
        <v>805624.49985000002</v>
      </c>
      <c r="V32" s="154">
        <f t="shared" si="1"/>
        <v>-0.64052920257934465</v>
      </c>
    </row>
    <row r="33" spans="1:22" x14ac:dyDescent="0.25">
      <c r="A33" s="420" t="s">
        <v>41</v>
      </c>
      <c r="B33" s="106" t="s">
        <v>42</v>
      </c>
      <c r="C33" s="107">
        <v>246641</v>
      </c>
      <c r="D33" s="108">
        <v>6.8362624947002598E-2</v>
      </c>
      <c r="E33" s="109">
        <v>17553648.370000001</v>
      </c>
      <c r="F33" s="109"/>
      <c r="G33" s="109">
        <v>17553648.370000001</v>
      </c>
      <c r="H33" s="110">
        <v>2.1372693825991104E-2</v>
      </c>
      <c r="I33" s="111">
        <v>3.5585422476392816</v>
      </c>
      <c r="J33" s="107">
        <v>55083.156666666669</v>
      </c>
      <c r="K33" s="111">
        <v>15.933771258086335</v>
      </c>
      <c r="L33" s="112">
        <v>27</v>
      </c>
      <c r="M33" s="180">
        <v>181234793</v>
      </c>
      <c r="N33" s="180"/>
      <c r="O33" s="180">
        <v>181234793</v>
      </c>
      <c r="P33" s="181">
        <v>9.6855841416719587E-2</v>
      </c>
      <c r="Q33" s="182"/>
      <c r="R33" s="182" t="s">
        <v>79</v>
      </c>
      <c r="S33" s="182" t="s">
        <v>79</v>
      </c>
      <c r="U33" s="107">
        <f>'[1]BILAN ENR FC'!$C$27</f>
        <v>278009</v>
      </c>
      <c r="V33" s="144">
        <f t="shared" si="1"/>
        <v>-0.11283087957584106</v>
      </c>
    </row>
    <row r="34" spans="1:22" x14ac:dyDescent="0.25">
      <c r="A34" s="421"/>
      <c r="B34" s="106" t="s">
        <v>19</v>
      </c>
      <c r="C34" s="107">
        <v>10890</v>
      </c>
      <c r="D34" s="108">
        <v>3.0184315895283361E-3</v>
      </c>
      <c r="E34" s="109"/>
      <c r="F34" s="109">
        <v>748742.5</v>
      </c>
      <c r="G34" s="109">
        <v>748742.5</v>
      </c>
      <c r="H34" s="110">
        <v>9.11642062647011E-4</v>
      </c>
      <c r="I34" s="111">
        <v>3.4377525252525252</v>
      </c>
      <c r="J34" s="107">
        <v>2432.1000000000004</v>
      </c>
      <c r="K34" s="111">
        <v>15.39292175486205</v>
      </c>
      <c r="L34" s="112">
        <v>1</v>
      </c>
      <c r="M34" s="180"/>
      <c r="N34" s="180">
        <v>4731427</v>
      </c>
      <c r="O34" s="180">
        <v>4731427</v>
      </c>
      <c r="P34" s="181">
        <v>0.1582487693459077</v>
      </c>
      <c r="Q34" s="182">
        <v>3463</v>
      </c>
      <c r="R34" s="182">
        <v>216.21209933583597</v>
      </c>
      <c r="S34" s="182">
        <v>1366.2798151891423</v>
      </c>
      <c r="U34" s="107"/>
      <c r="V34" s="144" t="e">
        <f t="shared" si="1"/>
        <v>#DIV/0!</v>
      </c>
    </row>
    <row r="35" spans="1:22" x14ac:dyDescent="0.25">
      <c r="A35" s="421"/>
      <c r="B35" s="69" t="s">
        <v>43</v>
      </c>
      <c r="C35" s="26">
        <v>47000</v>
      </c>
      <c r="D35" s="27">
        <v>1.3027207043878034E-2</v>
      </c>
      <c r="E35" s="28">
        <v>3221666.6666666665</v>
      </c>
      <c r="F35" s="28"/>
      <c r="G35" s="28">
        <v>3221666.6666666665</v>
      </c>
      <c r="H35" s="29">
        <v>3.922585996068235E-3</v>
      </c>
      <c r="I35" s="30">
        <v>3.4273049645390068</v>
      </c>
      <c r="J35" s="26">
        <v>10496.666666666666</v>
      </c>
      <c r="K35" s="30">
        <v>15.346141632264212</v>
      </c>
      <c r="L35" s="31">
        <v>5</v>
      </c>
      <c r="M35" s="148">
        <v>16108333.333333332</v>
      </c>
      <c r="N35" s="148"/>
      <c r="O35" s="148">
        <v>16108333.333333332</v>
      </c>
      <c r="P35" s="149">
        <v>0.2</v>
      </c>
      <c r="Q35" s="150"/>
      <c r="R35" s="150" t="s">
        <v>79</v>
      </c>
      <c r="S35" s="150" t="s">
        <v>79</v>
      </c>
      <c r="U35" s="26"/>
      <c r="V35" s="144" t="e">
        <f t="shared" si="1"/>
        <v>#DIV/0!</v>
      </c>
    </row>
    <row r="36" spans="1:22" ht="18.75" x14ac:dyDescent="0.3">
      <c r="A36" s="422"/>
      <c r="B36" s="113"/>
      <c r="C36" s="114">
        <v>304531</v>
      </c>
      <c r="D36" s="115">
        <v>8.4408263580408968E-2</v>
      </c>
      <c r="E36" s="116">
        <v>20775315.036666669</v>
      </c>
      <c r="F36" s="116">
        <v>748742.5</v>
      </c>
      <c r="G36" s="116">
        <v>21524057.536666669</v>
      </c>
      <c r="H36" s="117">
        <v>2.6206921884706351E-2</v>
      </c>
      <c r="I36" s="118">
        <v>3.5339682227206213</v>
      </c>
      <c r="J36" s="114">
        <v>68011.923333333325</v>
      </c>
      <c r="K36" s="118">
        <v>15.82373831068935</v>
      </c>
      <c r="L36" s="119">
        <v>33</v>
      </c>
      <c r="M36" s="183">
        <v>197343126.33333334</v>
      </c>
      <c r="N36" s="183">
        <v>4731427</v>
      </c>
      <c r="O36" s="184">
        <v>202074553.33333334</v>
      </c>
      <c r="P36" s="185">
        <v>0.10651542800226571</v>
      </c>
      <c r="Q36" s="183">
        <v>3463</v>
      </c>
      <c r="R36" s="183">
        <v>216.21209933583597</v>
      </c>
      <c r="S36" s="183">
        <v>1366.2798151891423</v>
      </c>
      <c r="U36" s="114">
        <f>'[1]BILAN ENR FC'!$D$27</f>
        <v>278009</v>
      </c>
      <c r="V36" s="154">
        <f t="shared" si="1"/>
        <v>9.5399789215457054E-2</v>
      </c>
    </row>
    <row r="37" spans="1:22" ht="15.75" thickBot="1" x14ac:dyDescent="0.3">
      <c r="H37" s="144"/>
    </row>
    <row r="38" spans="1:22" s="189" customFormat="1" ht="32.25" customHeight="1" thickBot="1" x14ac:dyDescent="0.35">
      <c r="A38" s="395" t="s">
        <v>55</v>
      </c>
      <c r="B38" s="399"/>
      <c r="C38" s="124">
        <v>3607833.9617767138</v>
      </c>
      <c r="D38" s="125">
        <v>1</v>
      </c>
      <c r="E38" s="126">
        <v>482836616.16000003</v>
      </c>
      <c r="F38" s="126">
        <v>218695294.04000002</v>
      </c>
      <c r="G38" s="126">
        <v>701531910.20000005</v>
      </c>
      <c r="H38" s="125">
        <v>0.85416013866906937</v>
      </c>
      <c r="I38" s="127">
        <v>9.7223419596411205</v>
      </c>
      <c r="J38" s="124">
        <v>805749.58479679946</v>
      </c>
      <c r="K38" s="127">
        <v>43.532874446154267</v>
      </c>
      <c r="L38" s="124">
        <v>1355</v>
      </c>
      <c r="M38" s="186">
        <v>1473838640.205488</v>
      </c>
      <c r="N38" s="186">
        <v>443377367.56</v>
      </c>
      <c r="O38" s="186">
        <v>1917216007.7654879</v>
      </c>
      <c r="P38" s="187">
        <v>0.36591177382126822</v>
      </c>
      <c r="Q38" s="188">
        <v>383725.96</v>
      </c>
      <c r="R38" s="188">
        <v>569.92572001122892</v>
      </c>
      <c r="S38" s="188">
        <v>1155.4531456771911</v>
      </c>
      <c r="U38" s="188">
        <f>'[1]BILAN ENR FC'!$D$29</f>
        <v>2817539.7876269245</v>
      </c>
      <c r="V38" s="154">
        <f t="shared" si="1"/>
        <v>0.28049086569081438</v>
      </c>
    </row>
    <row r="39" spans="1:22" ht="26.25" customHeight="1" thickBot="1" x14ac:dyDescent="0.3">
      <c r="A39" s="403" t="s">
        <v>47</v>
      </c>
      <c r="B39" s="404"/>
      <c r="C39" s="190"/>
      <c r="D39" s="190"/>
      <c r="F39" s="191"/>
      <c r="G39" s="191">
        <v>119780017.66999999</v>
      </c>
      <c r="H39" s="192">
        <v>0.14583986133093046</v>
      </c>
      <c r="I39" s="193"/>
      <c r="J39" s="190"/>
      <c r="K39" s="193"/>
      <c r="L39" s="124"/>
    </row>
    <row r="40" spans="1:22" ht="31.5" customHeight="1" thickBot="1" x14ac:dyDescent="0.3">
      <c r="A40" s="374" t="s">
        <v>45</v>
      </c>
      <c r="B40" s="376"/>
      <c r="C40" s="124">
        <v>3607833.9617767138</v>
      </c>
      <c r="D40" s="124"/>
      <c r="E40" s="126">
        <v>602616633.83000004</v>
      </c>
      <c r="F40" s="126">
        <v>218695294.04000002</v>
      </c>
      <c r="G40" s="126">
        <v>821311927.87000012</v>
      </c>
      <c r="H40" s="125">
        <v>1</v>
      </c>
      <c r="I40" s="127">
        <v>11.382340991456504</v>
      </c>
      <c r="J40" s="124">
        <v>805749.58479679946</v>
      </c>
      <c r="K40" s="127">
        <v>50.965705931894789</v>
      </c>
      <c r="L40" s="124"/>
    </row>
    <row r="50" spans="1:2" x14ac:dyDescent="0.25">
      <c r="A50" s="10" t="str">
        <f>A2</f>
        <v>Biomasse</v>
      </c>
      <c r="B50" s="138">
        <f>C9</f>
        <v>2440923.7294935649</v>
      </c>
    </row>
    <row r="51" spans="1:2" x14ac:dyDescent="0.25">
      <c r="A51" s="10" t="str">
        <f>A10</f>
        <v>Géothermie profonde</v>
      </c>
      <c r="B51" s="138">
        <f>C12</f>
        <v>465671</v>
      </c>
    </row>
    <row r="52" spans="1:2" ht="30" x14ac:dyDescent="0.25">
      <c r="A52" s="10" t="str">
        <f>A13</f>
        <v>Géothermie de surface</v>
      </c>
      <c r="B52" s="138">
        <f>C20</f>
        <v>96026.130270380323</v>
      </c>
    </row>
    <row r="53" spans="1:2" x14ac:dyDescent="0.25">
      <c r="A53" s="10" t="str">
        <f>A21</f>
        <v>Solaire</v>
      </c>
      <c r="B53" s="138">
        <f>C26</f>
        <v>11083.620630072237</v>
      </c>
    </row>
    <row r="54" spans="1:2" ht="30" x14ac:dyDescent="0.25">
      <c r="A54" s="10" t="str">
        <f>A27</f>
        <v>Récupération chaleur fatale</v>
      </c>
      <c r="B54" s="138">
        <f>C32</f>
        <v>289598.48138269619</v>
      </c>
    </row>
    <row r="55" spans="1:2" x14ac:dyDescent="0.25">
      <c r="A55" s="10" t="str">
        <f>A33</f>
        <v>Méthanisation</v>
      </c>
      <c r="B55" s="138">
        <f>C36</f>
        <v>304531</v>
      </c>
    </row>
    <row r="67" spans="1:7" s="196" customFormat="1" ht="30" x14ac:dyDescent="0.25">
      <c r="A67" s="194"/>
      <c r="B67" s="195" t="s">
        <v>56</v>
      </c>
      <c r="C67" s="195" t="s">
        <v>0</v>
      </c>
      <c r="D67" s="195" t="s">
        <v>57</v>
      </c>
    </row>
    <row r="68" spans="1:7" x14ac:dyDescent="0.25">
      <c r="A68" s="197" t="s">
        <v>58</v>
      </c>
      <c r="B68" s="198">
        <f>G40</f>
        <v>821311927.87000012</v>
      </c>
      <c r="C68" s="199">
        <f>C40</f>
        <v>3607833.9617767138</v>
      </c>
      <c r="D68" s="200">
        <f>B68/C68/20</f>
        <v>11.382340991456504</v>
      </c>
    </row>
    <row r="69" spans="1:7" ht="30" x14ac:dyDescent="0.25">
      <c r="A69" s="197" t="s">
        <v>59</v>
      </c>
      <c r="B69" s="198">
        <f>B68-G3</f>
        <v>767842937.87000012</v>
      </c>
      <c r="C69" s="199">
        <f>C68-C3</f>
        <v>2929151.9617767138</v>
      </c>
      <c r="D69" s="200">
        <f>B69/C69/20</f>
        <v>13.106915378406237</v>
      </c>
      <c r="G69" s="138">
        <f>C68-C69</f>
        <v>678682</v>
      </c>
    </row>
    <row r="70" spans="1:7" ht="30" x14ac:dyDescent="0.25">
      <c r="A70" s="197" t="s">
        <v>60</v>
      </c>
      <c r="B70" s="198">
        <f>B69-G4</f>
        <v>723537037.87000012</v>
      </c>
      <c r="C70" s="199">
        <f>C69-C4</f>
        <v>2434416.9617767138</v>
      </c>
      <c r="D70" s="200">
        <f>B70/C70/20</f>
        <v>14.860581593671203</v>
      </c>
      <c r="G70" s="138">
        <f>C68-C70</f>
        <v>1173417</v>
      </c>
    </row>
    <row r="73" spans="1:7" ht="45" x14ac:dyDescent="0.25">
      <c r="B73" s="194" t="s">
        <v>58</v>
      </c>
      <c r="C73" s="201" t="s">
        <v>61</v>
      </c>
      <c r="D73" s="194" t="s">
        <v>59</v>
      </c>
      <c r="E73" s="201" t="s">
        <v>62</v>
      </c>
      <c r="F73" s="194" t="s">
        <v>60</v>
      </c>
      <c r="G73" s="201" t="s">
        <v>63</v>
      </c>
    </row>
    <row r="74" spans="1:7" x14ac:dyDescent="0.25">
      <c r="A74" s="202" t="s">
        <v>15</v>
      </c>
      <c r="B74" s="203">
        <v>2440923.7294935649</v>
      </c>
      <c r="C74" s="204">
        <f t="shared" ref="C74:C80" si="2">B74/$B$80</f>
        <v>0.6765621021793109</v>
      </c>
      <c r="D74" s="203">
        <f>B74-G69</f>
        <v>1762241.7294935649</v>
      </c>
      <c r="E74" s="204">
        <f t="shared" ref="E74:E80" si="3">D74/$D$80</f>
        <v>0.60162181835887241</v>
      </c>
      <c r="F74" s="203">
        <f>B74-G70</f>
        <v>1267506.7294935649</v>
      </c>
      <c r="G74" s="204">
        <f t="shared" ref="G74:G80" si="4">F74/$F$80</f>
        <v>0.52066131209030797</v>
      </c>
    </row>
    <row r="75" spans="1:7" x14ac:dyDescent="0.25">
      <c r="A75" s="202" t="s">
        <v>27</v>
      </c>
      <c r="B75" s="203">
        <v>465671</v>
      </c>
      <c r="C75" s="204">
        <f t="shared" si="2"/>
        <v>0.12907218151765379</v>
      </c>
      <c r="D75" s="203">
        <f>B75</f>
        <v>465671</v>
      </c>
      <c r="E75" s="204">
        <f t="shared" si="3"/>
        <v>0.15897809539302338</v>
      </c>
      <c r="F75" s="203">
        <f>D75</f>
        <v>465671</v>
      </c>
      <c r="G75" s="204">
        <f t="shared" si="4"/>
        <v>0.19128645885712967</v>
      </c>
    </row>
    <row r="76" spans="1:7" ht="30" x14ac:dyDescent="0.25">
      <c r="A76" s="202" t="s">
        <v>29</v>
      </c>
      <c r="B76" s="203">
        <v>96026.130270380323</v>
      </c>
      <c r="C76" s="204">
        <f t="shared" si="2"/>
        <v>2.6616005971375496E-2</v>
      </c>
      <c r="D76" s="203">
        <f t="shared" ref="D76:D79" si="5">B76</f>
        <v>96026.130270380323</v>
      </c>
      <c r="E76" s="204">
        <f t="shared" si="3"/>
        <v>3.2782911751746219E-2</v>
      </c>
      <c r="F76" s="203">
        <f t="shared" ref="F76:F79" si="6">D76</f>
        <v>96026.130270380323</v>
      </c>
      <c r="G76" s="204">
        <f t="shared" si="4"/>
        <v>3.9445227246649416E-2</v>
      </c>
    </row>
    <row r="77" spans="1:7" x14ac:dyDescent="0.25">
      <c r="A77" s="202" t="s">
        <v>34</v>
      </c>
      <c r="B77" s="203">
        <v>11083.620630072237</v>
      </c>
      <c r="C77" s="204">
        <f t="shared" si="2"/>
        <v>3.0720983136967861E-3</v>
      </c>
      <c r="D77" s="203">
        <f t="shared" si="5"/>
        <v>11083.620630072237</v>
      </c>
      <c r="E77" s="204">
        <f t="shared" si="3"/>
        <v>3.7839008609677348E-3</v>
      </c>
      <c r="F77" s="203">
        <f t="shared" si="6"/>
        <v>11083.620630072237</v>
      </c>
      <c r="G77" s="204">
        <f t="shared" si="4"/>
        <v>4.5528850661568929E-3</v>
      </c>
    </row>
    <row r="78" spans="1:7" ht="30" x14ac:dyDescent="0.25">
      <c r="A78" s="202" t="s">
        <v>37</v>
      </c>
      <c r="B78" s="203">
        <v>289598.48138269619</v>
      </c>
      <c r="C78" s="204">
        <f t="shared" si="2"/>
        <v>8.0269348437554081E-2</v>
      </c>
      <c r="D78" s="203">
        <f t="shared" si="5"/>
        <v>289598.48138269619</v>
      </c>
      <c r="E78" s="204">
        <f t="shared" si="3"/>
        <v>9.8867687699970536E-2</v>
      </c>
      <c r="F78" s="203">
        <f t="shared" si="6"/>
        <v>289598.48138269619</v>
      </c>
      <c r="G78" s="204">
        <f t="shared" si="4"/>
        <v>0.11896009842592377</v>
      </c>
    </row>
    <row r="79" spans="1:7" x14ac:dyDescent="0.25">
      <c r="A79" s="202" t="s">
        <v>41</v>
      </c>
      <c r="B79" s="203">
        <v>304531</v>
      </c>
      <c r="C79" s="204">
        <f t="shared" si="2"/>
        <v>8.4408263580408968E-2</v>
      </c>
      <c r="D79" s="203">
        <f t="shared" si="5"/>
        <v>304531</v>
      </c>
      <c r="E79" s="204">
        <f t="shared" si="3"/>
        <v>0.10396558593541966</v>
      </c>
      <c r="F79" s="203">
        <f t="shared" si="6"/>
        <v>304531</v>
      </c>
      <c r="G79" s="204">
        <f t="shared" si="4"/>
        <v>0.12509401831383221</v>
      </c>
    </row>
    <row r="80" spans="1:7" x14ac:dyDescent="0.25">
      <c r="A80" s="205" t="s">
        <v>64</v>
      </c>
      <c r="B80" s="206">
        <f>SUM(B74:B79)</f>
        <v>3607833.9617767138</v>
      </c>
      <c r="C80" s="207">
        <f t="shared" si="2"/>
        <v>1</v>
      </c>
      <c r="D80" s="206">
        <f>SUM(D74:D79)</f>
        <v>2929151.9617767138</v>
      </c>
      <c r="E80" s="207">
        <f t="shared" si="3"/>
        <v>1</v>
      </c>
      <c r="F80" s="206">
        <f>SUM(F74:F79)</f>
        <v>2434416.9617767138</v>
      </c>
      <c r="G80" s="207">
        <f t="shared" si="4"/>
        <v>1</v>
      </c>
    </row>
  </sheetData>
  <mergeCells count="9">
    <mergeCell ref="A38:B38"/>
    <mergeCell ref="A39:B39"/>
    <mergeCell ref="A40:B40"/>
    <mergeCell ref="A2:A9"/>
    <mergeCell ref="A10:A12"/>
    <mergeCell ref="A13:A20"/>
    <mergeCell ref="A21:A26"/>
    <mergeCell ref="A27:A32"/>
    <mergeCell ref="A33:A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CB5F-9434-43D8-8A8F-466CD75ADA2B}">
  <sheetPr>
    <tabColor rgb="FF00B050"/>
  </sheetPr>
  <dimension ref="A1:I28"/>
  <sheetViews>
    <sheetView topLeftCell="A10" workbookViewId="0">
      <selection activeCell="B9" sqref="B9"/>
    </sheetView>
  </sheetViews>
  <sheetFormatPr baseColWidth="10" defaultRowHeight="15" x14ac:dyDescent="0.25"/>
  <cols>
    <col min="1" max="1" width="25.7109375" customWidth="1"/>
    <col min="2" max="10" width="18.85546875" customWidth="1"/>
  </cols>
  <sheetData>
    <row r="1" spans="1:9" ht="30" x14ac:dyDescent="0.25">
      <c r="A1" s="218"/>
      <c r="B1" s="218" t="s">
        <v>65</v>
      </c>
      <c r="C1" s="218" t="s">
        <v>66</v>
      </c>
      <c r="D1" s="218" t="s">
        <v>67</v>
      </c>
      <c r="E1" s="218" t="s">
        <v>68</v>
      </c>
      <c r="F1" s="218" t="s">
        <v>69</v>
      </c>
      <c r="G1" s="218" t="s">
        <v>70</v>
      </c>
      <c r="H1" s="218" t="s">
        <v>7</v>
      </c>
      <c r="I1" s="218" t="s">
        <v>4</v>
      </c>
    </row>
    <row r="2" spans="1:9" x14ac:dyDescent="0.25">
      <c r="A2" s="219" t="s">
        <v>15</v>
      </c>
      <c r="B2" s="220">
        <v>260812.4</v>
      </c>
      <c r="C2" s="221">
        <v>281605935.20000005</v>
      </c>
      <c r="D2" s="221">
        <v>151606590.78999999</v>
      </c>
      <c r="E2" s="222">
        <v>129999344.41</v>
      </c>
      <c r="F2" s="222">
        <v>991649</v>
      </c>
      <c r="G2" s="221">
        <v>367883549.35000008</v>
      </c>
      <c r="H2" s="220">
        <v>67</v>
      </c>
      <c r="I2" s="223">
        <v>14.1988715361988</v>
      </c>
    </row>
    <row r="3" spans="1:9" x14ac:dyDescent="0.25">
      <c r="A3" s="224" t="s">
        <v>71</v>
      </c>
      <c r="B3" s="225">
        <v>32413.56</v>
      </c>
      <c r="C3" s="226">
        <v>20826522.850000001</v>
      </c>
      <c r="D3" s="226">
        <v>18154165.850000001</v>
      </c>
      <c r="E3" s="227">
        <v>2672357</v>
      </c>
      <c r="F3" s="227">
        <v>191630</v>
      </c>
      <c r="G3" s="226">
        <v>49520274.259999998</v>
      </c>
      <c r="H3" s="225">
        <v>8</v>
      </c>
      <c r="I3" s="228">
        <v>5.4340455174033293</v>
      </c>
    </row>
    <row r="4" spans="1:9" x14ac:dyDescent="0.25">
      <c r="A4" s="224" t="s">
        <v>72</v>
      </c>
      <c r="B4" s="225">
        <v>824</v>
      </c>
      <c r="C4" s="226">
        <v>731600.96</v>
      </c>
      <c r="D4" s="226">
        <v>354375</v>
      </c>
      <c r="E4" s="227">
        <v>377225.96</v>
      </c>
      <c r="F4" s="227">
        <v>13030</v>
      </c>
      <c r="G4" s="226">
        <v>1738967.01</v>
      </c>
      <c r="H4" s="225">
        <v>2</v>
      </c>
      <c r="I4" s="228">
        <v>2.8073712970069069</v>
      </c>
    </row>
    <row r="5" spans="1:9" x14ac:dyDescent="0.25">
      <c r="A5" s="229" t="s">
        <v>29</v>
      </c>
      <c r="B5" s="230">
        <v>8285</v>
      </c>
      <c r="C5" s="231">
        <v>9544897</v>
      </c>
      <c r="D5" s="231">
        <v>3539026</v>
      </c>
      <c r="E5" s="232">
        <v>6005871</v>
      </c>
      <c r="F5" s="232">
        <v>30110</v>
      </c>
      <c r="G5" s="231">
        <v>14476675.73</v>
      </c>
      <c r="H5" s="230">
        <v>7</v>
      </c>
      <c r="I5" s="233">
        <v>15.850044835602791</v>
      </c>
    </row>
    <row r="6" spans="1:9" x14ac:dyDescent="0.25">
      <c r="A6" s="229" t="s">
        <v>27</v>
      </c>
      <c r="B6" s="230">
        <v>77928</v>
      </c>
      <c r="C6" s="231">
        <v>84570844.900000006</v>
      </c>
      <c r="D6" s="231">
        <v>44292393.899999999</v>
      </c>
      <c r="E6" s="232">
        <v>40278451</v>
      </c>
      <c r="F6" s="232">
        <v>436971</v>
      </c>
      <c r="G6" s="231">
        <v>163175169.17000002</v>
      </c>
      <c r="H6" s="230">
        <v>8</v>
      </c>
      <c r="I6" s="233">
        <v>9.6769402202892199</v>
      </c>
    </row>
    <row r="7" spans="1:9" x14ac:dyDescent="0.25">
      <c r="A7" s="234" t="s">
        <v>73</v>
      </c>
      <c r="B7" s="235">
        <v>3463</v>
      </c>
      <c r="C7" s="236">
        <v>748742.5</v>
      </c>
      <c r="D7" s="236">
        <v>748742.5</v>
      </c>
      <c r="E7" s="237">
        <v>0</v>
      </c>
      <c r="F7" s="237">
        <v>10890</v>
      </c>
      <c r="G7" s="236">
        <v>4731427</v>
      </c>
      <c r="H7" s="235">
        <v>1</v>
      </c>
      <c r="I7" s="238">
        <v>3.4377525252525252</v>
      </c>
    </row>
    <row r="8" spans="1:9" x14ac:dyDescent="0.25">
      <c r="A8" s="239" t="s">
        <v>74</v>
      </c>
      <c r="B8" s="240">
        <v>383725.96</v>
      </c>
      <c r="C8" s="241">
        <v>398028543.41000009</v>
      </c>
      <c r="D8" s="241">
        <v>218695294.03999999</v>
      </c>
      <c r="E8" s="242">
        <v>179333249.37</v>
      </c>
      <c r="F8" s="242">
        <v>1674280</v>
      </c>
      <c r="G8" s="241">
        <v>601526062.5200001</v>
      </c>
      <c r="H8" s="240">
        <v>93</v>
      </c>
      <c r="I8" s="243">
        <v>11.886558503058033</v>
      </c>
    </row>
    <row r="9" spans="1:9" x14ac:dyDescent="0.25">
      <c r="E9" s="39"/>
      <c r="F9" s="39"/>
      <c r="I9" s="244"/>
    </row>
    <row r="10" spans="1:9" ht="30" x14ac:dyDescent="0.25">
      <c r="A10" s="218"/>
      <c r="B10" s="218" t="s">
        <v>65</v>
      </c>
      <c r="C10" s="218" t="s">
        <v>66</v>
      </c>
      <c r="D10" s="218" t="s">
        <v>67</v>
      </c>
      <c r="E10" s="245" t="s">
        <v>68</v>
      </c>
      <c r="F10" s="245" t="s">
        <v>69</v>
      </c>
      <c r="G10" s="218" t="s">
        <v>70</v>
      </c>
      <c r="H10" s="218" t="s">
        <v>7</v>
      </c>
      <c r="I10" s="218" t="s">
        <v>4</v>
      </c>
    </row>
    <row r="11" spans="1:9" x14ac:dyDescent="0.25">
      <c r="A11" s="246" t="s">
        <v>75</v>
      </c>
      <c r="B11" s="247">
        <v>176304.9</v>
      </c>
      <c r="C11" s="248">
        <v>155085234.55000001</v>
      </c>
      <c r="D11" s="248">
        <v>89972326.140000015</v>
      </c>
      <c r="E11" s="249">
        <v>65112908.409999996</v>
      </c>
      <c r="F11" s="249">
        <v>546644</v>
      </c>
      <c r="G11" s="248">
        <v>238145596.28000003</v>
      </c>
      <c r="H11" s="247">
        <v>49</v>
      </c>
      <c r="I11" s="250">
        <v>14.185213278660337</v>
      </c>
    </row>
    <row r="12" spans="1:9" x14ac:dyDescent="0.25">
      <c r="A12" s="219" t="s">
        <v>15</v>
      </c>
      <c r="B12" s="220">
        <v>114362.9</v>
      </c>
      <c r="C12" s="221">
        <v>80890397.650000006</v>
      </c>
      <c r="D12" s="221">
        <v>50949683.240000002</v>
      </c>
      <c r="E12" s="222">
        <v>29940714.41</v>
      </c>
      <c r="F12" s="222">
        <v>215212</v>
      </c>
      <c r="G12" s="221">
        <v>126364770.18000004</v>
      </c>
      <c r="H12" s="220">
        <v>33</v>
      </c>
      <c r="I12" s="223">
        <v>18.793189424846197</v>
      </c>
    </row>
    <row r="13" spans="1:9" x14ac:dyDescent="0.25">
      <c r="A13" s="219" t="s">
        <v>78</v>
      </c>
      <c r="B13" s="220">
        <v>5402</v>
      </c>
      <c r="C13" s="221">
        <v>9024600</v>
      </c>
      <c r="D13" s="221">
        <v>4799600</v>
      </c>
      <c r="E13" s="222">
        <v>4225000</v>
      </c>
      <c r="F13" s="222">
        <v>46796</v>
      </c>
      <c r="G13" s="221">
        <v>10309247.189999999</v>
      </c>
      <c r="H13" s="220">
        <v>3</v>
      </c>
      <c r="I13" s="223">
        <v>9.6424908111804424</v>
      </c>
    </row>
    <row r="14" spans="1:9" x14ac:dyDescent="0.25">
      <c r="A14" s="224" t="s">
        <v>71</v>
      </c>
      <c r="B14" s="225">
        <v>11293</v>
      </c>
      <c r="C14" s="226">
        <v>9764600</v>
      </c>
      <c r="D14" s="226">
        <v>7092243</v>
      </c>
      <c r="E14" s="227">
        <v>2672357</v>
      </c>
      <c r="F14" s="227">
        <v>39026</v>
      </c>
      <c r="G14" s="226">
        <v>19361278</v>
      </c>
      <c r="H14" s="225">
        <v>2</v>
      </c>
      <c r="I14" s="228">
        <v>12.510377696920003</v>
      </c>
    </row>
    <row r="15" spans="1:9" x14ac:dyDescent="0.25">
      <c r="A15" s="224" t="s">
        <v>72</v>
      </c>
      <c r="B15" s="225">
        <v>399</v>
      </c>
      <c r="C15" s="226">
        <v>224750</v>
      </c>
      <c r="D15" s="226">
        <v>224750</v>
      </c>
      <c r="E15" s="227">
        <v>0</v>
      </c>
      <c r="F15" s="227">
        <v>4900</v>
      </c>
      <c r="G15" s="226">
        <v>738392</v>
      </c>
      <c r="H15" s="225">
        <v>1</v>
      </c>
      <c r="I15" s="228">
        <v>2.2933673469387754</v>
      </c>
    </row>
    <row r="16" spans="1:9" x14ac:dyDescent="0.25">
      <c r="A16" s="229" t="s">
        <v>29</v>
      </c>
      <c r="B16" s="230">
        <v>5426</v>
      </c>
      <c r="C16" s="231">
        <v>8476126</v>
      </c>
      <c r="D16" s="231">
        <v>2470255</v>
      </c>
      <c r="E16" s="232">
        <v>6005871</v>
      </c>
      <c r="F16" s="232">
        <v>13138</v>
      </c>
      <c r="G16" s="231">
        <v>6891343.9100000001</v>
      </c>
      <c r="H16" s="230">
        <v>6</v>
      </c>
      <c r="I16" s="233">
        <v>32.258052976099862</v>
      </c>
    </row>
    <row r="17" spans="1:9" x14ac:dyDescent="0.25">
      <c r="A17" s="229" t="s">
        <v>27</v>
      </c>
      <c r="B17" s="230">
        <v>39422</v>
      </c>
      <c r="C17" s="231">
        <v>46704760.899999999</v>
      </c>
      <c r="D17" s="231">
        <v>24435794.899999999</v>
      </c>
      <c r="E17" s="232">
        <v>22268966</v>
      </c>
      <c r="F17" s="232">
        <v>227572</v>
      </c>
      <c r="G17" s="231">
        <v>74480565</v>
      </c>
      <c r="H17" s="230">
        <v>4</v>
      </c>
      <c r="I17" s="233">
        <v>10.261535008700543</v>
      </c>
    </row>
    <row r="18" spans="1:9" x14ac:dyDescent="0.25">
      <c r="A18" s="246" t="s">
        <v>76</v>
      </c>
      <c r="B18" s="247">
        <v>207421.06</v>
      </c>
      <c r="C18" s="248">
        <v>206203522.86000001</v>
      </c>
      <c r="D18" s="248">
        <v>128722967.90000001</v>
      </c>
      <c r="E18" s="249">
        <v>77480554.960000008</v>
      </c>
      <c r="F18" s="249">
        <v>888256</v>
      </c>
      <c r="G18" s="248">
        <v>363380466.23999983</v>
      </c>
      <c r="H18" s="247">
        <v>36</v>
      </c>
      <c r="I18" s="250">
        <v>11.607212496172275</v>
      </c>
    </row>
    <row r="19" spans="1:9" x14ac:dyDescent="0.25">
      <c r="A19" s="219" t="s">
        <v>15</v>
      </c>
      <c r="B19" s="220">
        <v>141047.5</v>
      </c>
      <c r="C19" s="221">
        <v>162258694.55000001</v>
      </c>
      <c r="D19" s="221">
        <v>95857307.549999997</v>
      </c>
      <c r="E19" s="222">
        <v>66401387</v>
      </c>
      <c r="F19" s="222">
        <v>541336</v>
      </c>
      <c r="G19" s="221">
        <v>231209531.98000002</v>
      </c>
      <c r="H19" s="220">
        <v>24</v>
      </c>
      <c r="I19" s="223">
        <v>14.986874561270636</v>
      </c>
    </row>
    <row r="20" spans="1:9" x14ac:dyDescent="0.25">
      <c r="A20" s="224" t="s">
        <v>71</v>
      </c>
      <c r="B20" s="225">
        <v>21120.560000000001</v>
      </c>
      <c r="C20" s="226">
        <v>11061922.85</v>
      </c>
      <c r="D20" s="226">
        <v>11061922.85</v>
      </c>
      <c r="E20" s="227">
        <v>0</v>
      </c>
      <c r="F20" s="227">
        <v>152604</v>
      </c>
      <c r="G20" s="226">
        <v>30158996.259999998</v>
      </c>
      <c r="H20" s="225">
        <v>6</v>
      </c>
      <c r="I20" s="228">
        <v>3.6243882368745246</v>
      </c>
    </row>
    <row r="21" spans="1:9" x14ac:dyDescent="0.25">
      <c r="A21" s="224" t="s">
        <v>72</v>
      </c>
      <c r="B21" s="225">
        <v>425</v>
      </c>
      <c r="C21" s="226">
        <v>506850.96</v>
      </c>
      <c r="D21" s="226">
        <v>129625</v>
      </c>
      <c r="E21" s="227">
        <v>377225.96</v>
      </c>
      <c r="F21" s="227">
        <v>8130</v>
      </c>
      <c r="G21" s="226">
        <v>1000575.01</v>
      </c>
      <c r="H21" s="225">
        <v>1</v>
      </c>
      <c r="I21" s="228">
        <v>3.1171645756457567</v>
      </c>
    </row>
    <row r="22" spans="1:9" x14ac:dyDescent="0.25">
      <c r="A22" s="229" t="s">
        <v>29</v>
      </c>
      <c r="B22" s="230">
        <v>2859</v>
      </c>
      <c r="C22" s="231">
        <v>1068771</v>
      </c>
      <c r="D22" s="231">
        <v>1068771</v>
      </c>
      <c r="E22" s="232">
        <v>0</v>
      </c>
      <c r="F22" s="232">
        <v>16972</v>
      </c>
      <c r="G22" s="231">
        <v>7585331.8200000003</v>
      </c>
      <c r="H22" s="230">
        <v>1</v>
      </c>
      <c r="I22" s="233">
        <v>3.1486300966297431</v>
      </c>
    </row>
    <row r="23" spans="1:9" x14ac:dyDescent="0.25">
      <c r="A23" s="229" t="s">
        <v>27</v>
      </c>
      <c r="B23" s="230">
        <v>38506</v>
      </c>
      <c r="C23" s="231">
        <v>30558541</v>
      </c>
      <c r="D23" s="231">
        <v>19856599</v>
      </c>
      <c r="E23" s="232">
        <v>10701942</v>
      </c>
      <c r="F23" s="232">
        <v>158324</v>
      </c>
      <c r="G23" s="231">
        <v>88694604.170000002</v>
      </c>
      <c r="H23" s="230">
        <v>3</v>
      </c>
      <c r="I23" s="233">
        <v>9.6506344584522878</v>
      </c>
    </row>
    <row r="24" spans="1:9" x14ac:dyDescent="0.25">
      <c r="A24" s="234" t="s">
        <v>73</v>
      </c>
      <c r="B24" s="235">
        <v>3463</v>
      </c>
      <c r="C24" s="236">
        <v>748742.5</v>
      </c>
      <c r="D24" s="236">
        <v>748742.5</v>
      </c>
      <c r="E24" s="237">
        <v>0</v>
      </c>
      <c r="F24" s="237">
        <v>10890</v>
      </c>
      <c r="G24" s="236">
        <v>4731427</v>
      </c>
      <c r="H24" s="235">
        <v>1</v>
      </c>
      <c r="I24" s="238">
        <v>3.4377525252525252</v>
      </c>
    </row>
    <row r="25" spans="1:9" x14ac:dyDescent="0.25">
      <c r="A25" s="246" t="s">
        <v>77</v>
      </c>
      <c r="B25" s="247">
        <v>0</v>
      </c>
      <c r="C25" s="248">
        <v>36739786</v>
      </c>
      <c r="D25" s="248">
        <v>0</v>
      </c>
      <c r="E25" s="249">
        <v>36739786</v>
      </c>
      <c r="F25" s="249">
        <v>239380</v>
      </c>
      <c r="G25" s="248">
        <v>0</v>
      </c>
      <c r="H25" s="247">
        <v>8</v>
      </c>
      <c r="I25" s="250">
        <v>7.6739464449828727</v>
      </c>
    </row>
    <row r="26" spans="1:9" x14ac:dyDescent="0.25">
      <c r="A26" s="219" t="s">
        <v>15</v>
      </c>
      <c r="B26" s="220">
        <v>0</v>
      </c>
      <c r="C26" s="221">
        <v>29432243</v>
      </c>
      <c r="D26" s="221">
        <v>0</v>
      </c>
      <c r="E26" s="222">
        <v>29432243</v>
      </c>
      <c r="F26" s="222">
        <v>188305</v>
      </c>
      <c r="G26" s="221">
        <v>0</v>
      </c>
      <c r="H26" s="220">
        <v>7</v>
      </c>
      <c r="I26" s="223">
        <v>7.8150455378242736</v>
      </c>
    </row>
    <row r="27" spans="1:9" x14ac:dyDescent="0.25">
      <c r="A27" s="229" t="s">
        <v>27</v>
      </c>
      <c r="B27" s="230">
        <v>0</v>
      </c>
      <c r="C27" s="231">
        <v>7307543</v>
      </c>
      <c r="D27" s="231">
        <v>0</v>
      </c>
      <c r="E27" s="232">
        <v>7307543</v>
      </c>
      <c r="F27" s="232">
        <v>51075</v>
      </c>
      <c r="G27" s="231">
        <v>0</v>
      </c>
      <c r="H27" s="230">
        <v>1</v>
      </c>
      <c r="I27" s="233">
        <v>7.1537376407244251</v>
      </c>
    </row>
    <row r="28" spans="1:9" x14ac:dyDescent="0.25">
      <c r="A28" s="239" t="s">
        <v>74</v>
      </c>
      <c r="B28" s="240">
        <v>383725.96</v>
      </c>
      <c r="C28" s="241">
        <v>398028543.40999997</v>
      </c>
      <c r="D28" s="241">
        <v>218695294.03999999</v>
      </c>
      <c r="E28" s="242">
        <v>179333249.37</v>
      </c>
      <c r="F28" s="242">
        <v>1674280</v>
      </c>
      <c r="G28" s="241">
        <v>601526062.5200001</v>
      </c>
      <c r="H28" s="240">
        <v>93</v>
      </c>
      <c r="I28" s="240">
        <v>11.88655850305803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Synthèse FC+F2030BCIAT BCIB</vt:lpstr>
      <vt:lpstr>Synthèse FC uniquement</vt:lpstr>
      <vt:lpstr>bilan RC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THOUIN Simon</dc:creator>
  <cp:lastModifiedBy>CALLONNEC Gaël</cp:lastModifiedBy>
  <dcterms:created xsi:type="dcterms:W3CDTF">2025-03-24T15:06:48Z</dcterms:created>
  <dcterms:modified xsi:type="dcterms:W3CDTF">2025-12-08T10:36:25Z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2025-03-24T15:11:46Z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de8802fd-2457-4a40-ba38-e038b54370c9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