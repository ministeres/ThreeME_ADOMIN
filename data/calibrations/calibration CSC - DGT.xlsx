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ThreeME\data\calibrations\"/>
    </mc:Choice>
  </mc:AlternateContent>
  <xr:revisionPtr revIDLastSave="0" documentId="8_{B4A0258F-F8B1-4E8F-8FB1-2D4A66DF585E}" xr6:coauthVersionLast="47" xr6:coauthVersionMax="47" xr10:uidLastSave="{00000000-0000-0000-0000-000000000000}"/>
  <bookViews>
    <workbookView xWindow="-120" yWindow="-120" windowWidth="20730" windowHeight="11040" xr2:uid="{3C11893B-6B5D-485B-84C6-0F49C18D7801}"/>
  </bookViews>
  <sheets>
    <sheet name="Feuil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D24" i="1" s="1"/>
  <c r="E24" i="1" s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AB24" i="1" s="1"/>
  <c r="AC24" i="1" s="1"/>
  <c r="AD24" i="1" s="1"/>
  <c r="AE24" i="1"/>
  <c r="C25" i="1"/>
  <c r="D25" i="1"/>
  <c r="E25" i="1"/>
  <c r="F25" i="1"/>
  <c r="I25" i="1"/>
  <c r="G25" i="1" s="1"/>
  <c r="H25" i="1" s="1"/>
  <c r="J25" i="1"/>
  <c r="K25" i="1"/>
  <c r="L25" i="1"/>
  <c r="M25" i="1" s="1"/>
  <c r="N25" i="1"/>
  <c r="P25" i="1"/>
  <c r="O25" i="1" s="1"/>
  <c r="Q25" i="1"/>
  <c r="R25" i="1" s="1"/>
  <c r="S25" i="1"/>
  <c r="U25" i="1"/>
  <c r="T25" i="1" s="1"/>
  <c r="V25" i="1"/>
  <c r="W25" i="1" s="1"/>
  <c r="X25" i="1"/>
  <c r="Y25" i="1" s="1"/>
  <c r="Z25" i="1"/>
  <c r="AE25" i="1"/>
  <c r="AA25" i="1" s="1"/>
  <c r="AB25" i="1" s="1"/>
  <c r="AC25" i="1" s="1"/>
  <c r="AD25" i="1" s="1"/>
  <c r="C26" i="1"/>
  <c r="D26" i="1"/>
  <c r="E26" i="1"/>
  <c r="F26" i="1"/>
  <c r="G26" i="1"/>
  <c r="H26" i="1" s="1"/>
  <c r="I26" i="1"/>
  <c r="K26" i="1"/>
  <c r="J26" i="1" s="1"/>
  <c r="L26" i="1"/>
  <c r="M26" i="1" s="1"/>
  <c r="N26" i="1"/>
  <c r="P26" i="1"/>
  <c r="O26" i="1" s="1"/>
  <c r="Q26" i="1"/>
  <c r="R26" i="1" s="1"/>
  <c r="S26" i="1"/>
  <c r="T26" i="1" s="1"/>
  <c r="U26" i="1"/>
  <c r="X26" i="1"/>
  <c r="V26" i="1" s="1"/>
  <c r="W26" i="1" s="1"/>
  <c r="Z26" i="1"/>
  <c r="AA26" i="1"/>
  <c r="AB26" i="1"/>
  <c r="AC26" i="1"/>
  <c r="AD26" i="1" s="1"/>
  <c r="AE26" i="1"/>
  <c r="C27" i="1"/>
  <c r="D27" i="1"/>
  <c r="F27" i="1"/>
  <c r="E27" i="1" s="1"/>
  <c r="G27" i="1"/>
  <c r="H27" i="1" s="1"/>
  <c r="I27" i="1"/>
  <c r="K27" i="1"/>
  <c r="J27" i="1" s="1"/>
  <c r="L27" i="1"/>
  <c r="M27" i="1" s="1"/>
  <c r="N27" i="1"/>
  <c r="O27" i="1" s="1"/>
  <c r="P27" i="1"/>
  <c r="S27" i="1"/>
  <c r="Q27" i="1" s="1"/>
  <c r="R27" i="1" s="1"/>
  <c r="U27" i="1"/>
  <c r="X27" i="1"/>
  <c r="Z27" i="1"/>
  <c r="AA27" i="1" s="1"/>
  <c r="AB27" i="1" s="1"/>
  <c r="AC27" i="1" s="1"/>
  <c r="AD27" i="1" s="1"/>
  <c r="AE27" i="1"/>
  <c r="C28" i="1"/>
  <c r="D28" i="1"/>
  <c r="F28" i="1"/>
  <c r="E28" i="1" s="1"/>
  <c r="G28" i="1"/>
  <c r="H28" i="1" s="1"/>
  <c r="I28" i="1"/>
  <c r="J28" i="1" s="1"/>
  <c r="K28" i="1"/>
  <c r="L28" i="1" s="1"/>
  <c r="M28" i="1" s="1"/>
  <c r="N28" i="1"/>
  <c r="O28" i="1" s="1"/>
  <c r="P28" i="1"/>
  <c r="S28" i="1"/>
  <c r="U28" i="1"/>
  <c r="V28" i="1" s="1"/>
  <c r="W28" i="1" s="1"/>
  <c r="X28" i="1"/>
  <c r="Z28" i="1"/>
  <c r="Y28" i="1" s="1"/>
  <c r="AE28" i="1"/>
  <c r="C29" i="1"/>
  <c r="D29" i="1"/>
  <c r="E29" i="1" s="1"/>
  <c r="F29" i="1"/>
  <c r="I29" i="1"/>
  <c r="G29" i="1" s="1"/>
  <c r="H29" i="1" s="1"/>
  <c r="K29" i="1"/>
  <c r="N29" i="1"/>
  <c r="P29" i="1"/>
  <c r="Q29" i="1" s="1"/>
  <c r="R29" i="1" s="1"/>
  <c r="S29" i="1"/>
  <c r="U29" i="1"/>
  <c r="T29" i="1" s="1"/>
  <c r="X29" i="1"/>
  <c r="Z29" i="1"/>
  <c r="AE29" i="1"/>
  <c r="Y27" i="1" l="1"/>
  <c r="V27" i="1"/>
  <c r="W27" i="1" s="1"/>
  <c r="T28" i="1"/>
  <c r="Q28" i="1"/>
  <c r="R28" i="1" s="1"/>
  <c r="AA29" i="1"/>
  <c r="AB29" i="1" s="1"/>
  <c r="AC29" i="1" s="1"/>
  <c r="AD29" i="1" s="1"/>
  <c r="Y29" i="1"/>
  <c r="O29" i="1"/>
  <c r="L29" i="1"/>
  <c r="M29" i="1" s="1"/>
  <c r="V29" i="1"/>
  <c r="W29" i="1" s="1"/>
  <c r="J29" i="1"/>
  <c r="AA28" i="1"/>
  <c r="AB28" i="1" s="1"/>
  <c r="AC28" i="1" s="1"/>
  <c r="AD28" i="1" s="1"/>
  <c r="T27" i="1"/>
  <c r="Y26" i="1"/>
  <c r="AE429" i="1" l="1"/>
  <c r="Z429" i="1"/>
  <c r="X429" i="1"/>
  <c r="U429" i="1"/>
  <c r="V429" i="1" s="1"/>
  <c r="W429" i="1" s="1"/>
  <c r="S429" i="1"/>
  <c r="T429" i="1" s="1"/>
  <c r="P429" i="1"/>
  <c r="Q429" i="1" s="1"/>
  <c r="R429" i="1" s="1"/>
  <c r="N429" i="1"/>
  <c r="O429" i="1" s="1"/>
  <c r="K429" i="1"/>
  <c r="I429" i="1"/>
  <c r="F429" i="1"/>
  <c r="G429" i="1" s="1"/>
  <c r="H429" i="1" s="1"/>
  <c r="D429" i="1"/>
  <c r="E429" i="1" s="1"/>
  <c r="C429" i="1"/>
  <c r="AE428" i="1"/>
  <c r="Z428" i="1"/>
  <c r="AA428" i="1" s="1"/>
  <c r="AB428" i="1" s="1"/>
  <c r="AC428" i="1" s="1"/>
  <c r="AD428" i="1" s="1"/>
  <c r="X428" i="1"/>
  <c r="U428" i="1"/>
  <c r="V428" i="1" s="1"/>
  <c r="W428" i="1" s="1"/>
  <c r="S428" i="1"/>
  <c r="T428" i="1" s="1"/>
  <c r="P428" i="1"/>
  <c r="N428" i="1"/>
  <c r="K428" i="1"/>
  <c r="I428" i="1"/>
  <c r="J428" i="1" s="1"/>
  <c r="F428" i="1"/>
  <c r="D428" i="1"/>
  <c r="C428" i="1"/>
  <c r="AE427" i="1"/>
  <c r="Z427" i="1"/>
  <c r="AA427" i="1" s="1"/>
  <c r="AB427" i="1" s="1"/>
  <c r="AC427" i="1" s="1"/>
  <c r="AD427" i="1" s="1"/>
  <c r="X427" i="1"/>
  <c r="U427" i="1"/>
  <c r="V427" i="1" s="1"/>
  <c r="W427" i="1" s="1"/>
  <c r="S427" i="1"/>
  <c r="P427" i="1"/>
  <c r="Q427" i="1" s="1"/>
  <c r="R427" i="1" s="1"/>
  <c r="N427" i="1"/>
  <c r="O427" i="1" s="1"/>
  <c r="K427" i="1"/>
  <c r="I427" i="1"/>
  <c r="F427" i="1"/>
  <c r="D427" i="1"/>
  <c r="C427" i="1"/>
  <c r="AE426" i="1"/>
  <c r="Z426" i="1"/>
  <c r="AA426" i="1" s="1"/>
  <c r="AB426" i="1" s="1"/>
  <c r="AC426" i="1" s="1"/>
  <c r="AD426" i="1" s="1"/>
  <c r="X426" i="1"/>
  <c r="U426" i="1"/>
  <c r="S426" i="1"/>
  <c r="T426" i="1" s="1"/>
  <c r="P426" i="1"/>
  <c r="Q426" i="1" s="1"/>
  <c r="R426" i="1" s="1"/>
  <c r="N426" i="1"/>
  <c r="O426" i="1" s="1"/>
  <c r="K426" i="1"/>
  <c r="I426" i="1"/>
  <c r="J426" i="1" s="1"/>
  <c r="F426" i="1"/>
  <c r="G426" i="1" s="1"/>
  <c r="H426" i="1" s="1"/>
  <c r="D426" i="1"/>
  <c r="E426" i="1" s="1"/>
  <c r="C426" i="1"/>
  <c r="AE425" i="1"/>
  <c r="Z425" i="1"/>
  <c r="X425" i="1"/>
  <c r="U425" i="1"/>
  <c r="V425" i="1" s="1"/>
  <c r="W425" i="1" s="1"/>
  <c r="S425" i="1"/>
  <c r="T425" i="1" s="1"/>
  <c r="P425" i="1"/>
  <c r="Q425" i="1" s="1"/>
  <c r="R425" i="1" s="1"/>
  <c r="N425" i="1"/>
  <c r="K425" i="1"/>
  <c r="I425" i="1"/>
  <c r="J425" i="1" s="1"/>
  <c r="F425" i="1"/>
  <c r="G425" i="1" s="1"/>
  <c r="H425" i="1" s="1"/>
  <c r="D425" i="1"/>
  <c r="E425" i="1" s="1"/>
  <c r="C425" i="1"/>
  <c r="AE424" i="1"/>
  <c r="C424" i="1"/>
  <c r="L425" i="1" l="1"/>
  <c r="M425" i="1" s="1"/>
  <c r="L427" i="1"/>
  <c r="M427" i="1" s="1"/>
  <c r="L428" i="1"/>
  <c r="M428" i="1" s="1"/>
  <c r="V426" i="1"/>
  <c r="W426" i="1" s="1"/>
  <c r="Y427" i="1"/>
  <c r="Y428" i="1"/>
  <c r="Y429" i="1"/>
  <c r="C441" i="1"/>
  <c r="C41" i="1"/>
  <c r="C38" i="1"/>
  <c r="C39" i="1"/>
  <c r="C40" i="1"/>
  <c r="C37" i="1"/>
  <c r="AE440" i="1"/>
  <c r="AE40" i="1"/>
  <c r="AE38" i="1"/>
  <c r="AE41" i="1"/>
  <c r="AE37" i="1"/>
  <c r="AE39" i="1"/>
  <c r="AA425" i="1"/>
  <c r="AB425" i="1" s="1"/>
  <c r="AC425" i="1" s="1"/>
  <c r="AD425" i="1" s="1"/>
  <c r="Y425" i="1"/>
  <c r="O428" i="1"/>
  <c r="J429" i="1"/>
  <c r="T427" i="1"/>
  <c r="Q428" i="1"/>
  <c r="R428" i="1" s="1"/>
  <c r="L429" i="1"/>
  <c r="M429" i="1" s="1"/>
  <c r="G427" i="1"/>
  <c r="H427" i="1" s="1"/>
  <c r="E428" i="1"/>
  <c r="AA429" i="1"/>
  <c r="AB429" i="1" s="1"/>
  <c r="AC429" i="1" s="1"/>
  <c r="AD429" i="1" s="1"/>
  <c r="O425" i="1"/>
  <c r="J427" i="1"/>
  <c r="G428" i="1"/>
  <c r="H428" i="1" s="1"/>
  <c r="Y426" i="1"/>
  <c r="L426" i="1"/>
  <c r="M426" i="1" s="1"/>
  <c r="D424" i="1"/>
  <c r="AE438" i="1"/>
  <c r="C439" i="1"/>
  <c r="C437" i="1"/>
  <c r="AE441" i="1"/>
  <c r="E427" i="1"/>
  <c r="AE439" i="1"/>
  <c r="C440" i="1"/>
  <c r="AE437" i="1"/>
  <c r="C438" i="1"/>
  <c r="D41" i="1" l="1"/>
  <c r="D51" i="1" s="1"/>
  <c r="D40" i="1"/>
  <c r="D50" i="1" s="1"/>
  <c r="D39" i="1"/>
  <c r="D49" i="1" s="1"/>
  <c r="D37" i="1"/>
  <c r="D47" i="1" s="1"/>
  <c r="D38" i="1"/>
  <c r="D48" i="1" s="1"/>
  <c r="D438" i="1"/>
  <c r="D448" i="1" s="1"/>
  <c r="D440" i="1"/>
  <c r="D450" i="1" s="1"/>
  <c r="D437" i="1"/>
  <c r="D447" i="1" s="1"/>
  <c r="D439" i="1"/>
  <c r="D449" i="1" s="1"/>
  <c r="D441" i="1"/>
  <c r="D451" i="1" s="1"/>
  <c r="E424" i="1"/>
  <c r="E38" i="1" l="1"/>
  <c r="E48" i="1" s="1"/>
  <c r="E41" i="1"/>
  <c r="E51" i="1" s="1"/>
  <c r="E39" i="1"/>
  <c r="E49" i="1" s="1"/>
  <c r="E37" i="1"/>
  <c r="E47" i="1" s="1"/>
  <c r="E40" i="1"/>
  <c r="E50" i="1" s="1"/>
  <c r="E438" i="1"/>
  <c r="E448" i="1" s="1"/>
  <c r="E440" i="1"/>
  <c r="E450" i="1" s="1"/>
  <c r="E437" i="1"/>
  <c r="E447" i="1" s="1"/>
  <c r="E439" i="1"/>
  <c r="E449" i="1" s="1"/>
  <c r="E441" i="1"/>
  <c r="E451" i="1" s="1"/>
  <c r="F424" i="1"/>
  <c r="F38" i="1" l="1"/>
  <c r="F48" i="1" s="1"/>
  <c r="F39" i="1"/>
  <c r="F49" i="1" s="1"/>
  <c r="F41" i="1"/>
  <c r="F51" i="1" s="1"/>
  <c r="F37" i="1"/>
  <c r="F47" i="1" s="1"/>
  <c r="F40" i="1"/>
  <c r="F50" i="1" s="1"/>
  <c r="F438" i="1"/>
  <c r="F448" i="1" s="1"/>
  <c r="F440" i="1"/>
  <c r="F450" i="1" s="1"/>
  <c r="F437" i="1"/>
  <c r="F447" i="1" s="1"/>
  <c r="F439" i="1"/>
  <c r="F449" i="1" s="1"/>
  <c r="F441" i="1"/>
  <c r="F451" i="1" s="1"/>
  <c r="G424" i="1"/>
  <c r="G40" i="1" l="1"/>
  <c r="G50" i="1" s="1"/>
  <c r="G38" i="1"/>
  <c r="G48" i="1" s="1"/>
  <c r="G37" i="1"/>
  <c r="G47" i="1" s="1"/>
  <c r="G41" i="1"/>
  <c r="G51" i="1" s="1"/>
  <c r="G39" i="1"/>
  <c r="G49" i="1" s="1"/>
  <c r="G440" i="1"/>
  <c r="G450" i="1" s="1"/>
  <c r="G437" i="1"/>
  <c r="G447" i="1" s="1"/>
  <c r="G439" i="1"/>
  <c r="G449" i="1" s="1"/>
  <c r="H424" i="1"/>
  <c r="G441" i="1"/>
  <c r="G451" i="1" s="1"/>
  <c r="G438" i="1"/>
  <c r="G448" i="1" s="1"/>
  <c r="H40" i="1" l="1"/>
  <c r="H50" i="1" s="1"/>
  <c r="H38" i="1"/>
  <c r="H48" i="1" s="1"/>
  <c r="H41" i="1"/>
  <c r="H51" i="1" s="1"/>
  <c r="H37" i="1"/>
  <c r="H47" i="1" s="1"/>
  <c r="H39" i="1"/>
  <c r="H49" i="1" s="1"/>
  <c r="H440" i="1"/>
  <c r="H450" i="1" s="1"/>
  <c r="H437" i="1"/>
  <c r="H447" i="1" s="1"/>
  <c r="H439" i="1"/>
  <c r="H449" i="1" s="1"/>
  <c r="I424" i="1"/>
  <c r="H441" i="1"/>
  <c r="H451" i="1" s="1"/>
  <c r="H438" i="1"/>
  <c r="H448" i="1" s="1"/>
  <c r="I40" i="1" l="1"/>
  <c r="I50" i="1" s="1"/>
  <c r="I38" i="1"/>
  <c r="I48" i="1" s="1"/>
  <c r="I39" i="1"/>
  <c r="I49" i="1" s="1"/>
  <c r="I41" i="1"/>
  <c r="I51" i="1" s="1"/>
  <c r="I37" i="1"/>
  <c r="I47" i="1" s="1"/>
  <c r="I437" i="1"/>
  <c r="I447" i="1" s="1"/>
  <c r="I439" i="1"/>
  <c r="I449" i="1" s="1"/>
  <c r="I441" i="1"/>
  <c r="I451" i="1" s="1"/>
  <c r="J424" i="1"/>
  <c r="I438" i="1"/>
  <c r="I448" i="1" s="1"/>
  <c r="I440" i="1"/>
  <c r="I450" i="1" s="1"/>
  <c r="J37" i="1" l="1"/>
  <c r="J47" i="1" s="1"/>
  <c r="J40" i="1"/>
  <c r="J50" i="1" s="1"/>
  <c r="J38" i="1"/>
  <c r="J48" i="1" s="1"/>
  <c r="J41" i="1"/>
  <c r="J51" i="1" s="1"/>
  <c r="J39" i="1"/>
  <c r="J49" i="1" s="1"/>
  <c r="J437" i="1"/>
  <c r="J447" i="1" s="1"/>
  <c r="J439" i="1"/>
  <c r="J449" i="1" s="1"/>
  <c r="J441" i="1"/>
  <c r="J451" i="1" s="1"/>
  <c r="K424" i="1"/>
  <c r="J438" i="1"/>
  <c r="J448" i="1" s="1"/>
  <c r="J440" i="1"/>
  <c r="J450" i="1" s="1"/>
  <c r="K37" i="1" l="1"/>
  <c r="K47" i="1" s="1"/>
  <c r="K38" i="1"/>
  <c r="K48" i="1" s="1"/>
  <c r="K41" i="1"/>
  <c r="K51" i="1" s="1"/>
  <c r="K40" i="1"/>
  <c r="K50" i="1" s="1"/>
  <c r="K39" i="1"/>
  <c r="K49" i="1" s="1"/>
  <c r="K437" i="1"/>
  <c r="K447" i="1" s="1"/>
  <c r="K439" i="1"/>
  <c r="K449" i="1" s="1"/>
  <c r="K441" i="1"/>
  <c r="K451" i="1" s="1"/>
  <c r="K438" i="1"/>
  <c r="K448" i="1" s="1"/>
  <c r="K440" i="1"/>
  <c r="K450" i="1" s="1"/>
  <c r="L424" i="1"/>
  <c r="L39" i="1" l="1"/>
  <c r="L49" i="1" s="1"/>
  <c r="L37" i="1"/>
  <c r="L47" i="1" s="1"/>
  <c r="L40" i="1"/>
  <c r="L50" i="1" s="1"/>
  <c r="L41" i="1"/>
  <c r="L51" i="1" s="1"/>
  <c r="L38" i="1"/>
  <c r="L48" i="1" s="1"/>
  <c r="L439" i="1"/>
  <c r="L449" i="1" s="1"/>
  <c r="L441" i="1"/>
  <c r="L451" i="1" s="1"/>
  <c r="L438" i="1"/>
  <c r="L448" i="1" s="1"/>
  <c r="L440" i="1"/>
  <c r="L450" i="1" s="1"/>
  <c r="L437" i="1"/>
  <c r="L447" i="1" s="1"/>
  <c r="M424" i="1"/>
  <c r="M39" i="1" l="1"/>
  <c r="M49" i="1" s="1"/>
  <c r="M40" i="1"/>
  <c r="M50" i="1" s="1"/>
  <c r="M37" i="1"/>
  <c r="M47" i="1" s="1"/>
  <c r="M38" i="1"/>
  <c r="M48" i="1" s="1"/>
  <c r="M41" i="1"/>
  <c r="M51" i="1" s="1"/>
  <c r="M439" i="1"/>
  <c r="M449" i="1" s="1"/>
  <c r="M441" i="1"/>
  <c r="M451" i="1" s="1"/>
  <c r="M438" i="1"/>
  <c r="M448" i="1" s="1"/>
  <c r="M440" i="1"/>
  <c r="M450" i="1" s="1"/>
  <c r="M437" i="1"/>
  <c r="M447" i="1" s="1"/>
  <c r="N424" i="1"/>
  <c r="N41" i="1" l="1"/>
  <c r="N51" i="1" s="1"/>
  <c r="N39" i="1"/>
  <c r="N49" i="1" s="1"/>
  <c r="N37" i="1"/>
  <c r="N47" i="1" s="1"/>
  <c r="N38" i="1"/>
  <c r="N48" i="1" s="1"/>
  <c r="N40" i="1"/>
  <c r="N50" i="1" s="1"/>
  <c r="N441" i="1"/>
  <c r="N451" i="1" s="1"/>
  <c r="N438" i="1"/>
  <c r="N448" i="1" s="1"/>
  <c r="N440" i="1"/>
  <c r="N450" i="1" s="1"/>
  <c r="N437" i="1"/>
  <c r="N447" i="1" s="1"/>
  <c r="N439" i="1"/>
  <c r="N449" i="1" s="1"/>
  <c r="O424" i="1"/>
  <c r="O41" i="1" l="1"/>
  <c r="O51" i="1" s="1"/>
  <c r="O40" i="1"/>
  <c r="O50" i="1" s="1"/>
  <c r="O39" i="1"/>
  <c r="O49" i="1" s="1"/>
  <c r="O38" i="1"/>
  <c r="O48" i="1" s="1"/>
  <c r="O37" i="1"/>
  <c r="O47" i="1" s="1"/>
  <c r="O441" i="1"/>
  <c r="O451" i="1" s="1"/>
  <c r="O438" i="1"/>
  <c r="O448" i="1" s="1"/>
  <c r="O440" i="1"/>
  <c r="O450" i="1" s="1"/>
  <c r="O437" i="1"/>
  <c r="O447" i="1" s="1"/>
  <c r="O439" i="1"/>
  <c r="O449" i="1" s="1"/>
  <c r="P424" i="1"/>
  <c r="P41" i="1" l="1"/>
  <c r="P51" i="1" s="1"/>
  <c r="P37" i="1"/>
  <c r="P47" i="1" s="1"/>
  <c r="P39" i="1"/>
  <c r="P49" i="1" s="1"/>
  <c r="P40" i="1"/>
  <c r="P50" i="1" s="1"/>
  <c r="P38" i="1"/>
  <c r="P48" i="1" s="1"/>
  <c r="P438" i="1"/>
  <c r="P448" i="1" s="1"/>
  <c r="P440" i="1"/>
  <c r="P450" i="1" s="1"/>
  <c r="P437" i="1"/>
  <c r="P447" i="1" s="1"/>
  <c r="P439" i="1"/>
  <c r="P449" i="1" s="1"/>
  <c r="P441" i="1"/>
  <c r="P451" i="1" s="1"/>
  <c r="Q424" i="1"/>
  <c r="Q38" i="1" l="1"/>
  <c r="Q48" i="1" s="1"/>
  <c r="Q41" i="1"/>
  <c r="Q51" i="1" s="1"/>
  <c r="Q39" i="1"/>
  <c r="Q49" i="1" s="1"/>
  <c r="Q40" i="1"/>
  <c r="Q50" i="1" s="1"/>
  <c r="Q37" i="1"/>
  <c r="Q47" i="1" s="1"/>
  <c r="Q438" i="1"/>
  <c r="Q448" i="1" s="1"/>
  <c r="Q440" i="1"/>
  <c r="Q450" i="1" s="1"/>
  <c r="Q437" i="1"/>
  <c r="Q447" i="1" s="1"/>
  <c r="Q439" i="1"/>
  <c r="Q449" i="1" s="1"/>
  <c r="Q441" i="1"/>
  <c r="Q451" i="1" s="1"/>
  <c r="R424" i="1"/>
  <c r="R38" i="1" l="1"/>
  <c r="R48" i="1" s="1"/>
  <c r="R41" i="1"/>
  <c r="R51" i="1" s="1"/>
  <c r="R39" i="1"/>
  <c r="R49" i="1" s="1"/>
  <c r="R37" i="1"/>
  <c r="R47" i="1" s="1"/>
  <c r="R40" i="1"/>
  <c r="R50" i="1" s="1"/>
  <c r="R438" i="1"/>
  <c r="R448" i="1" s="1"/>
  <c r="R440" i="1"/>
  <c r="R450" i="1" s="1"/>
  <c r="R437" i="1"/>
  <c r="R447" i="1" s="1"/>
  <c r="R439" i="1"/>
  <c r="R449" i="1" s="1"/>
  <c r="R441" i="1"/>
  <c r="R451" i="1" s="1"/>
  <c r="S424" i="1"/>
  <c r="S40" i="1" l="1"/>
  <c r="S50" i="1" s="1"/>
  <c r="S38" i="1"/>
  <c r="S48" i="1" s="1"/>
  <c r="S41" i="1"/>
  <c r="S51" i="1" s="1"/>
  <c r="S39" i="1"/>
  <c r="S49" i="1" s="1"/>
  <c r="S37" i="1"/>
  <c r="S47" i="1" s="1"/>
  <c r="S440" i="1"/>
  <c r="S450" i="1" s="1"/>
  <c r="S437" i="1"/>
  <c r="S447" i="1" s="1"/>
  <c r="S439" i="1"/>
  <c r="S449" i="1" s="1"/>
  <c r="T424" i="1"/>
  <c r="S441" i="1"/>
  <c r="S451" i="1" s="1"/>
  <c r="S438" i="1"/>
  <c r="S448" i="1" s="1"/>
  <c r="T40" i="1" l="1"/>
  <c r="T50" i="1" s="1"/>
  <c r="T38" i="1"/>
  <c r="T48" i="1" s="1"/>
  <c r="T41" i="1"/>
  <c r="T51" i="1" s="1"/>
  <c r="T39" i="1"/>
  <c r="T49" i="1" s="1"/>
  <c r="T37" i="1"/>
  <c r="T47" i="1" s="1"/>
  <c r="T440" i="1"/>
  <c r="T450" i="1" s="1"/>
  <c r="T437" i="1"/>
  <c r="T447" i="1" s="1"/>
  <c r="T439" i="1"/>
  <c r="T449" i="1" s="1"/>
  <c r="U424" i="1"/>
  <c r="T441" i="1"/>
  <c r="T451" i="1" s="1"/>
  <c r="T438" i="1"/>
  <c r="T448" i="1" s="1"/>
  <c r="U40" i="1" l="1"/>
  <c r="U50" i="1" s="1"/>
  <c r="U39" i="1"/>
  <c r="U49" i="1" s="1"/>
  <c r="U38" i="1"/>
  <c r="U48" i="1" s="1"/>
  <c r="U41" i="1"/>
  <c r="U51" i="1" s="1"/>
  <c r="U37" i="1"/>
  <c r="U47" i="1" s="1"/>
  <c r="U437" i="1"/>
  <c r="U447" i="1" s="1"/>
  <c r="U439" i="1"/>
  <c r="U449" i="1" s="1"/>
  <c r="U441" i="1"/>
  <c r="U451" i="1" s="1"/>
  <c r="V424" i="1"/>
  <c r="U438" i="1"/>
  <c r="U448" i="1" s="1"/>
  <c r="U440" i="1"/>
  <c r="U450" i="1" s="1"/>
  <c r="V37" i="1" l="1"/>
  <c r="V47" i="1" s="1"/>
  <c r="V38" i="1"/>
  <c r="V48" i="1" s="1"/>
  <c r="V40" i="1"/>
  <c r="V50" i="1" s="1"/>
  <c r="V41" i="1"/>
  <c r="V51" i="1" s="1"/>
  <c r="V39" i="1"/>
  <c r="V49" i="1" s="1"/>
  <c r="V437" i="1"/>
  <c r="V447" i="1" s="1"/>
  <c r="V439" i="1"/>
  <c r="V449" i="1" s="1"/>
  <c r="V441" i="1"/>
  <c r="V451" i="1" s="1"/>
  <c r="W424" i="1"/>
  <c r="V438" i="1"/>
  <c r="V448" i="1" s="1"/>
  <c r="V440" i="1"/>
  <c r="V450" i="1" s="1"/>
  <c r="W37" i="1" l="1"/>
  <c r="W47" i="1" s="1"/>
  <c r="W40" i="1"/>
  <c r="W50" i="1" s="1"/>
  <c r="W38" i="1"/>
  <c r="W48" i="1" s="1"/>
  <c r="W41" i="1"/>
  <c r="W51" i="1" s="1"/>
  <c r="W39" i="1"/>
  <c r="W49" i="1" s="1"/>
  <c r="W437" i="1"/>
  <c r="W447" i="1" s="1"/>
  <c r="W439" i="1"/>
  <c r="W449" i="1" s="1"/>
  <c r="W441" i="1"/>
  <c r="W451" i="1" s="1"/>
  <c r="W438" i="1"/>
  <c r="W448" i="1" s="1"/>
  <c r="W440" i="1"/>
  <c r="W450" i="1" s="1"/>
  <c r="X424" i="1"/>
  <c r="X39" i="1" l="1"/>
  <c r="X49" i="1" s="1"/>
  <c r="X37" i="1"/>
  <c r="X47" i="1" s="1"/>
  <c r="X40" i="1"/>
  <c r="X50" i="1" s="1"/>
  <c r="X38" i="1"/>
  <c r="X48" i="1" s="1"/>
  <c r="X41" i="1"/>
  <c r="X51" i="1" s="1"/>
  <c r="X439" i="1"/>
  <c r="X449" i="1" s="1"/>
  <c r="X441" i="1"/>
  <c r="X451" i="1" s="1"/>
  <c r="X438" i="1"/>
  <c r="X448" i="1" s="1"/>
  <c r="X440" i="1"/>
  <c r="X450" i="1" s="1"/>
  <c r="X437" i="1"/>
  <c r="X447" i="1" s="1"/>
  <c r="Y424" i="1"/>
  <c r="Y39" i="1" l="1"/>
  <c r="Y49" i="1" s="1"/>
  <c r="Y37" i="1"/>
  <c r="Y47" i="1" s="1"/>
  <c r="Y40" i="1"/>
  <c r="Y50" i="1" s="1"/>
  <c r="Y38" i="1"/>
  <c r="Y48" i="1" s="1"/>
  <c r="Y41" i="1"/>
  <c r="Y51" i="1" s="1"/>
  <c r="Y439" i="1"/>
  <c r="Y449" i="1" s="1"/>
  <c r="Y441" i="1"/>
  <c r="Y451" i="1" s="1"/>
  <c r="Y438" i="1"/>
  <c r="Y448" i="1" s="1"/>
  <c r="Y440" i="1"/>
  <c r="Y450" i="1" s="1"/>
  <c r="Y437" i="1"/>
  <c r="Y447" i="1" s="1"/>
  <c r="Z424" i="1"/>
  <c r="Z41" i="1" l="1"/>
  <c r="Z51" i="1" s="1"/>
  <c r="Z39" i="1"/>
  <c r="Z49" i="1" s="1"/>
  <c r="Z38" i="1"/>
  <c r="Z48" i="1" s="1"/>
  <c r="Z37" i="1"/>
  <c r="Z47" i="1" s="1"/>
  <c r="Z40" i="1"/>
  <c r="Z50" i="1" s="1"/>
  <c r="Z441" i="1"/>
  <c r="Z451" i="1" s="1"/>
  <c r="Z438" i="1"/>
  <c r="Z448" i="1" s="1"/>
  <c r="Z440" i="1"/>
  <c r="Z450" i="1" s="1"/>
  <c r="Z437" i="1"/>
  <c r="Z447" i="1" s="1"/>
  <c r="AA424" i="1"/>
  <c r="Z439" i="1"/>
  <c r="Z449" i="1" s="1"/>
  <c r="AA41" i="1" l="1"/>
  <c r="AA51" i="1" s="1"/>
  <c r="AA39" i="1"/>
  <c r="AA49" i="1" s="1"/>
  <c r="AA37" i="1"/>
  <c r="AA47" i="1" s="1"/>
  <c r="AA38" i="1"/>
  <c r="AA48" i="1" s="1"/>
  <c r="AA40" i="1"/>
  <c r="AA50" i="1" s="1"/>
  <c r="AA441" i="1"/>
  <c r="AA451" i="1" s="1"/>
  <c r="AA438" i="1"/>
  <c r="AA448" i="1" s="1"/>
  <c r="AA440" i="1"/>
  <c r="AA450" i="1" s="1"/>
  <c r="AA437" i="1"/>
  <c r="AA447" i="1" s="1"/>
  <c r="AA439" i="1"/>
  <c r="AA449" i="1" s="1"/>
  <c r="AB424" i="1"/>
  <c r="AB41" i="1" l="1"/>
  <c r="AB51" i="1" s="1"/>
  <c r="AB39" i="1"/>
  <c r="AB49" i="1" s="1"/>
  <c r="AB37" i="1"/>
  <c r="AB47" i="1" s="1"/>
  <c r="AB40" i="1"/>
  <c r="AB50" i="1" s="1"/>
  <c r="AB38" i="1"/>
  <c r="AB48" i="1" s="1"/>
  <c r="AB438" i="1"/>
  <c r="AB448" i="1" s="1"/>
  <c r="AB440" i="1"/>
  <c r="AB450" i="1" s="1"/>
  <c r="AB437" i="1"/>
  <c r="AB447" i="1" s="1"/>
  <c r="AB439" i="1"/>
  <c r="AB449" i="1" s="1"/>
  <c r="AC424" i="1"/>
  <c r="AB441" i="1"/>
  <c r="AB451" i="1" s="1"/>
  <c r="AC38" i="1" l="1"/>
  <c r="AC48" i="1" s="1"/>
  <c r="AC41" i="1"/>
  <c r="AC51" i="1" s="1"/>
  <c r="AC39" i="1"/>
  <c r="AC49" i="1" s="1"/>
  <c r="AC37" i="1"/>
  <c r="AC47" i="1" s="1"/>
  <c r="AC40" i="1"/>
  <c r="AC50" i="1" s="1"/>
  <c r="AC438" i="1"/>
  <c r="AC448" i="1" s="1"/>
  <c r="AC440" i="1"/>
  <c r="AC450" i="1" s="1"/>
  <c r="AC437" i="1"/>
  <c r="AC447" i="1" s="1"/>
  <c r="AC439" i="1"/>
  <c r="AC449" i="1" s="1"/>
  <c r="AC441" i="1"/>
  <c r="AC451" i="1" s="1"/>
  <c r="AD424" i="1"/>
  <c r="AD38" i="1" l="1"/>
  <c r="AD39" i="1"/>
  <c r="AD41" i="1"/>
  <c r="AD37" i="1"/>
  <c r="AD40" i="1"/>
  <c r="AD438" i="1"/>
  <c r="AD440" i="1"/>
  <c r="AD437" i="1"/>
  <c r="AD439" i="1"/>
  <c r="AD441" i="1"/>
  <c r="AD50" i="1" l="1"/>
  <c r="AE50" i="1"/>
  <c r="AD47" i="1"/>
  <c r="AE47" i="1"/>
  <c r="AD51" i="1"/>
  <c r="AE51" i="1"/>
  <c r="AD49" i="1"/>
  <c r="AE49" i="1"/>
  <c r="AD48" i="1"/>
  <c r="AE48" i="1"/>
  <c r="AD448" i="1"/>
  <c r="AE448" i="1"/>
  <c r="AD451" i="1"/>
  <c r="AE451" i="1"/>
  <c r="AD449" i="1"/>
  <c r="AE449" i="1"/>
  <c r="AD447" i="1"/>
  <c r="AE447" i="1"/>
  <c r="AD450" i="1"/>
  <c r="AE450" i="1"/>
</calcChain>
</file>

<file path=xl/sharedStrings.xml><?xml version="1.0" encoding="utf-8"?>
<sst xmlns="http://schemas.openxmlformats.org/spreadsheetml/2006/main" count="122" uniqueCount="45">
  <si>
    <t>Calcul pour les technologies de capture et de stockage du carbone</t>
  </si>
  <si>
    <t>Part des émissions couvertes par les CCS (données DGEC)</t>
  </si>
  <si>
    <t>Industries</t>
  </si>
  <si>
    <t>Energie</t>
  </si>
  <si>
    <t>Emissions couvertes (en tCO2, DGEC)</t>
  </si>
  <si>
    <t>BECCS industries</t>
  </si>
  <si>
    <t>CCS industries</t>
  </si>
  <si>
    <t>DACCS énergie</t>
  </si>
  <si>
    <t>BECCS énergie</t>
  </si>
  <si>
    <t>CCS énergie</t>
  </si>
  <si>
    <t>Hypothèse coût de capture (AIE, en € 2020)</t>
  </si>
  <si>
    <t>Interpolation</t>
  </si>
  <si>
    <t>Hypothèse coût de capture</t>
  </si>
  <si>
    <t>Inflation entre 2006 et 2020 (sortie ThreeME)</t>
  </si>
  <si>
    <t>Stock d'émissions capturées (en € 2006)</t>
  </si>
  <si>
    <t>Taux de dépréciation (AIE)</t>
  </si>
  <si>
    <t>Calcul investissement</t>
  </si>
  <si>
    <t>Y_21_1</t>
  </si>
  <si>
    <t>Y_2201_1</t>
  </si>
  <si>
    <t>Y_2202_1</t>
  </si>
  <si>
    <t>Y_2301_1</t>
  </si>
  <si>
    <t>Y_2302_1</t>
  </si>
  <si>
    <t>Y_2303_1</t>
  </si>
  <si>
    <t>Y_2304_1</t>
  </si>
  <si>
    <t>Y_2305_1</t>
  </si>
  <si>
    <t>Y_2306_1</t>
  </si>
  <si>
    <t>Y_2307_1</t>
  </si>
  <si>
    <t>Y_2308_1</t>
  </si>
  <si>
    <t>Y_2401_1</t>
  </si>
  <si>
    <t>Y_2402_1</t>
  </si>
  <si>
    <t>Y_2403_1</t>
  </si>
  <si>
    <t>Y_2404_1</t>
  </si>
  <si>
    <t>Y_2405_1</t>
  </si>
  <si>
    <t>Y_2406_1</t>
  </si>
  <si>
    <t>Y_02_1</t>
  </si>
  <si>
    <t>Y_03_1</t>
  </si>
  <si>
    <t>Y_04_1</t>
  </si>
  <si>
    <t>Y_05_1</t>
  </si>
  <si>
    <t>Y_06_1</t>
  </si>
  <si>
    <t>Y_07_1</t>
  </si>
  <si>
    <t>Y_08_1</t>
  </si>
  <si>
    <t>Y_09_1</t>
  </si>
  <si>
    <t>Y_10_1</t>
  </si>
  <si>
    <t>Y_11_1</t>
  </si>
  <si>
    <t>Y_12_1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</si>
</sst>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i/>
      <sz val="10"/>
      <color theme="0" tint="-0.34998626667073579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22">
    <xf numFmtId="0" fontId="0" fillId="0" borderId="0" xfId="0"/>
    <xf numFmtId="1" fontId="2" fillId="0" borderId="0" xfId="0" applyNumberFormat="1" applyFont="1"/>
    <xf numFmtId="164" fontId="2" fillId="0" borderId="0" xfId="0" applyNumberFormat="1" applyFont="1"/>
    <xf numFmtId="164" fontId="3" fillId="0" borderId="0" xfId="0" applyNumberFormat="1" applyFont="1"/>
    <xf numFmtId="164" fontId="2" fillId="0" borderId="0" xfId="2" applyNumberFormat="1"/>
    <xf numFmtId="164" fontId="4" fillId="0" borderId="0" xfId="2" applyNumberFormat="1" applyFont="1"/>
    <xf numFmtId="1" fontId="2" fillId="2" borderId="0" xfId="0" applyNumberFormat="1" applyFont="1" applyFill="1"/>
    <xf numFmtId="164" fontId="2" fillId="2" borderId="0" xfId="0" applyNumberFormat="1" applyFont="1" applyFill="1"/>
    <xf numFmtId="164" fontId="4" fillId="2" borderId="0" xfId="0" applyNumberFormat="1" applyFont="1" applyFill="1"/>
    <xf numFmtId="164" fontId="3" fillId="2" borderId="0" xfId="0" applyNumberFormat="1" applyFont="1" applyFill="1"/>
    <xf numFmtId="0" fontId="0" fillId="3" borderId="1" xfId="0" applyFill="1" applyBorder="1" applyAlignment="1">
      <alignment horizontal="center"/>
    </xf>
    <xf numFmtId="164" fontId="4" fillId="0" borderId="0" xfId="0" applyNumberFormat="1" applyFont="1"/>
    <xf numFmtId="164" fontId="2" fillId="0" borderId="2" xfId="0" applyNumberFormat="1" applyFont="1" applyBorder="1"/>
    <xf numFmtId="1" fontId="2" fillId="0" borderId="0" xfId="3" applyNumberFormat="1"/>
    <xf numFmtId="164" fontId="2" fillId="0" borderId="0" xfId="1" applyNumberFormat="1" applyFont="1" applyFill="1" applyAlignment="1">
      <alignment horizontal="left"/>
    </xf>
    <xf numFmtId="164" fontId="2" fillId="0" borderId="0" xfId="3" applyNumberFormat="1"/>
    <xf numFmtId="1" fontId="2" fillId="0" borderId="2" xfId="0" applyNumberFormat="1" applyFont="1" applyBorder="1"/>
    <xf numFmtId="164" fontId="2" fillId="0" borderId="2" xfId="2" applyNumberFormat="1" applyBorder="1"/>
    <xf numFmtId="1" fontId="2" fillId="0" borderId="2" xfId="0" applyNumberFormat="1" applyFont="1" applyBorder="1" applyAlignment="1">
      <alignment horizontal="center"/>
    </xf>
    <xf numFmtId="1" fontId="2" fillId="0" borderId="1" xfId="0" applyNumberFormat="1" applyFont="1" applyBorder="1"/>
    <xf numFmtId="0" fontId="0" fillId="0" borderId="2" xfId="0" applyBorder="1"/>
    <xf numFmtId="1" fontId="0" fillId="0" borderId="2" xfId="0" applyNumberFormat="1" applyBorder="1"/>
  </cellXfs>
  <cellStyles count="4">
    <cellStyle name="Milliers" xfId="1" builtinId="3"/>
    <cellStyle name="Motif 2 2" xfId="3" xr:uid="{21BF275F-3DAA-42A1-BEDE-4EE1986E0D3F}"/>
    <cellStyle name="Normal" xfId="0" builtinId="0"/>
    <cellStyle name="Normal 2 2" xfId="2" xr:uid="{D43C1EC6-4CB9-4014-B4B1-3945745D854D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72ED-7FC9-4F03-9F12-7DE63FD28A90}">
  <dimension ref="A1:FO484"/>
  <sheetViews>
    <sheetView tabSelected="1" topLeftCell="A400" workbookViewId="0">
      <selection activeCell="E385" sqref="E385"/>
    </sheetView>
  </sheetViews>
  <sheetFormatPr baseColWidth="10" defaultRowHeight="15" x14ac:dyDescent="0.25"/>
  <sheetData>
    <row r="1" spans="1:171" s="4" customFormat="1" ht="12.75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3"/>
      <c r="FO1" s="5"/>
    </row>
    <row r="2" spans="1:171" s="7" customFormat="1" ht="12.75" x14ac:dyDescent="0.2">
      <c r="A2" s="6"/>
      <c r="B2" s="7" t="s">
        <v>0</v>
      </c>
      <c r="O2" s="8"/>
      <c r="T2" s="8"/>
      <c r="Y2" s="8"/>
      <c r="AD2" s="8"/>
      <c r="AX2" s="9"/>
    </row>
    <row r="3" spans="1:171" s="2" customFormat="1" ht="12.75" x14ac:dyDescent="0.2">
      <c r="A3" s="1"/>
      <c r="AX3" s="3"/>
    </row>
    <row r="4" spans="1:171" s="2" customFormat="1" x14ac:dyDescent="0.25">
      <c r="A4" s="1"/>
      <c r="B4" s="2" t="s">
        <v>1</v>
      </c>
      <c r="C4" s="10">
        <v>2022</v>
      </c>
      <c r="D4" s="10">
        <v>2023</v>
      </c>
      <c r="E4" s="10">
        <v>2025</v>
      </c>
      <c r="F4" s="10">
        <v>2028</v>
      </c>
      <c r="G4" s="10">
        <v>2030</v>
      </c>
      <c r="H4" s="10">
        <v>2033</v>
      </c>
      <c r="I4" s="10">
        <v>2035</v>
      </c>
      <c r="J4" s="10">
        <v>2038</v>
      </c>
      <c r="K4" s="10">
        <v>2040</v>
      </c>
      <c r="L4" s="10">
        <v>2043</v>
      </c>
      <c r="M4" s="10">
        <v>2045</v>
      </c>
      <c r="N4" s="10">
        <v>2050</v>
      </c>
      <c r="O4" s="11"/>
      <c r="T4" s="11"/>
      <c r="Y4" s="11"/>
      <c r="AD4" s="11"/>
      <c r="AX4" s="3"/>
    </row>
    <row r="5" spans="1:171" s="2" customFormat="1" ht="12.75" x14ac:dyDescent="0.2">
      <c r="A5" s="1"/>
      <c r="B5" s="12" t="s">
        <v>2</v>
      </c>
      <c r="C5" s="12">
        <v>0</v>
      </c>
      <c r="D5" s="12">
        <v>0</v>
      </c>
      <c r="E5" s="12">
        <v>0</v>
      </c>
      <c r="F5" s="12">
        <v>4.3165398037837387E-2</v>
      </c>
      <c r="G5" s="12">
        <v>9.4042161277668068E-2</v>
      </c>
      <c r="H5" s="12">
        <v>0.14081607447481281</v>
      </c>
      <c r="I5" s="12">
        <v>0.15892973856719206</v>
      </c>
      <c r="J5" s="12">
        <v>0.18224172751097087</v>
      </c>
      <c r="K5" s="12">
        <v>0.21218505700698573</v>
      </c>
      <c r="L5" s="12">
        <v>0.25727305518315158</v>
      </c>
      <c r="M5" s="12">
        <v>0.28733172063392887</v>
      </c>
      <c r="N5" s="12">
        <v>0.38491511426983449</v>
      </c>
      <c r="AX5" s="3"/>
    </row>
    <row r="6" spans="1:171" s="2" customFormat="1" ht="12.75" x14ac:dyDescent="0.2">
      <c r="A6" s="1"/>
      <c r="B6" s="12" t="s">
        <v>3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2.1583081866494609E-2</v>
      </c>
      <c r="I6" s="12">
        <v>2.9229026772603559E-2</v>
      </c>
      <c r="J6" s="12">
        <v>5.4746130897036553E-2</v>
      </c>
      <c r="K6" s="12">
        <v>0.1293454453016728</v>
      </c>
      <c r="L6" s="12">
        <v>0.23501798816788388</v>
      </c>
      <c r="M6" s="12">
        <v>0.30546635007869133</v>
      </c>
      <c r="N6" s="12">
        <v>0.71665456715629039</v>
      </c>
      <c r="O6" s="11"/>
      <c r="T6" s="11"/>
      <c r="Y6" s="11"/>
      <c r="AD6" s="11"/>
      <c r="AX6" s="3"/>
    </row>
    <row r="7" spans="1:171" s="2" customFormat="1" ht="12.75" x14ac:dyDescent="0.2">
      <c r="A7" s="13"/>
      <c r="B7" s="14"/>
      <c r="F7" s="15"/>
      <c r="G7" s="15"/>
      <c r="H7" s="15"/>
      <c r="I7" s="15"/>
      <c r="J7" s="15"/>
      <c r="K7" s="15"/>
      <c r="L7" s="15"/>
      <c r="M7" s="15"/>
      <c r="N7" s="15"/>
      <c r="AX7" s="3"/>
      <c r="FO7" s="5"/>
    </row>
    <row r="8" spans="1:171" s="2" customFormat="1" ht="12.75" x14ac:dyDescent="0.2">
      <c r="A8" s="1"/>
      <c r="R8" s="11"/>
      <c r="T8" s="11"/>
      <c r="Y8" s="11"/>
      <c r="AD8" s="11"/>
      <c r="AN8" s="11"/>
      <c r="AX8" s="3"/>
    </row>
    <row r="9" spans="1:171" s="2" customFormat="1" x14ac:dyDescent="0.25">
      <c r="A9" s="1"/>
      <c r="B9" s="2" t="s">
        <v>4</v>
      </c>
      <c r="C9" s="10">
        <v>2022</v>
      </c>
      <c r="D9" s="10">
        <v>2023</v>
      </c>
      <c r="E9" s="10">
        <v>2025</v>
      </c>
      <c r="F9" s="10">
        <v>2028</v>
      </c>
      <c r="G9" s="10">
        <v>2030</v>
      </c>
      <c r="H9" s="10">
        <v>2033</v>
      </c>
      <c r="I9" s="10">
        <v>2035</v>
      </c>
      <c r="J9" s="10">
        <v>2038</v>
      </c>
      <c r="K9" s="10">
        <v>2040</v>
      </c>
      <c r="L9" s="10">
        <v>2043</v>
      </c>
      <c r="M9" s="10">
        <v>2045</v>
      </c>
      <c r="N9" s="10">
        <v>2050</v>
      </c>
      <c r="AX9" s="3"/>
    </row>
    <row r="10" spans="1:171" s="2" customFormat="1" ht="12.75" x14ac:dyDescent="0.2">
      <c r="A10" s="1"/>
      <c r="B10" s="12" t="s">
        <v>5</v>
      </c>
      <c r="C10" s="16">
        <v>0</v>
      </c>
      <c r="D10" s="16">
        <v>0</v>
      </c>
      <c r="E10" s="16">
        <v>0</v>
      </c>
      <c r="F10" s="16">
        <v>597124.10696037742</v>
      </c>
      <c r="G10" s="16">
        <v>995206.84493396245</v>
      </c>
      <c r="H10" s="16">
        <v>2214338.4545886484</v>
      </c>
      <c r="I10" s="16">
        <v>2997202.6354769557</v>
      </c>
      <c r="J10" s="16">
        <v>5121227.2932377513</v>
      </c>
      <c r="K10" s="16">
        <v>6563064.4736336265</v>
      </c>
      <c r="L10" s="16">
        <v>8358377.2164351428</v>
      </c>
      <c r="M10" s="16">
        <v>9521153.3670541774</v>
      </c>
      <c r="N10" s="16">
        <v>11031259.384607553</v>
      </c>
      <c r="AX10" s="3"/>
    </row>
    <row r="11" spans="1:171" s="2" customFormat="1" ht="12.75" x14ac:dyDescent="0.2">
      <c r="A11" s="1"/>
      <c r="B11" s="12" t="s">
        <v>6</v>
      </c>
      <c r="C11" s="16">
        <v>0</v>
      </c>
      <c r="D11" s="16">
        <v>0</v>
      </c>
      <c r="E11" s="16">
        <v>0</v>
      </c>
      <c r="F11" s="16">
        <v>2042875.893039623</v>
      </c>
      <c r="G11" s="16">
        <v>3404793.155066038</v>
      </c>
      <c r="H11" s="16">
        <v>5765274.7080067424</v>
      </c>
      <c r="I11" s="16">
        <v>7340083.7730112094</v>
      </c>
      <c r="J11" s="16">
        <v>8905745.1445420105</v>
      </c>
      <c r="K11" s="16">
        <v>9977314.3170147222</v>
      </c>
      <c r="L11" s="16">
        <v>10757437.522651743</v>
      </c>
      <c r="M11" s="16">
        <v>11279317.715437345</v>
      </c>
      <c r="N11" s="16">
        <v>9794201.6518944465</v>
      </c>
      <c r="AX11" s="3"/>
    </row>
    <row r="12" spans="1:171" s="2" customFormat="1" ht="12.75" x14ac:dyDescent="0.2">
      <c r="A12" s="1"/>
      <c r="AX12" s="3"/>
    </row>
    <row r="13" spans="1:171" s="2" customFormat="1" x14ac:dyDescent="0.25">
      <c r="A13" s="1"/>
      <c r="B13" s="2" t="s">
        <v>4</v>
      </c>
      <c r="C13" s="10">
        <v>2022</v>
      </c>
      <c r="D13" s="10">
        <v>2023</v>
      </c>
      <c r="E13" s="10">
        <v>2025</v>
      </c>
      <c r="F13" s="10">
        <v>2028</v>
      </c>
      <c r="G13" s="10">
        <v>2030</v>
      </c>
      <c r="H13" s="10">
        <v>2033</v>
      </c>
      <c r="I13" s="10">
        <v>2035</v>
      </c>
      <c r="J13" s="10">
        <v>2038</v>
      </c>
      <c r="K13" s="10">
        <v>2040</v>
      </c>
      <c r="L13" s="10">
        <v>2043</v>
      </c>
      <c r="M13" s="10">
        <v>2045</v>
      </c>
      <c r="N13" s="10">
        <v>2050</v>
      </c>
      <c r="AX13" s="3"/>
    </row>
    <row r="14" spans="1:171" s="2" customFormat="1" ht="12.75" x14ac:dyDescent="0.2">
      <c r="A14" s="1"/>
      <c r="B14" s="17" t="s">
        <v>7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600000.00000000012</v>
      </c>
      <c r="K14" s="16">
        <v>1000000</v>
      </c>
      <c r="L14" s="16">
        <v>2200000</v>
      </c>
      <c r="M14" s="16">
        <v>3000000</v>
      </c>
      <c r="N14" s="16">
        <v>6000000</v>
      </c>
      <c r="AX14" s="3"/>
    </row>
    <row r="15" spans="1:171" s="2" customFormat="1" ht="12.75" x14ac:dyDescent="0.2">
      <c r="A15" s="1"/>
      <c r="B15" s="17" t="s">
        <v>8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880917.00689158961</v>
      </c>
      <c r="I15" s="16">
        <v>1498085.2370341322</v>
      </c>
      <c r="J15" s="16">
        <v>3354258.0873170667</v>
      </c>
      <c r="K15" s="16">
        <v>4565885.9122836767</v>
      </c>
      <c r="L15" s="16">
        <v>8461800.103733046</v>
      </c>
      <c r="M15" s="16">
        <v>11093175.242614605</v>
      </c>
      <c r="N15" s="16">
        <v>14387597.923614018</v>
      </c>
      <c r="AX15" s="3"/>
    </row>
    <row r="16" spans="1:171" s="2" customFormat="1" ht="12.75" x14ac:dyDescent="0.2">
      <c r="A16" s="1"/>
      <c r="B16" s="17" t="s">
        <v>9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399469.8305130197</v>
      </c>
      <c r="I16" s="16">
        <v>664628.3544777038</v>
      </c>
      <c r="J16" s="16">
        <v>2159769.4749031733</v>
      </c>
      <c r="K16" s="16">
        <v>3128735.2970679733</v>
      </c>
      <c r="L16" s="16">
        <v>3230385.1571800644</v>
      </c>
      <c r="M16" s="16">
        <v>3296353.6748938709</v>
      </c>
      <c r="N16" s="16">
        <v>2676941.0398839749</v>
      </c>
      <c r="AX16" s="3"/>
    </row>
    <row r="17" spans="1:50" s="2" customFormat="1" ht="12.75" x14ac:dyDescent="0.2">
      <c r="A17" s="1"/>
      <c r="AX17" s="3"/>
    </row>
    <row r="18" spans="1:50" s="2" customFormat="1" ht="12.75" x14ac:dyDescent="0.2">
      <c r="A18" s="1"/>
      <c r="AX18" s="3"/>
    </row>
    <row r="19" spans="1:50" s="2" customFormat="1" ht="12.75" x14ac:dyDescent="0.2">
      <c r="A19" s="1"/>
      <c r="B19" s="2" t="s">
        <v>10</v>
      </c>
      <c r="C19" s="18">
        <v>2022</v>
      </c>
      <c r="D19" s="18">
        <v>2050</v>
      </c>
      <c r="AX19" s="3"/>
    </row>
    <row r="20" spans="1:50" s="2" customFormat="1" ht="12.75" x14ac:dyDescent="0.2">
      <c r="A20" s="1"/>
      <c r="C20" s="12">
        <v>700</v>
      </c>
      <c r="D20" s="12">
        <v>200</v>
      </c>
      <c r="AX20" s="3"/>
    </row>
    <row r="21" spans="1:50" s="2" customFormat="1" ht="12.75" x14ac:dyDescent="0.2">
      <c r="A21" s="1"/>
      <c r="AX21" s="3"/>
    </row>
    <row r="22" spans="1:50" s="2" customFormat="1" ht="12.75" x14ac:dyDescent="0.2">
      <c r="A22" s="1"/>
      <c r="AX22" s="3"/>
    </row>
    <row r="23" spans="1:50" s="2" customFormat="1" ht="12.75" x14ac:dyDescent="0.2">
      <c r="A23" s="1"/>
      <c r="B23" s="4" t="s">
        <v>11</v>
      </c>
      <c r="C23" s="16">
        <v>2022</v>
      </c>
      <c r="D23" s="16">
        <v>2023</v>
      </c>
      <c r="E23" s="16">
        <v>2024</v>
      </c>
      <c r="F23" s="16">
        <v>2025</v>
      </c>
      <c r="G23" s="16">
        <v>2026</v>
      </c>
      <c r="H23" s="16">
        <v>2027</v>
      </c>
      <c r="I23" s="16">
        <v>2028</v>
      </c>
      <c r="J23" s="16">
        <v>2029</v>
      </c>
      <c r="K23" s="16">
        <v>2030</v>
      </c>
      <c r="L23" s="16">
        <v>2031</v>
      </c>
      <c r="M23" s="16">
        <v>2032</v>
      </c>
      <c r="N23" s="16">
        <v>2033</v>
      </c>
      <c r="O23" s="16">
        <v>2034</v>
      </c>
      <c r="P23" s="16">
        <v>2035</v>
      </c>
      <c r="Q23" s="16">
        <v>2036</v>
      </c>
      <c r="R23" s="16">
        <v>2037</v>
      </c>
      <c r="S23" s="16">
        <v>2038</v>
      </c>
      <c r="T23" s="16">
        <v>2039</v>
      </c>
      <c r="U23" s="16">
        <v>2040</v>
      </c>
      <c r="V23" s="16">
        <v>2041</v>
      </c>
      <c r="W23" s="16">
        <v>2042</v>
      </c>
      <c r="X23" s="16">
        <v>2043</v>
      </c>
      <c r="Y23" s="16">
        <v>2044</v>
      </c>
      <c r="Z23" s="16">
        <v>2045</v>
      </c>
      <c r="AA23" s="16">
        <v>2046</v>
      </c>
      <c r="AB23" s="16">
        <v>2047</v>
      </c>
      <c r="AC23" s="16">
        <v>2048</v>
      </c>
      <c r="AD23" s="16">
        <v>2049</v>
      </c>
      <c r="AE23" s="16">
        <v>2050</v>
      </c>
      <c r="AX23" s="3"/>
    </row>
    <row r="24" spans="1:50" s="2" customFormat="1" ht="12.75" x14ac:dyDescent="0.2">
      <c r="A24" s="1"/>
      <c r="B24" s="17" t="s">
        <v>12</v>
      </c>
      <c r="C24" s="12">
        <f>C20</f>
        <v>700</v>
      </c>
      <c r="D24" s="12">
        <f>C24+($AE24-$C24)/($AE$423-$C$423)</f>
        <v>682.14285714285711</v>
      </c>
      <c r="E24" s="12">
        <f t="shared" ref="E24:AD24" si="0">D24+($AE24-$C24)/($AE$423-$C$423)</f>
        <v>664.28571428571422</v>
      </c>
      <c r="F24" s="12">
        <f t="shared" si="0"/>
        <v>646.42857142857133</v>
      </c>
      <c r="G24" s="12">
        <f t="shared" si="0"/>
        <v>628.57142857142844</v>
      </c>
      <c r="H24" s="12">
        <f t="shared" si="0"/>
        <v>610.71428571428555</v>
      </c>
      <c r="I24" s="12">
        <f t="shared" si="0"/>
        <v>592.85714285714266</v>
      </c>
      <c r="J24" s="12">
        <f t="shared" si="0"/>
        <v>574.99999999999977</v>
      </c>
      <c r="K24" s="12">
        <f t="shared" si="0"/>
        <v>557.14285714285688</v>
      </c>
      <c r="L24" s="12">
        <f t="shared" si="0"/>
        <v>539.28571428571399</v>
      </c>
      <c r="M24" s="12">
        <f t="shared" si="0"/>
        <v>521.4285714285711</v>
      </c>
      <c r="N24" s="12">
        <f t="shared" si="0"/>
        <v>503.57142857142827</v>
      </c>
      <c r="O24" s="12">
        <f t="shared" si="0"/>
        <v>485.71428571428544</v>
      </c>
      <c r="P24" s="12">
        <f t="shared" si="0"/>
        <v>467.85714285714261</v>
      </c>
      <c r="Q24" s="12">
        <f t="shared" si="0"/>
        <v>449.99999999999977</v>
      </c>
      <c r="R24" s="12">
        <f t="shared" si="0"/>
        <v>432.14285714285694</v>
      </c>
      <c r="S24" s="12">
        <f t="shared" si="0"/>
        <v>414.28571428571411</v>
      </c>
      <c r="T24" s="12">
        <f t="shared" si="0"/>
        <v>396.42857142857127</v>
      </c>
      <c r="U24" s="12">
        <f t="shared" si="0"/>
        <v>378.57142857142844</v>
      </c>
      <c r="V24" s="12">
        <f t="shared" si="0"/>
        <v>360.71428571428561</v>
      </c>
      <c r="W24" s="12">
        <f t="shared" si="0"/>
        <v>342.85714285714278</v>
      </c>
      <c r="X24" s="12">
        <f t="shared" si="0"/>
        <v>324.99999999999994</v>
      </c>
      <c r="Y24" s="12">
        <f t="shared" si="0"/>
        <v>307.14285714285711</v>
      </c>
      <c r="Z24" s="12">
        <f t="shared" si="0"/>
        <v>289.28571428571428</v>
      </c>
      <c r="AA24" s="12">
        <f t="shared" si="0"/>
        <v>271.42857142857144</v>
      </c>
      <c r="AB24" s="12">
        <f t="shared" si="0"/>
        <v>253.57142857142858</v>
      </c>
      <c r="AC24" s="12">
        <f t="shared" si="0"/>
        <v>235.71428571428572</v>
      </c>
      <c r="AD24" s="12">
        <f t="shared" si="0"/>
        <v>217.85714285714286</v>
      </c>
      <c r="AE24" s="12">
        <f>D20</f>
        <v>200</v>
      </c>
      <c r="AX24" s="3"/>
    </row>
    <row r="25" spans="1:50" s="2" customFormat="1" ht="12.75" x14ac:dyDescent="0.2">
      <c r="A25" s="1"/>
      <c r="B25" s="17" t="s">
        <v>5</v>
      </c>
      <c r="C25" s="12">
        <f>HLOOKUP(C$423,$C$409:$N$411,2,FALSE)</f>
        <v>0</v>
      </c>
      <c r="D25" s="12">
        <f>HLOOKUP(D$423,$C$409:$N$411,2,FALSE)</f>
        <v>0</v>
      </c>
      <c r="E25" s="12">
        <f>D25+($F25-$D25)/($F$423-$D$423)</f>
        <v>0</v>
      </c>
      <c r="F25" s="12">
        <f>HLOOKUP(F$423,$C$409:$N$411,2,FALSE)</f>
        <v>0</v>
      </c>
      <c r="G25" s="12">
        <f t="shared" ref="G25:H29" si="1">F25+($I25-$F25)/($I$423-$F$423)</f>
        <v>199041.36898679248</v>
      </c>
      <c r="H25" s="12">
        <f t="shared" si="1"/>
        <v>398082.73797358497</v>
      </c>
      <c r="I25" s="12">
        <f>HLOOKUP(I$423,$C$409:$N$411,2,FALSE)</f>
        <v>597124.10696037742</v>
      </c>
      <c r="J25" s="12">
        <f>I25+($K25-$I25)/($K$423-$I$423)</f>
        <v>796165.47594716994</v>
      </c>
      <c r="K25" s="12">
        <f>HLOOKUP(K$423,$C$409:$N$411,2,FALSE)</f>
        <v>995206.84493396245</v>
      </c>
      <c r="L25" s="12">
        <f t="shared" ref="L25:M29" si="2">K25+($N25-$K25)/($N$423-$K$423)</f>
        <v>1401584.0481521911</v>
      </c>
      <c r="M25" s="12">
        <f t="shared" si="2"/>
        <v>1807961.2513704197</v>
      </c>
      <c r="N25" s="12">
        <f>HLOOKUP(N$423,$C$409:$N$411,2,FALSE)</f>
        <v>2214338.4545886484</v>
      </c>
      <c r="O25" s="12">
        <f>N25+($P25-$N25)/($P$423-$N$423)</f>
        <v>2605770.545032802</v>
      </c>
      <c r="P25" s="12">
        <f>HLOOKUP(P$423,$C$409:$N$411,2,FALSE)</f>
        <v>2997202.6354769557</v>
      </c>
      <c r="Q25" s="12">
        <f t="shared" ref="Q25:R29" si="3">P25+($S25-$P25)/($S$423-$P$423)</f>
        <v>3705210.8547305544</v>
      </c>
      <c r="R25" s="12">
        <f t="shared" si="3"/>
        <v>4413219.0739841526</v>
      </c>
      <c r="S25" s="12">
        <f>HLOOKUP(S$423,$C$409:$N$411,2,FALSE)</f>
        <v>5121227.2932377513</v>
      </c>
      <c r="T25" s="12">
        <f>S25+($U25-$S25)/($U$423-$S$423)</f>
        <v>5842145.8834356889</v>
      </c>
      <c r="U25" s="12">
        <f>HLOOKUP(U$423,$C$409:$N$411,2,FALSE)</f>
        <v>6563064.4736336265</v>
      </c>
      <c r="V25" s="12">
        <f t="shared" ref="V25:W29" si="4">U25+($X25-$U25)/($X$423-$U$423)</f>
        <v>7161502.0545674656</v>
      </c>
      <c r="W25" s="12">
        <f t="shared" si="4"/>
        <v>7759939.6355013046</v>
      </c>
      <c r="X25" s="12">
        <f>HLOOKUP(X$423,$C$409:$N$411,2,FALSE)</f>
        <v>8358377.2164351428</v>
      </c>
      <c r="Y25" s="12">
        <f>X25+($Z25-$X25)/($Z$423-$X$423)</f>
        <v>8939765.2917446606</v>
      </c>
      <c r="Z25" s="12">
        <f>HLOOKUP(Z$423,$C$409:$N$411,2,FALSE)</f>
        <v>9521153.3670541774</v>
      </c>
      <c r="AA25" s="12">
        <f t="shared" ref="AA25:AD29" si="5">Z25+($AE25-$Z25)/($AE$423-$Z$423)</f>
        <v>9823174.570564853</v>
      </c>
      <c r="AB25" s="12">
        <f t="shared" si="5"/>
        <v>10125195.774075529</v>
      </c>
      <c r="AC25" s="12">
        <f t="shared" si="5"/>
        <v>10427216.977586204</v>
      </c>
      <c r="AD25" s="12">
        <f t="shared" si="5"/>
        <v>10729238.18109688</v>
      </c>
      <c r="AE25" s="12">
        <f>HLOOKUP(AE$423,$C$409:$N$411,2,FALSE)</f>
        <v>11031259.384607553</v>
      </c>
      <c r="AX25" s="3"/>
    </row>
    <row r="26" spans="1:50" s="2" customFormat="1" ht="12.75" x14ac:dyDescent="0.2">
      <c r="A26" s="1"/>
      <c r="B26" s="17" t="s">
        <v>6</v>
      </c>
      <c r="C26" s="12">
        <f>HLOOKUP(C$423,$C$409:$N$411,3,FALSE)</f>
        <v>0</v>
      </c>
      <c r="D26" s="12">
        <f>HLOOKUP(D$423,$C$409:$N$411,3,FALSE)</f>
        <v>0</v>
      </c>
      <c r="E26" s="12">
        <f>D26+($F26-$D26)/($F$423-$D$423)</f>
        <v>0</v>
      </c>
      <c r="F26" s="12">
        <f>HLOOKUP(F$423,$C$409:$N$411,3,FALSE)</f>
        <v>0</v>
      </c>
      <c r="G26" s="12">
        <f t="shared" si="1"/>
        <v>680958.63101320772</v>
      </c>
      <c r="H26" s="12">
        <f t="shared" si="1"/>
        <v>1361917.2620264154</v>
      </c>
      <c r="I26" s="12">
        <f>HLOOKUP(I$423,$C$409:$N$411,3,FALSE)</f>
        <v>2042875.893039623</v>
      </c>
      <c r="J26" s="12">
        <f>I26+($K26-$I26)/($K$423-$I$423)</f>
        <v>2723834.5240528304</v>
      </c>
      <c r="K26" s="12">
        <f>HLOOKUP(K$423,$C$409:$N$411,3,FALSE)</f>
        <v>3404793.155066038</v>
      </c>
      <c r="L26" s="12">
        <f t="shared" si="2"/>
        <v>4191620.3393796063</v>
      </c>
      <c r="M26" s="12">
        <f t="shared" si="2"/>
        <v>4978447.5236931741</v>
      </c>
      <c r="N26" s="12">
        <f>HLOOKUP(N$423,$C$409:$N$411,3,FALSE)</f>
        <v>5765274.7080067424</v>
      </c>
      <c r="O26" s="12">
        <f>N26+($P26-$N26)/($P$423-$N$423)</f>
        <v>6552679.2405089755</v>
      </c>
      <c r="P26" s="12">
        <f>HLOOKUP(P$423,$C$409:$N$411,3,FALSE)</f>
        <v>7340083.7730112094</v>
      </c>
      <c r="Q26" s="12">
        <f t="shared" si="3"/>
        <v>7861970.8968548095</v>
      </c>
      <c r="R26" s="12">
        <f t="shared" si="3"/>
        <v>8383858.0206984095</v>
      </c>
      <c r="S26" s="12">
        <f>HLOOKUP(S$423,$C$409:$N$411,3,FALSE)</f>
        <v>8905745.1445420105</v>
      </c>
      <c r="T26" s="12">
        <f>S26+($U26-$S26)/($U$423-$S$423)</f>
        <v>9441529.7307783663</v>
      </c>
      <c r="U26" s="12">
        <f>HLOOKUP(U$423,$C$409:$N$411,3,FALSE)</f>
        <v>9977314.3170147222</v>
      </c>
      <c r="V26" s="12">
        <f t="shared" si="4"/>
        <v>10237355.385560395</v>
      </c>
      <c r="W26" s="12">
        <f t="shared" si="4"/>
        <v>10497396.454106068</v>
      </c>
      <c r="X26" s="12">
        <f>HLOOKUP(X$423,$C$409:$N$411,3,FALSE)</f>
        <v>10757437.522651743</v>
      </c>
      <c r="Y26" s="12">
        <f>X26+($Z26-$X26)/($Z$423-$X$423)</f>
        <v>11018377.619044544</v>
      </c>
      <c r="Z26" s="12">
        <f>HLOOKUP(Z$423,$C$409:$N$411,3,FALSE)</f>
        <v>11279317.715437345</v>
      </c>
      <c r="AA26" s="12">
        <f t="shared" si="5"/>
        <v>10982294.502728766</v>
      </c>
      <c r="AB26" s="12">
        <f t="shared" si="5"/>
        <v>10685271.290020186</v>
      </c>
      <c r="AC26" s="12">
        <f t="shared" si="5"/>
        <v>10388248.077311607</v>
      </c>
      <c r="AD26" s="12">
        <f t="shared" si="5"/>
        <v>10091224.864603028</v>
      </c>
      <c r="AE26" s="12">
        <f>HLOOKUP(AE$423,$C$409:$N$411,3,FALSE)</f>
        <v>9794201.6518944465</v>
      </c>
      <c r="AX26" s="3"/>
    </row>
    <row r="27" spans="1:50" s="2" customFormat="1" ht="12.75" x14ac:dyDescent="0.2">
      <c r="A27" s="1"/>
      <c r="B27" s="17" t="s">
        <v>7</v>
      </c>
      <c r="C27" s="12">
        <f>HLOOKUP(C$423,$C$413:$N$416,2,FALSE)</f>
        <v>0</v>
      </c>
      <c r="D27" s="12">
        <f>HLOOKUP(D$423,$C$413:$N$416,2,FALSE)</f>
        <v>0</v>
      </c>
      <c r="E27" s="12">
        <f>D27+($F27-$D27)/($F$423-$D$423)</f>
        <v>0</v>
      </c>
      <c r="F27" s="12">
        <f>HLOOKUP(F$423,$C$413:$N$416,2,FALSE)</f>
        <v>0</v>
      </c>
      <c r="G27" s="12">
        <f t="shared" si="1"/>
        <v>0</v>
      </c>
      <c r="H27" s="12">
        <f t="shared" si="1"/>
        <v>0</v>
      </c>
      <c r="I27" s="12">
        <f>HLOOKUP(I$423,$C$413:$N$416,2,FALSE)</f>
        <v>0</v>
      </c>
      <c r="J27" s="12">
        <f>I27+($K27-$I27)/($K$423-$I$423)</f>
        <v>0</v>
      </c>
      <c r="K27" s="12">
        <f>HLOOKUP(K$423,$C$413:$N$416,2,FALSE)</f>
        <v>0</v>
      </c>
      <c r="L27" s="12">
        <f t="shared" si="2"/>
        <v>0</v>
      </c>
      <c r="M27" s="12">
        <f t="shared" si="2"/>
        <v>0</v>
      </c>
      <c r="N27" s="12">
        <f>HLOOKUP(N$423,$C$413:$N$416,2,FALSE)</f>
        <v>0</v>
      </c>
      <c r="O27" s="12">
        <f>N27+($P27-$N27)/($P$423-$N$423)</f>
        <v>0</v>
      </c>
      <c r="P27" s="12">
        <f>HLOOKUP(P$423,$C$413:$N$416,2,FALSE)</f>
        <v>0</v>
      </c>
      <c r="Q27" s="12">
        <f t="shared" si="3"/>
        <v>200000.00000000003</v>
      </c>
      <c r="R27" s="12">
        <f t="shared" si="3"/>
        <v>400000.00000000006</v>
      </c>
      <c r="S27" s="12">
        <f>HLOOKUP(S$423,$C$413:$N$416,2,FALSE)</f>
        <v>600000.00000000012</v>
      </c>
      <c r="T27" s="12">
        <f>S27+($U27-$S27)/($U$423-$S$423)</f>
        <v>800000</v>
      </c>
      <c r="U27" s="12">
        <f>HLOOKUP(U$423,$C$413:$N$416,2,FALSE)</f>
        <v>1000000</v>
      </c>
      <c r="V27" s="12">
        <f t="shared" si="4"/>
        <v>1400000</v>
      </c>
      <c r="W27" s="12">
        <f t="shared" si="4"/>
        <v>1800000</v>
      </c>
      <c r="X27" s="12">
        <f>HLOOKUP(X$423,$C$413:$N$416,2,FALSE)</f>
        <v>2200000</v>
      </c>
      <c r="Y27" s="12">
        <f>X27+($Z27-$X27)/($Z$423-$X$423)</f>
        <v>2600000</v>
      </c>
      <c r="Z27" s="12">
        <f>HLOOKUP(Z$423,$C$413:$N$416,2,FALSE)</f>
        <v>3000000</v>
      </c>
      <c r="AA27" s="12">
        <f t="shared" si="5"/>
        <v>3600000</v>
      </c>
      <c r="AB27" s="12">
        <f t="shared" si="5"/>
        <v>4200000</v>
      </c>
      <c r="AC27" s="12">
        <f t="shared" si="5"/>
        <v>4800000</v>
      </c>
      <c r="AD27" s="12">
        <f t="shared" si="5"/>
        <v>5400000</v>
      </c>
      <c r="AE27" s="12">
        <f>HLOOKUP(AE$423,$C$413:$N$416,2,FALSE)</f>
        <v>6000000</v>
      </c>
      <c r="AX27" s="3"/>
    </row>
    <row r="28" spans="1:50" s="2" customFormat="1" ht="12.75" x14ac:dyDescent="0.2">
      <c r="A28" s="1"/>
      <c r="B28" s="17" t="s">
        <v>8</v>
      </c>
      <c r="C28" s="12">
        <f>HLOOKUP(C$423,$C$413:$N$416,3,FALSE)</f>
        <v>0</v>
      </c>
      <c r="D28" s="12">
        <f>HLOOKUP(D$423,$C$413:$N$416,3,FALSE)</f>
        <v>0</v>
      </c>
      <c r="E28" s="12">
        <f>D28+($F28-$D28)/($F$423-$D$423)</f>
        <v>0</v>
      </c>
      <c r="F28" s="12">
        <f>HLOOKUP(F$423,$C$413:$N$416,3,FALSE)</f>
        <v>0</v>
      </c>
      <c r="G28" s="12">
        <f t="shared" si="1"/>
        <v>0</v>
      </c>
      <c r="H28" s="12">
        <f t="shared" si="1"/>
        <v>0</v>
      </c>
      <c r="I28" s="12">
        <f>HLOOKUP(I$423,$C$413:$N$416,3,FALSE)</f>
        <v>0</v>
      </c>
      <c r="J28" s="12">
        <f>I28+($K28-$I28)/($K$423-$I$423)</f>
        <v>0</v>
      </c>
      <c r="K28" s="12">
        <f>HLOOKUP(K$423,$C$413:$N$416,3,FALSE)</f>
        <v>0</v>
      </c>
      <c r="L28" s="12">
        <f t="shared" si="2"/>
        <v>293639.00229719654</v>
      </c>
      <c r="M28" s="12">
        <f t="shared" si="2"/>
        <v>587278.00459439307</v>
      </c>
      <c r="N28" s="12">
        <f>HLOOKUP(N$423,$C$413:$N$416,3,FALSE)</f>
        <v>880917.00689158961</v>
      </c>
      <c r="O28" s="12">
        <f>N28+($P28-$N28)/($P$423-$N$423)</f>
        <v>1189501.1219628609</v>
      </c>
      <c r="P28" s="12">
        <f>HLOOKUP(P$423,$C$413:$N$416,3,FALSE)</f>
        <v>1498085.2370341322</v>
      </c>
      <c r="Q28" s="12">
        <f t="shared" si="3"/>
        <v>2116809.5204617772</v>
      </c>
      <c r="R28" s="12">
        <f t="shared" si="3"/>
        <v>2735533.8038894222</v>
      </c>
      <c r="S28" s="12">
        <f>HLOOKUP(S$423,$C$413:$N$416,3,FALSE)</f>
        <v>3354258.0873170667</v>
      </c>
      <c r="T28" s="12">
        <f>S28+($U28-$S28)/($U$423-$S$423)</f>
        <v>3960071.9998003719</v>
      </c>
      <c r="U28" s="12">
        <f>HLOOKUP(U$423,$C$413:$N$416,3,FALSE)</f>
        <v>4565885.9122836767</v>
      </c>
      <c r="V28" s="12">
        <f t="shared" si="4"/>
        <v>5864523.9761001328</v>
      </c>
      <c r="W28" s="12">
        <f t="shared" si="4"/>
        <v>7163162.0399165889</v>
      </c>
      <c r="X28" s="12">
        <f>HLOOKUP(X$423,$C$413:$N$416,3,FALSE)</f>
        <v>8461800.103733046</v>
      </c>
      <c r="Y28" s="12">
        <f>X28+($Z28-$X28)/($Z$423-$X$423)</f>
        <v>9777487.6731738262</v>
      </c>
      <c r="Z28" s="12">
        <f>HLOOKUP(Z$423,$C$413:$N$416,3,FALSE)</f>
        <v>11093175.242614605</v>
      </c>
      <c r="AA28" s="12">
        <f t="shared" si="5"/>
        <v>11752059.778814487</v>
      </c>
      <c r="AB28" s="12">
        <f t="shared" si="5"/>
        <v>12410944.31501437</v>
      </c>
      <c r="AC28" s="12">
        <f t="shared" si="5"/>
        <v>13069828.851214252</v>
      </c>
      <c r="AD28" s="12">
        <f t="shared" si="5"/>
        <v>13728713.387414135</v>
      </c>
      <c r="AE28" s="12">
        <f>HLOOKUP(AE$423,$C$413:$N$416,3,FALSE)</f>
        <v>14387597.923614018</v>
      </c>
      <c r="AX28" s="3"/>
    </row>
    <row r="29" spans="1:50" s="2" customFormat="1" ht="12.75" x14ac:dyDescent="0.2">
      <c r="A29" s="1"/>
      <c r="B29" s="17" t="s">
        <v>9</v>
      </c>
      <c r="C29" s="12">
        <f>HLOOKUP(C$423,$C$413:$N$416,4,FALSE)</f>
        <v>0</v>
      </c>
      <c r="D29" s="12">
        <f>HLOOKUP(D$423,$C$413:$N$416,4,FALSE)</f>
        <v>0</v>
      </c>
      <c r="E29" s="12">
        <f>D29+($F29-$D29)/($F$423-$D$423)</f>
        <v>0</v>
      </c>
      <c r="F29" s="12">
        <f>HLOOKUP(F$423,$C$413:$N$416,4,FALSE)</f>
        <v>0</v>
      </c>
      <c r="G29" s="12">
        <f t="shared" si="1"/>
        <v>0</v>
      </c>
      <c r="H29" s="12">
        <f t="shared" si="1"/>
        <v>0</v>
      </c>
      <c r="I29" s="12">
        <f>HLOOKUP(I$423,$C$413:$N$416,4,FALSE)</f>
        <v>0</v>
      </c>
      <c r="J29" s="12">
        <f>I29+($K29-$I29)/($K$423-$I$423)</f>
        <v>0</v>
      </c>
      <c r="K29" s="12">
        <f>HLOOKUP(K$423,$C$413:$N$416,4,FALSE)</f>
        <v>0</v>
      </c>
      <c r="L29" s="12">
        <f t="shared" si="2"/>
        <v>133156.61017100656</v>
      </c>
      <c r="M29" s="12">
        <f t="shared" si="2"/>
        <v>266313.22034201311</v>
      </c>
      <c r="N29" s="12">
        <f>HLOOKUP(N$423,$C$413:$N$416,4,FALSE)</f>
        <v>399469.8305130197</v>
      </c>
      <c r="O29" s="12">
        <f>N29+($P29-$N29)/($P$423-$N$423)</f>
        <v>532049.09249536181</v>
      </c>
      <c r="P29" s="12">
        <f>HLOOKUP(P$423,$C$413:$N$416,4,FALSE)</f>
        <v>664628.3544777038</v>
      </c>
      <c r="Q29" s="12">
        <f t="shared" si="3"/>
        <v>1163008.7279528603</v>
      </c>
      <c r="R29" s="12">
        <f t="shared" si="3"/>
        <v>1661389.1014280168</v>
      </c>
      <c r="S29" s="12">
        <f>HLOOKUP(S$423,$C$413:$N$416,4,FALSE)</f>
        <v>2159769.4749031733</v>
      </c>
      <c r="T29" s="12">
        <f>S29+($U29-$S29)/($U$423-$S$423)</f>
        <v>2644252.3859855733</v>
      </c>
      <c r="U29" s="12">
        <f>HLOOKUP(U$423,$C$413:$N$416,4,FALSE)</f>
        <v>3128735.2970679733</v>
      </c>
      <c r="V29" s="12">
        <f t="shared" si="4"/>
        <v>3162618.5837720037</v>
      </c>
      <c r="W29" s="12">
        <f t="shared" si="4"/>
        <v>3196501.870476034</v>
      </c>
      <c r="X29" s="12">
        <f>HLOOKUP(X$423,$C$413:$N$416,4,FALSE)</f>
        <v>3230385.1571800644</v>
      </c>
      <c r="Y29" s="12">
        <f>X29+($Z29-$X29)/($Z$423-$X$423)</f>
        <v>3263369.4160369677</v>
      </c>
      <c r="Z29" s="12">
        <f>HLOOKUP(Z$423,$C$413:$N$416,4,FALSE)</f>
        <v>3296353.6748938709</v>
      </c>
      <c r="AA29" s="12">
        <f t="shared" si="5"/>
        <v>3172471.1478918917</v>
      </c>
      <c r="AB29" s="12">
        <f t="shared" si="5"/>
        <v>3048588.6208899124</v>
      </c>
      <c r="AC29" s="12">
        <f t="shared" si="5"/>
        <v>2924706.0938879331</v>
      </c>
      <c r="AD29" s="12">
        <f t="shared" si="5"/>
        <v>2800823.5668859538</v>
      </c>
      <c r="AE29" s="12">
        <f>HLOOKUP(AE$423,$C$413:$N$416,4,FALSE)</f>
        <v>2676941.0398839749</v>
      </c>
      <c r="AX29" s="3"/>
    </row>
    <row r="30" spans="1:50" s="2" customFormat="1" ht="12.75" x14ac:dyDescent="0.2">
      <c r="A30" s="1"/>
      <c r="B30" s="4"/>
      <c r="AX30" s="3"/>
    </row>
    <row r="31" spans="1:50" s="2" customFormat="1" ht="12.75" x14ac:dyDescent="0.2">
      <c r="A31" s="1"/>
      <c r="B31" s="4"/>
      <c r="AX31" s="3"/>
    </row>
    <row r="32" spans="1:50" s="2" customFormat="1" ht="12.75" x14ac:dyDescent="0.2">
      <c r="A32" s="1"/>
      <c r="B32" s="4"/>
      <c r="C32" s="1"/>
      <c r="D32" s="1"/>
      <c r="AX32" s="3"/>
    </row>
    <row r="33" spans="1:50" s="2" customFormat="1" ht="12.75" x14ac:dyDescent="0.2">
      <c r="A33" s="1"/>
      <c r="B33" s="4" t="s">
        <v>13</v>
      </c>
      <c r="C33" s="2">
        <v>1.1762034318944299</v>
      </c>
      <c r="AX33" s="3"/>
    </row>
    <row r="34" spans="1:50" s="2" customFormat="1" ht="12.75" x14ac:dyDescent="0.2">
      <c r="A34" s="1"/>
      <c r="B34" s="4"/>
      <c r="AX34" s="3"/>
    </row>
    <row r="35" spans="1:50" s="2" customFormat="1" ht="12.75" x14ac:dyDescent="0.2">
      <c r="A35" s="1"/>
      <c r="B35" s="4"/>
      <c r="AX35" s="3"/>
    </row>
    <row r="36" spans="1:50" s="2" customFormat="1" ht="12.75" x14ac:dyDescent="0.2">
      <c r="A36" s="1"/>
      <c r="B36" s="4" t="s">
        <v>14</v>
      </c>
      <c r="C36" s="16">
        <v>2022</v>
      </c>
      <c r="D36" s="16">
        <v>2023</v>
      </c>
      <c r="E36" s="16">
        <v>2024</v>
      </c>
      <c r="F36" s="16">
        <v>2025</v>
      </c>
      <c r="G36" s="16">
        <v>2026</v>
      </c>
      <c r="H36" s="16">
        <v>2027</v>
      </c>
      <c r="I36" s="16">
        <v>2028</v>
      </c>
      <c r="J36" s="16">
        <v>2029</v>
      </c>
      <c r="K36" s="16">
        <v>2030</v>
      </c>
      <c r="L36" s="16">
        <v>2031</v>
      </c>
      <c r="M36" s="16">
        <v>2032</v>
      </c>
      <c r="N36" s="16">
        <v>2033</v>
      </c>
      <c r="O36" s="16">
        <v>2034</v>
      </c>
      <c r="P36" s="16">
        <v>2035</v>
      </c>
      <c r="Q36" s="16">
        <v>2036</v>
      </c>
      <c r="R36" s="16">
        <v>2037</v>
      </c>
      <c r="S36" s="16">
        <v>2038</v>
      </c>
      <c r="T36" s="16">
        <v>2039</v>
      </c>
      <c r="U36" s="16">
        <v>2040</v>
      </c>
      <c r="V36" s="16">
        <v>2041</v>
      </c>
      <c r="W36" s="16">
        <v>2042</v>
      </c>
      <c r="X36" s="16">
        <v>2043</v>
      </c>
      <c r="Y36" s="16">
        <v>2044</v>
      </c>
      <c r="Z36" s="16">
        <v>2045</v>
      </c>
      <c r="AA36" s="16">
        <v>2046</v>
      </c>
      <c r="AB36" s="16">
        <v>2047</v>
      </c>
      <c r="AC36" s="16">
        <v>2048</v>
      </c>
      <c r="AD36" s="16">
        <v>2049</v>
      </c>
      <c r="AE36" s="16">
        <v>2050</v>
      </c>
      <c r="AX36" s="3"/>
    </row>
    <row r="37" spans="1:50" s="2" customFormat="1" ht="12.75" x14ac:dyDescent="0.2">
      <c r="A37" s="1"/>
      <c r="B37" s="17" t="s">
        <v>5</v>
      </c>
      <c r="C37" s="16">
        <f>C$424/$C$433*C25/10^6</f>
        <v>0</v>
      </c>
      <c r="D37" s="16">
        <f t="shared" ref="D37:AE41" si="6">D$424/$C$433*D25/10^6</f>
        <v>0</v>
      </c>
      <c r="E37" s="16">
        <f t="shared" si="6"/>
        <v>0</v>
      </c>
      <c r="F37" s="16">
        <f t="shared" si="6"/>
        <v>0</v>
      </c>
      <c r="G37" s="16">
        <f t="shared" si="6"/>
        <v>106.36911460743841</v>
      </c>
      <c r="H37" s="16">
        <f t="shared" si="6"/>
        <v>206.6945295212723</v>
      </c>
      <c r="I37" s="16">
        <f t="shared" si="6"/>
        <v>300.97624474150177</v>
      </c>
      <c r="J37" s="16">
        <f t="shared" si="6"/>
        <v>389.21426026812674</v>
      </c>
      <c r="K37" s="16">
        <f t="shared" si="6"/>
        <v>471.40857610114728</v>
      </c>
      <c r="L37" s="16">
        <f t="shared" si="6"/>
        <v>642.62204482928144</v>
      </c>
      <c r="M37" s="16">
        <f t="shared" si="6"/>
        <v>801.4962607122402</v>
      </c>
      <c r="N37" s="16">
        <f t="shared" si="6"/>
        <v>948.03122375002397</v>
      </c>
      <c r="O37" s="16">
        <f t="shared" si="6"/>
        <v>1076.0553359187368</v>
      </c>
      <c r="P37" s="16">
        <f t="shared" si="6"/>
        <v>1192.1939892146195</v>
      </c>
      <c r="Q37" s="16">
        <f t="shared" si="6"/>
        <v>1417.5650567038997</v>
      </c>
      <c r="R37" s="16">
        <f t="shared" si="6"/>
        <v>1621.4381357119189</v>
      </c>
      <c r="S37" s="16">
        <f t="shared" si="6"/>
        <v>1803.8132262386775</v>
      </c>
      <c r="T37" s="16">
        <f t="shared" si="6"/>
        <v>1969.0416503185229</v>
      </c>
      <c r="U37" s="16">
        <f t="shared" si="6"/>
        <v>2112.3800749230227</v>
      </c>
      <c r="V37" s="16">
        <f t="shared" si="6"/>
        <v>2196.266418041324</v>
      </c>
      <c r="W37" s="16">
        <f t="shared" si="6"/>
        <v>2261.9817797051564</v>
      </c>
      <c r="X37" s="16">
        <f t="shared" si="6"/>
        <v>2309.5261599145188</v>
      </c>
      <c r="Y37" s="16">
        <f t="shared" si="6"/>
        <v>2334.4474088725929</v>
      </c>
      <c r="Z37" s="16">
        <f t="shared" si="6"/>
        <v>2341.7153682130356</v>
      </c>
      <c r="AA37" s="16">
        <f t="shared" si="6"/>
        <v>2266.8614699478294</v>
      </c>
      <c r="AB37" s="16">
        <f t="shared" si="6"/>
        <v>2182.8369883792056</v>
      </c>
      <c r="AC37" s="16">
        <f t="shared" si="6"/>
        <v>2089.6419235071648</v>
      </c>
      <c r="AD37" s="16">
        <f t="shared" si="6"/>
        <v>1987.2762753317077</v>
      </c>
      <c r="AE37" s="16">
        <f t="shared" si="6"/>
        <v>1875.740043852833</v>
      </c>
      <c r="AX37" s="3"/>
    </row>
    <row r="38" spans="1:50" s="2" customFormat="1" ht="12.75" x14ac:dyDescent="0.2">
      <c r="A38" s="1"/>
      <c r="B38" s="17" t="s">
        <v>6</v>
      </c>
      <c r="C38" s="16">
        <f>C$424/$C$433*C26/10^6</f>
        <v>0</v>
      </c>
      <c r="D38" s="16">
        <f t="shared" si="6"/>
        <v>0</v>
      </c>
      <c r="E38" s="16">
        <f t="shared" si="6"/>
        <v>0</v>
      </c>
      <c r="F38" s="16">
        <f t="shared" si="6"/>
        <v>0</v>
      </c>
      <c r="G38" s="16">
        <f t="shared" si="6"/>
        <v>363.90910610132801</v>
      </c>
      <c r="H38" s="16">
        <f t="shared" si="6"/>
        <v>707.14155844689856</v>
      </c>
      <c r="I38" s="16">
        <f t="shared" si="6"/>
        <v>1029.697357036712</v>
      </c>
      <c r="J38" s="16">
        <f t="shared" si="6"/>
        <v>1331.5765018707677</v>
      </c>
      <c r="K38" s="16">
        <f t="shared" si="6"/>
        <v>1612.7789929490666</v>
      </c>
      <c r="L38" s="16">
        <f t="shared" si="6"/>
        <v>1921.8452415974139</v>
      </c>
      <c r="M38" s="16">
        <f t="shared" si="6"/>
        <v>2207.0202397134599</v>
      </c>
      <c r="N38" s="16">
        <f t="shared" si="6"/>
        <v>2468.3039872972063</v>
      </c>
      <c r="O38" s="16">
        <f t="shared" si="6"/>
        <v>2705.9349008125573</v>
      </c>
      <c r="P38" s="16">
        <f t="shared" si="6"/>
        <v>2919.6570331732614</v>
      </c>
      <c r="Q38" s="16">
        <f t="shared" si="6"/>
        <v>3007.8869076979581</v>
      </c>
      <c r="R38" s="16">
        <f t="shared" si="6"/>
        <v>3080.2701817570046</v>
      </c>
      <c r="S38" s="16">
        <f t="shared" si="6"/>
        <v>3136.8068553504017</v>
      </c>
      <c r="T38" s="16">
        <f t="shared" si="6"/>
        <v>3182.1809406255788</v>
      </c>
      <c r="U38" s="16">
        <f t="shared" si="6"/>
        <v>3211.2864423587612</v>
      </c>
      <c r="V38" s="16">
        <f t="shared" si="6"/>
        <v>3139.5592253612435</v>
      </c>
      <c r="W38" s="16">
        <f t="shared" si="6"/>
        <v>3059.9361114740786</v>
      </c>
      <c r="X38" s="16">
        <f t="shared" si="6"/>
        <v>2972.4171006972661</v>
      </c>
      <c r="Y38" s="16">
        <f t="shared" si="6"/>
        <v>2877.2369568260219</v>
      </c>
      <c r="Z38" s="16">
        <f t="shared" si="6"/>
        <v>2774.1336179494065</v>
      </c>
      <c r="AA38" s="16">
        <f t="shared" si="6"/>
        <v>2534.3477387090925</v>
      </c>
      <c r="AB38" s="16">
        <f t="shared" si="6"/>
        <v>2303.5806835895032</v>
      </c>
      <c r="AC38" s="16">
        <f t="shared" si="6"/>
        <v>2081.8324525906387</v>
      </c>
      <c r="AD38" s="16">
        <f t="shared" si="6"/>
        <v>1869.1030457125</v>
      </c>
      <c r="AE38" s="16">
        <f t="shared" si="6"/>
        <v>1665.3924629550861</v>
      </c>
      <c r="AX38" s="3"/>
    </row>
    <row r="39" spans="1:50" s="2" customFormat="1" ht="12.75" x14ac:dyDescent="0.2">
      <c r="A39" s="1"/>
      <c r="B39" s="17" t="s">
        <v>7</v>
      </c>
      <c r="C39" s="16">
        <f>C$424/$C$433*C27/10^6</f>
        <v>0</v>
      </c>
      <c r="D39" s="16">
        <f t="shared" si="6"/>
        <v>0</v>
      </c>
      <c r="E39" s="16">
        <f t="shared" si="6"/>
        <v>0</v>
      </c>
      <c r="F39" s="16">
        <f t="shared" si="6"/>
        <v>0</v>
      </c>
      <c r="G39" s="16">
        <f t="shared" si="6"/>
        <v>0</v>
      </c>
      <c r="H39" s="16">
        <f t="shared" si="6"/>
        <v>0</v>
      </c>
      <c r="I39" s="16">
        <f t="shared" si="6"/>
        <v>0</v>
      </c>
      <c r="J39" s="16">
        <f t="shared" si="6"/>
        <v>0</v>
      </c>
      <c r="K39" s="16">
        <f t="shared" si="6"/>
        <v>0</v>
      </c>
      <c r="L39" s="16">
        <f t="shared" si="6"/>
        <v>0</v>
      </c>
      <c r="M39" s="16">
        <f t="shared" si="6"/>
        <v>0</v>
      </c>
      <c r="N39" s="16">
        <f t="shared" si="6"/>
        <v>0</v>
      </c>
      <c r="O39" s="16">
        <f t="shared" si="6"/>
        <v>0</v>
      </c>
      <c r="P39" s="16">
        <f t="shared" si="6"/>
        <v>0</v>
      </c>
      <c r="Q39" s="16">
        <f t="shared" si="6"/>
        <v>76.517375786808557</v>
      </c>
      <c r="R39" s="16">
        <f t="shared" si="6"/>
        <v>146.96194397148946</v>
      </c>
      <c r="S39" s="16">
        <f t="shared" si="6"/>
        <v>211.3337045540427</v>
      </c>
      <c r="T39" s="16">
        <f t="shared" si="6"/>
        <v>269.63265753446825</v>
      </c>
      <c r="U39" s="16">
        <f t="shared" si="6"/>
        <v>321.85880291276612</v>
      </c>
      <c r="V39" s="16">
        <f t="shared" si="6"/>
        <v>429.34749747042576</v>
      </c>
      <c r="W39" s="16">
        <f t="shared" si="6"/>
        <v>524.69057682383004</v>
      </c>
      <c r="X39" s="16">
        <f t="shared" si="6"/>
        <v>607.88804097297907</v>
      </c>
      <c r="Y39" s="16">
        <f t="shared" si="6"/>
        <v>678.93988991787296</v>
      </c>
      <c r="Z39" s="16">
        <f t="shared" si="6"/>
        <v>737.84612365851126</v>
      </c>
      <c r="AA39" s="16">
        <f t="shared" si="6"/>
        <v>830.76007997106467</v>
      </c>
      <c r="AB39" s="16">
        <f t="shared" si="6"/>
        <v>905.45561347723481</v>
      </c>
      <c r="AC39" s="16">
        <f t="shared" si="6"/>
        <v>961.93272417702212</v>
      </c>
      <c r="AD39" s="16">
        <f t="shared" si="6"/>
        <v>1000.1914120704265</v>
      </c>
      <c r="AE39" s="16">
        <f t="shared" si="6"/>
        <v>1020.2316771574477</v>
      </c>
      <c r="AX39" s="3"/>
    </row>
    <row r="40" spans="1:50" s="2" customFormat="1" ht="12.75" x14ac:dyDescent="0.2">
      <c r="A40" s="1"/>
      <c r="B40" s="17" t="s">
        <v>8</v>
      </c>
      <c r="C40" s="16">
        <f>C$424/$C$433*C28/10^6</f>
        <v>0</v>
      </c>
      <c r="D40" s="16">
        <f t="shared" si="6"/>
        <v>0</v>
      </c>
      <c r="E40" s="16">
        <f t="shared" si="6"/>
        <v>0</v>
      </c>
      <c r="F40" s="16">
        <f t="shared" si="6"/>
        <v>0</v>
      </c>
      <c r="G40" s="16">
        <f t="shared" si="6"/>
        <v>0</v>
      </c>
      <c r="H40" s="16">
        <f t="shared" si="6"/>
        <v>0</v>
      </c>
      <c r="I40" s="16">
        <f t="shared" si="6"/>
        <v>0</v>
      </c>
      <c r="J40" s="16">
        <f t="shared" si="6"/>
        <v>0</v>
      </c>
      <c r="K40" s="16">
        <f t="shared" si="6"/>
        <v>0</v>
      </c>
      <c r="L40" s="16">
        <f t="shared" si="6"/>
        <v>134.63259399008558</v>
      </c>
      <c r="M40" s="16">
        <f t="shared" si="6"/>
        <v>260.34912215301313</v>
      </c>
      <c r="N40" s="16">
        <f t="shared" si="6"/>
        <v>377.14958448878275</v>
      </c>
      <c r="O40" s="16">
        <f t="shared" si="6"/>
        <v>491.20557902129019</v>
      </c>
      <c r="P40" s="16">
        <f t="shared" si="6"/>
        <v>595.89171375429441</v>
      </c>
      <c r="Q40" s="16">
        <f t="shared" si="6"/>
        <v>809.86354773133894</v>
      </c>
      <c r="R40" s="16">
        <f t="shared" si="6"/>
        <v>1005.0484140482815</v>
      </c>
      <c r="S40" s="16">
        <f t="shared" si="6"/>
        <v>1181.446312705122</v>
      </c>
      <c r="T40" s="16">
        <f t="shared" si="6"/>
        <v>1334.7059216675129</v>
      </c>
      <c r="U40" s="16">
        <f t="shared" si="6"/>
        <v>1469.5705739638872</v>
      </c>
      <c r="V40" s="16">
        <f t="shared" si="6"/>
        <v>1798.5133521385021</v>
      </c>
      <c r="W40" s="16">
        <f t="shared" si="6"/>
        <v>2088.0242347813323</v>
      </c>
      <c r="X40" s="16">
        <f t="shared" si="6"/>
        <v>2338.1032218923783</v>
      </c>
      <c r="Y40" s="16">
        <f t="shared" si="6"/>
        <v>2553.2024632684602</v>
      </c>
      <c r="Z40" s="16">
        <f t="shared" si="6"/>
        <v>2728.352117275917</v>
      </c>
      <c r="AA40" s="16">
        <f t="shared" si="6"/>
        <v>2711.9839226868485</v>
      </c>
      <c r="AB40" s="16">
        <f t="shared" si="6"/>
        <v>2675.6093329959849</v>
      </c>
      <c r="AC40" s="16">
        <f t="shared" si="6"/>
        <v>2619.2283482033263</v>
      </c>
      <c r="AD40" s="16">
        <f t="shared" si="6"/>
        <v>2542.8409683088726</v>
      </c>
      <c r="AE40" s="16">
        <f t="shared" si="6"/>
        <v>2446.4471933126233</v>
      </c>
      <c r="AX40" s="3"/>
    </row>
    <row r="41" spans="1:50" s="2" customFormat="1" ht="12.75" x14ac:dyDescent="0.2">
      <c r="A41" s="1"/>
      <c r="B41" s="17" t="s">
        <v>9</v>
      </c>
      <c r="C41" s="16">
        <f>C$424/$C$433*C29/10^6</f>
        <v>0</v>
      </c>
      <c r="D41" s="16">
        <f t="shared" si="6"/>
        <v>0</v>
      </c>
      <c r="E41" s="16">
        <f t="shared" si="6"/>
        <v>0</v>
      </c>
      <c r="F41" s="16">
        <f t="shared" si="6"/>
        <v>0</v>
      </c>
      <c r="G41" s="16">
        <f t="shared" si="6"/>
        <v>0</v>
      </c>
      <c r="H41" s="16">
        <f t="shared" si="6"/>
        <v>0</v>
      </c>
      <c r="I41" s="16">
        <f t="shared" si="6"/>
        <v>0</v>
      </c>
      <c r="J41" s="16">
        <f t="shared" si="6"/>
        <v>0</v>
      </c>
      <c r="K41" s="16">
        <f t="shared" si="6"/>
        <v>0</v>
      </c>
      <c r="L41" s="16">
        <f t="shared" si="6"/>
        <v>61.051902826262875</v>
      </c>
      <c r="M41" s="16">
        <f t="shared" si="6"/>
        <v>118.06063327992555</v>
      </c>
      <c r="N41" s="16">
        <f t="shared" si="6"/>
        <v>171.02619136098804</v>
      </c>
      <c r="O41" s="16">
        <f t="shared" si="6"/>
        <v>219.71016060554504</v>
      </c>
      <c r="P41" s="16">
        <f t="shared" si="6"/>
        <v>264.36848809984775</v>
      </c>
      <c r="Q41" s="16">
        <f t="shared" si="6"/>
        <v>444.95187940053597</v>
      </c>
      <c r="R41" s="16">
        <f t="shared" si="6"/>
        <v>610.40243009726851</v>
      </c>
      <c r="S41" s="16">
        <f t="shared" si="6"/>
        <v>760.72014019004507</v>
      </c>
      <c r="T41" s="16">
        <f t="shared" si="6"/>
        <v>891.22099753143573</v>
      </c>
      <c r="U41" s="16">
        <f t="shared" si="6"/>
        <v>1007.0109973452155</v>
      </c>
      <c r="V41" s="16">
        <f t="shared" si="6"/>
        <v>969.90169599712272</v>
      </c>
      <c r="W41" s="16">
        <f t="shared" si="6"/>
        <v>931.76356124362337</v>
      </c>
      <c r="X41" s="16">
        <f t="shared" si="6"/>
        <v>892.59659308471748</v>
      </c>
      <c r="Y41" s="16">
        <f t="shared" si="6"/>
        <v>852.16602772518922</v>
      </c>
      <c r="Z41" s="16">
        <f t="shared" si="6"/>
        <v>810.73392707597702</v>
      </c>
      <c r="AA41" s="16">
        <f t="shared" si="6"/>
        <v>732.10066236904538</v>
      </c>
      <c r="AB41" s="16">
        <f t="shared" si="6"/>
        <v>657.22897142085549</v>
      </c>
      <c r="AC41" s="16">
        <f t="shared" si="6"/>
        <v>586.11885423140768</v>
      </c>
      <c r="AD41" s="16">
        <f t="shared" si="6"/>
        <v>518.77031080070196</v>
      </c>
      <c r="AE41" s="16">
        <f t="shared" si="6"/>
        <v>455.18334112873828</v>
      </c>
      <c r="AX41" s="3"/>
    </row>
    <row r="42" spans="1:50" s="2" customFormat="1" ht="12.75" x14ac:dyDescent="0.2">
      <c r="A42" s="1"/>
      <c r="B42" s="4"/>
      <c r="AX42" s="3"/>
    </row>
    <row r="43" spans="1:50" s="2" customFormat="1" ht="12.75" x14ac:dyDescent="0.2">
      <c r="A43" s="1"/>
      <c r="AX43" s="3"/>
    </row>
    <row r="44" spans="1:50" s="2" customFormat="1" ht="12.75" x14ac:dyDescent="0.2">
      <c r="A44" s="1"/>
      <c r="B44" s="2" t="s">
        <v>15</v>
      </c>
      <c r="C44" s="2">
        <v>15</v>
      </c>
      <c r="AX44" s="3"/>
    </row>
    <row r="45" spans="1:50" s="2" customFormat="1" ht="12.75" x14ac:dyDescent="0.2">
      <c r="A45" s="1"/>
      <c r="AX45" s="3"/>
    </row>
    <row r="46" spans="1:50" s="2" customFormat="1" ht="12.75" x14ac:dyDescent="0.2">
      <c r="A46" s="1"/>
      <c r="B46" s="2" t="s">
        <v>16</v>
      </c>
      <c r="C46" s="16">
        <v>2022</v>
      </c>
      <c r="D46" s="16">
        <v>2023</v>
      </c>
      <c r="E46" s="16">
        <v>2024</v>
      </c>
      <c r="F46" s="16">
        <v>2025</v>
      </c>
      <c r="G46" s="16">
        <v>2026</v>
      </c>
      <c r="H46" s="16">
        <v>2027</v>
      </c>
      <c r="I46" s="16">
        <v>2028</v>
      </c>
      <c r="J46" s="16">
        <v>2029</v>
      </c>
      <c r="K46" s="16">
        <v>2030</v>
      </c>
      <c r="L46" s="16">
        <v>2031</v>
      </c>
      <c r="M46" s="16">
        <v>2032</v>
      </c>
      <c r="N46" s="16">
        <v>2033</v>
      </c>
      <c r="O46" s="16">
        <v>2034</v>
      </c>
      <c r="P46" s="16">
        <v>2035</v>
      </c>
      <c r="Q46" s="16">
        <v>2036</v>
      </c>
      <c r="R46" s="16">
        <v>2037</v>
      </c>
      <c r="S46" s="16">
        <v>2038</v>
      </c>
      <c r="T46" s="16">
        <v>2039</v>
      </c>
      <c r="U46" s="16">
        <v>2040</v>
      </c>
      <c r="V46" s="16">
        <v>2041</v>
      </c>
      <c r="W46" s="16">
        <v>2042</v>
      </c>
      <c r="X46" s="16">
        <v>2043</v>
      </c>
      <c r="Y46" s="16">
        <v>2044</v>
      </c>
      <c r="Z46" s="16">
        <v>2045</v>
      </c>
      <c r="AA46" s="16">
        <v>2046</v>
      </c>
      <c r="AB46" s="16">
        <v>2047</v>
      </c>
      <c r="AC46" s="16">
        <v>2048</v>
      </c>
      <c r="AD46" s="16">
        <v>2049</v>
      </c>
      <c r="AE46" s="16">
        <v>2050</v>
      </c>
      <c r="AX46" s="3"/>
    </row>
    <row r="47" spans="1:50" s="2" customFormat="1" ht="12.75" x14ac:dyDescent="0.2">
      <c r="A47" s="1"/>
      <c r="B47" s="17" t="s">
        <v>5</v>
      </c>
      <c r="C47" s="12"/>
      <c r="D47" s="12">
        <f>D37-(1-1/$C$444)*C37</f>
        <v>0</v>
      </c>
      <c r="E47" s="12">
        <f t="shared" ref="E47:AE51" si="7">E37-(1-1/$C$444)*D37</f>
        <v>0</v>
      </c>
      <c r="F47" s="12">
        <f t="shared" si="7"/>
        <v>0</v>
      </c>
      <c r="G47" s="12">
        <f t="shared" si="7"/>
        <v>106.36911460743841</v>
      </c>
      <c r="H47" s="12">
        <f t="shared" si="7"/>
        <v>107.41668922099646</v>
      </c>
      <c r="I47" s="12">
        <f t="shared" si="7"/>
        <v>108.06135052164763</v>
      </c>
      <c r="J47" s="12">
        <f t="shared" si="7"/>
        <v>108.30309850939176</v>
      </c>
      <c r="K47" s="12">
        <f t="shared" si="7"/>
        <v>108.141933184229</v>
      </c>
      <c r="L47" s="12">
        <f t="shared" si="7"/>
        <v>202.64070713487729</v>
      </c>
      <c r="M47" s="12">
        <f t="shared" si="7"/>
        <v>201.7156855382442</v>
      </c>
      <c r="N47" s="12">
        <f t="shared" si="7"/>
        <v>199.96804708526645</v>
      </c>
      <c r="O47" s="12">
        <f t="shared" si="7"/>
        <v>191.22619375204772</v>
      </c>
      <c r="P47" s="12">
        <f t="shared" si="7"/>
        <v>187.87567569046519</v>
      </c>
      <c r="Q47" s="12">
        <f t="shared" si="7"/>
        <v>304.85066677025475</v>
      </c>
      <c r="R47" s="12">
        <f t="shared" si="7"/>
        <v>298.37741612161244</v>
      </c>
      <c r="S47" s="12">
        <f t="shared" si="7"/>
        <v>290.47096624088658</v>
      </c>
      <c r="T47" s="12">
        <f t="shared" si="7"/>
        <v>285.48263916242377</v>
      </c>
      <c r="U47" s="12">
        <f t="shared" si="7"/>
        <v>274.60786795906802</v>
      </c>
      <c r="V47" s="12">
        <f t="shared" si="7"/>
        <v>224.71168144650278</v>
      </c>
      <c r="W47" s="12">
        <f t="shared" si="7"/>
        <v>212.1331228665872</v>
      </c>
      <c r="X47" s="12">
        <f t="shared" si="7"/>
        <v>198.34316552303926</v>
      </c>
      <c r="Y47" s="12">
        <f t="shared" si="7"/>
        <v>178.88965961904205</v>
      </c>
      <c r="Z47" s="12">
        <f t="shared" si="7"/>
        <v>162.89778659861577</v>
      </c>
      <c r="AA47" s="12">
        <f t="shared" si="7"/>
        <v>81.260459615662967</v>
      </c>
      <c r="AB47" s="12">
        <f t="shared" si="7"/>
        <v>67.099616427898127</v>
      </c>
      <c r="AC47" s="12">
        <f t="shared" si="7"/>
        <v>52.327401019906119</v>
      </c>
      <c r="AD47" s="12">
        <f t="shared" si="7"/>
        <v>36.943813391687172</v>
      </c>
      <c r="AE47" s="12">
        <f t="shared" si="7"/>
        <v>20.948853543239011</v>
      </c>
      <c r="AX47" s="3"/>
    </row>
    <row r="48" spans="1:50" s="2" customFormat="1" ht="12.75" x14ac:dyDescent="0.2">
      <c r="A48" s="1"/>
      <c r="B48" s="17" t="s">
        <v>6</v>
      </c>
      <c r="C48" s="12"/>
      <c r="D48" s="12">
        <f>D38-(1-1/$C$444)*C38</f>
        <v>0</v>
      </c>
      <c r="E48" s="12">
        <f t="shared" si="7"/>
        <v>0</v>
      </c>
      <c r="F48" s="12">
        <f t="shared" si="7"/>
        <v>0</v>
      </c>
      <c r="G48" s="12">
        <f t="shared" si="7"/>
        <v>363.90910610132801</v>
      </c>
      <c r="H48" s="12">
        <f t="shared" si="7"/>
        <v>367.4930594189924</v>
      </c>
      <c r="I48" s="12">
        <f t="shared" si="7"/>
        <v>369.69856915293997</v>
      </c>
      <c r="J48" s="12">
        <f t="shared" si="7"/>
        <v>370.52563530316991</v>
      </c>
      <c r="K48" s="12">
        <f t="shared" si="7"/>
        <v>369.97425786968347</v>
      </c>
      <c r="L48" s="12">
        <f t="shared" si="7"/>
        <v>416.58484817828503</v>
      </c>
      <c r="M48" s="12">
        <f t="shared" si="7"/>
        <v>413.29801422254036</v>
      </c>
      <c r="N48" s="12">
        <f t="shared" si="7"/>
        <v>408.41843023131014</v>
      </c>
      <c r="O48" s="12">
        <f t="shared" si="7"/>
        <v>402.18451266849797</v>
      </c>
      <c r="P48" s="12">
        <f t="shared" si="7"/>
        <v>394.11779241487466</v>
      </c>
      <c r="Q48" s="12">
        <f t="shared" si="7"/>
        <v>282.87367673624749</v>
      </c>
      <c r="R48" s="12">
        <f t="shared" si="7"/>
        <v>272.9090679055771</v>
      </c>
      <c r="S48" s="12">
        <f t="shared" si="7"/>
        <v>261.88801904386401</v>
      </c>
      <c r="T48" s="12">
        <f t="shared" si="7"/>
        <v>254.494542298537</v>
      </c>
      <c r="U48" s="12">
        <f t="shared" si="7"/>
        <v>241.25089777488756</v>
      </c>
      <c r="V48" s="12">
        <f t="shared" si="7"/>
        <v>142.35854582639968</v>
      </c>
      <c r="W48" s="12">
        <f t="shared" si="7"/>
        <v>129.68083447025128</v>
      </c>
      <c r="X48" s="12">
        <f t="shared" si="7"/>
        <v>116.47672998812595</v>
      </c>
      <c r="Y48" s="12">
        <f t="shared" si="7"/>
        <v>102.98099617524031</v>
      </c>
      <c r="Z48" s="12">
        <f t="shared" si="7"/>
        <v>88.712458245119251</v>
      </c>
      <c r="AA48" s="12">
        <f t="shared" si="7"/>
        <v>-54.843638043686951</v>
      </c>
      <c r="AB48" s="12">
        <f t="shared" si="7"/>
        <v>-61.810539205650002</v>
      </c>
      <c r="AC48" s="12">
        <f t="shared" si="7"/>
        <v>-68.176185426230859</v>
      </c>
      <c r="AD48" s="12">
        <f t="shared" si="7"/>
        <v>-73.940576705429521</v>
      </c>
      <c r="AE48" s="12">
        <f t="shared" si="7"/>
        <v>-79.103713043247353</v>
      </c>
      <c r="AX48" s="3"/>
    </row>
    <row r="49" spans="1:50" s="2" customFormat="1" ht="12.75" x14ac:dyDescent="0.2">
      <c r="A49" s="1"/>
      <c r="B49" s="17" t="s">
        <v>7</v>
      </c>
      <c r="C49" s="12"/>
      <c r="D49" s="12">
        <f>D39-(1-1/$C$444)*C39</f>
        <v>0</v>
      </c>
      <c r="E49" s="12">
        <f t="shared" si="7"/>
        <v>0</v>
      </c>
      <c r="F49" s="12">
        <f t="shared" si="7"/>
        <v>0</v>
      </c>
      <c r="G49" s="12">
        <f t="shared" si="7"/>
        <v>0</v>
      </c>
      <c r="H49" s="12">
        <f t="shared" si="7"/>
        <v>0</v>
      </c>
      <c r="I49" s="12">
        <f t="shared" si="7"/>
        <v>0</v>
      </c>
      <c r="J49" s="12">
        <f t="shared" si="7"/>
        <v>0</v>
      </c>
      <c r="K49" s="12">
        <f t="shared" si="7"/>
        <v>0</v>
      </c>
      <c r="L49" s="12">
        <f t="shared" si="7"/>
        <v>0</v>
      </c>
      <c r="M49" s="12">
        <f t="shared" si="7"/>
        <v>0</v>
      </c>
      <c r="N49" s="12">
        <f t="shared" si="7"/>
        <v>0</v>
      </c>
      <c r="O49" s="12">
        <f t="shared" si="7"/>
        <v>0</v>
      </c>
      <c r="P49" s="12">
        <f t="shared" si="7"/>
        <v>0</v>
      </c>
      <c r="Q49" s="12">
        <f t="shared" si="7"/>
        <v>76.517375786808557</v>
      </c>
      <c r="R49" s="12">
        <f t="shared" si="7"/>
        <v>75.545726570468133</v>
      </c>
      <c r="S49" s="12">
        <f t="shared" si="7"/>
        <v>74.169223513985855</v>
      </c>
      <c r="T49" s="12">
        <f t="shared" si="7"/>
        <v>72.387866617361738</v>
      </c>
      <c r="U49" s="12">
        <f t="shared" si="7"/>
        <v>70.201655880595752</v>
      </c>
      <c r="V49" s="12">
        <f t="shared" si="7"/>
        <v>128.94594808517741</v>
      </c>
      <c r="W49" s="12">
        <f t="shared" si="7"/>
        <v>123.96624585143263</v>
      </c>
      <c r="X49" s="12">
        <f t="shared" si="7"/>
        <v>118.17683593740435</v>
      </c>
      <c r="Y49" s="12">
        <f t="shared" si="7"/>
        <v>111.57771834309244</v>
      </c>
      <c r="Z49" s="12">
        <f t="shared" si="7"/>
        <v>104.16889306849646</v>
      </c>
      <c r="AA49" s="12">
        <f t="shared" si="7"/>
        <v>142.10369788978744</v>
      </c>
      <c r="AB49" s="12">
        <f t="shared" si="7"/>
        <v>130.07953883757443</v>
      </c>
      <c r="AC49" s="12">
        <f t="shared" si="7"/>
        <v>116.84081826493627</v>
      </c>
      <c r="AD49" s="12">
        <f t="shared" si="7"/>
        <v>102.38753617187251</v>
      </c>
      <c r="AE49" s="12">
        <f t="shared" si="7"/>
        <v>86.719692558383031</v>
      </c>
      <c r="AX49" s="3"/>
    </row>
    <row r="50" spans="1:50" s="2" customFormat="1" ht="12.75" x14ac:dyDescent="0.2">
      <c r="A50" s="1"/>
      <c r="B50" s="17" t="s">
        <v>8</v>
      </c>
      <c r="C50" s="12"/>
      <c r="D50" s="12">
        <f>D40-(1-1/$C$444)*C40</f>
        <v>0</v>
      </c>
      <c r="E50" s="12">
        <f t="shared" si="7"/>
        <v>0</v>
      </c>
      <c r="F50" s="12">
        <f t="shared" si="7"/>
        <v>0</v>
      </c>
      <c r="G50" s="12">
        <f t="shared" si="7"/>
        <v>0</v>
      </c>
      <c r="H50" s="12">
        <f t="shared" si="7"/>
        <v>0</v>
      </c>
      <c r="I50" s="12">
        <f t="shared" si="7"/>
        <v>0</v>
      </c>
      <c r="J50" s="12">
        <f t="shared" si="7"/>
        <v>0</v>
      </c>
      <c r="K50" s="12">
        <f t="shared" si="7"/>
        <v>0</v>
      </c>
      <c r="L50" s="12">
        <f t="shared" si="7"/>
        <v>134.63259399008558</v>
      </c>
      <c r="M50" s="12">
        <f t="shared" si="7"/>
        <v>134.69203442893325</v>
      </c>
      <c r="N50" s="12">
        <f t="shared" si="7"/>
        <v>134.15707047930383</v>
      </c>
      <c r="O50" s="12">
        <f t="shared" si="7"/>
        <v>139.19930016509295</v>
      </c>
      <c r="P50" s="12">
        <f t="shared" si="7"/>
        <v>137.43317333442354</v>
      </c>
      <c r="Q50" s="12">
        <f t="shared" si="7"/>
        <v>253.69794822733081</v>
      </c>
      <c r="R50" s="12">
        <f t="shared" si="7"/>
        <v>249.17576949903184</v>
      </c>
      <c r="S50" s="12">
        <f t="shared" si="7"/>
        <v>243.40112626005919</v>
      </c>
      <c r="T50" s="12">
        <f t="shared" si="7"/>
        <v>232.02269647606568</v>
      </c>
      <c r="U50" s="12">
        <f t="shared" si="7"/>
        <v>223.84504707420842</v>
      </c>
      <c r="V50" s="12">
        <f t="shared" si="7"/>
        <v>426.91414977220734</v>
      </c>
      <c r="W50" s="12">
        <f t="shared" si="7"/>
        <v>409.41177278539703</v>
      </c>
      <c r="X50" s="12">
        <f t="shared" si="7"/>
        <v>389.28060276313477</v>
      </c>
      <c r="Y50" s="12">
        <f t="shared" si="7"/>
        <v>370.97278950224018</v>
      </c>
      <c r="Z50" s="12">
        <f t="shared" si="7"/>
        <v>345.3631515586876</v>
      </c>
      <c r="AA50" s="12">
        <f t="shared" si="7"/>
        <v>165.5219465626592</v>
      </c>
      <c r="AB50" s="12">
        <f t="shared" si="7"/>
        <v>144.42433848825976</v>
      </c>
      <c r="AC50" s="12">
        <f t="shared" si="7"/>
        <v>121.99297074040715</v>
      </c>
      <c r="AD50" s="12">
        <f t="shared" si="7"/>
        <v>98.227843319101339</v>
      </c>
      <c r="AE50" s="12">
        <f t="shared" si="7"/>
        <v>73.128956224342346</v>
      </c>
      <c r="AX50" s="3"/>
    </row>
    <row r="51" spans="1:50" s="2" customFormat="1" ht="12.75" x14ac:dyDescent="0.2">
      <c r="A51" s="1"/>
      <c r="B51" s="17" t="s">
        <v>9</v>
      </c>
      <c r="C51" s="12"/>
      <c r="D51" s="12">
        <f>D41-(1-1/$C$444)*C41</f>
        <v>0</v>
      </c>
      <c r="E51" s="12">
        <f t="shared" si="7"/>
        <v>0</v>
      </c>
      <c r="F51" s="12">
        <f t="shared" si="7"/>
        <v>0</v>
      </c>
      <c r="G51" s="12">
        <f t="shared" si="7"/>
        <v>0</v>
      </c>
      <c r="H51" s="12">
        <f t="shared" si="7"/>
        <v>0</v>
      </c>
      <c r="I51" s="12">
        <f t="shared" si="7"/>
        <v>0</v>
      </c>
      <c r="J51" s="12">
        <f t="shared" si="7"/>
        <v>0</v>
      </c>
      <c r="K51" s="12">
        <f t="shared" si="7"/>
        <v>0</v>
      </c>
      <c r="L51" s="12">
        <f t="shared" si="7"/>
        <v>61.051902826262875</v>
      </c>
      <c r="M51" s="12">
        <f t="shared" si="7"/>
        <v>61.078857308746869</v>
      </c>
      <c r="N51" s="12">
        <f t="shared" si="7"/>
        <v>60.836266966390852</v>
      </c>
      <c r="O51" s="12">
        <f t="shared" si="7"/>
        <v>60.085715335289535</v>
      </c>
      <c r="P51" s="12">
        <f t="shared" si="7"/>
        <v>59.305671534672371</v>
      </c>
      <c r="Q51" s="12">
        <f t="shared" si="7"/>
        <v>198.2079571740114</v>
      </c>
      <c r="R51" s="12">
        <f t="shared" si="7"/>
        <v>195.11400932343491</v>
      </c>
      <c r="S51" s="12">
        <f t="shared" si="7"/>
        <v>191.01120543259447</v>
      </c>
      <c r="T51" s="12">
        <f t="shared" si="7"/>
        <v>181.21553335406031</v>
      </c>
      <c r="U51" s="12">
        <f t="shared" si="7"/>
        <v>175.20473298254217</v>
      </c>
      <c r="V51" s="12">
        <f t="shared" si="7"/>
        <v>30.024765141588205</v>
      </c>
      <c r="W51" s="12">
        <f t="shared" si="7"/>
        <v>26.521978312975534</v>
      </c>
      <c r="X51" s="12">
        <f t="shared" si="7"/>
        <v>22.95060259066895</v>
      </c>
      <c r="Y51" s="12">
        <f t="shared" si="7"/>
        <v>19.075874179452853</v>
      </c>
      <c r="Z51" s="12">
        <f t="shared" si="7"/>
        <v>15.378967865800405</v>
      </c>
      <c r="AA51" s="12">
        <f t="shared" si="7"/>
        <v>-24.584336235199885</v>
      </c>
      <c r="AB51" s="12">
        <f t="shared" si="7"/>
        <v>-26.064980123586906</v>
      </c>
      <c r="AC51" s="12">
        <f t="shared" si="7"/>
        <v>-27.294852428057425</v>
      </c>
      <c r="AD51" s="12">
        <f t="shared" si="7"/>
        <v>-28.273953148611895</v>
      </c>
      <c r="AE51" s="12">
        <f t="shared" si="7"/>
        <v>-29.002282285250203</v>
      </c>
      <c r="AX51" s="3"/>
    </row>
    <row r="52" spans="1:50" s="2" customFormat="1" ht="12.75" x14ac:dyDescent="0.2">
      <c r="A52" s="1"/>
      <c r="AX52" s="3"/>
    </row>
    <row r="53" spans="1:50" s="2" customFormat="1" ht="12.75" x14ac:dyDescent="0.2">
      <c r="A53" s="1"/>
      <c r="AX53" s="3"/>
    </row>
    <row r="54" spans="1:50" s="2" customFormat="1" ht="12.75" x14ac:dyDescent="0.2">
      <c r="A54" s="1"/>
      <c r="C54" s="19">
        <v>2022</v>
      </c>
      <c r="D54" s="19">
        <v>2023</v>
      </c>
      <c r="E54" s="19">
        <v>2024</v>
      </c>
      <c r="F54" s="19">
        <v>2025</v>
      </c>
      <c r="G54" s="19">
        <v>2026</v>
      </c>
      <c r="H54" s="19">
        <v>2027</v>
      </c>
      <c r="I54" s="19">
        <v>2028</v>
      </c>
      <c r="J54" s="19">
        <v>2029</v>
      </c>
      <c r="K54" s="19">
        <v>2030</v>
      </c>
      <c r="L54" s="19">
        <v>2031</v>
      </c>
      <c r="M54" s="19">
        <v>2032</v>
      </c>
      <c r="N54" s="19">
        <v>2033</v>
      </c>
      <c r="O54" s="19">
        <v>2034</v>
      </c>
      <c r="P54" s="19">
        <v>2035</v>
      </c>
      <c r="Q54" s="19">
        <v>2036</v>
      </c>
      <c r="R54" s="19">
        <v>2037</v>
      </c>
      <c r="S54" s="19">
        <v>2038</v>
      </c>
      <c r="T54" s="19">
        <v>2039</v>
      </c>
      <c r="U54" s="19">
        <v>2040</v>
      </c>
      <c r="V54" s="19">
        <v>2041</v>
      </c>
      <c r="W54" s="19">
        <v>2042</v>
      </c>
      <c r="X54" s="19">
        <v>2043</v>
      </c>
      <c r="Y54" s="19">
        <v>2044</v>
      </c>
      <c r="Z54" s="19">
        <v>2045</v>
      </c>
      <c r="AA54" s="19">
        <v>2046</v>
      </c>
      <c r="AB54" s="19">
        <v>2047</v>
      </c>
      <c r="AC54" s="19">
        <v>2048</v>
      </c>
      <c r="AD54" s="19">
        <v>2049</v>
      </c>
      <c r="AE54" s="19">
        <v>2050</v>
      </c>
      <c r="AX54" s="3"/>
    </row>
    <row r="55" spans="1:50" s="2" customFormat="1" ht="12.75" x14ac:dyDescent="0.2">
      <c r="A55" s="1"/>
      <c r="B55" s="16" t="s">
        <v>17</v>
      </c>
      <c r="C55" s="16">
        <v>19.623433890000001</v>
      </c>
      <c r="D55" s="16">
        <v>19.814710519999998</v>
      </c>
      <c r="E55" s="16">
        <v>20.471628580000001</v>
      </c>
      <c r="F55" s="16">
        <v>21.158979599999999</v>
      </c>
      <c r="G55" s="16">
        <v>21.79502716</v>
      </c>
      <c r="H55" s="16">
        <v>22.342057960000002</v>
      </c>
      <c r="I55" s="16">
        <v>22.886195699999998</v>
      </c>
      <c r="J55" s="16">
        <v>23.409805550000002</v>
      </c>
      <c r="K55" s="16">
        <v>23.947553599999999</v>
      </c>
      <c r="L55" s="16">
        <v>24.32831384</v>
      </c>
      <c r="M55" s="16">
        <v>24.655090600000001</v>
      </c>
      <c r="N55" s="16">
        <v>25.005442169999998</v>
      </c>
      <c r="O55" s="16">
        <v>25.35249653</v>
      </c>
      <c r="P55" s="16">
        <v>25.656073200000002</v>
      </c>
      <c r="Q55" s="16">
        <v>26.011886149999999</v>
      </c>
      <c r="R55" s="16">
        <v>26.335837909999999</v>
      </c>
      <c r="S55" s="16">
        <v>26.68807863</v>
      </c>
      <c r="T55" s="16">
        <v>27.02740184</v>
      </c>
      <c r="U55" s="16">
        <v>27.34482212</v>
      </c>
      <c r="V55" s="16">
        <v>27.92644125</v>
      </c>
      <c r="W55" s="16">
        <v>28.506358890000001</v>
      </c>
      <c r="X55" s="16">
        <v>29.072774410000001</v>
      </c>
      <c r="Y55" s="16">
        <v>29.628913019999999</v>
      </c>
      <c r="Z55" s="16">
        <v>30.16905049</v>
      </c>
      <c r="AA55" s="16">
        <v>30.588795770000001</v>
      </c>
      <c r="AB55" s="16">
        <v>31.002894309999999</v>
      </c>
      <c r="AC55" s="16">
        <v>31.40752973</v>
      </c>
      <c r="AD55" s="16">
        <v>31.80070152</v>
      </c>
      <c r="AE55" s="16">
        <v>32.197299960000002</v>
      </c>
      <c r="AX55" s="3"/>
    </row>
    <row r="56" spans="1:50" s="2" customFormat="1" ht="12.75" x14ac:dyDescent="0.2">
      <c r="A56" s="1"/>
      <c r="B56" s="12" t="s">
        <v>18</v>
      </c>
      <c r="C56" s="16">
        <v>42379.428090000001</v>
      </c>
      <c r="D56" s="16">
        <v>41812.800750000002</v>
      </c>
      <c r="E56" s="16">
        <v>40896.04608</v>
      </c>
      <c r="F56" s="16">
        <v>39794.046679999999</v>
      </c>
      <c r="G56" s="16">
        <v>39153.152849999999</v>
      </c>
      <c r="H56" s="16">
        <v>38510.116190000001</v>
      </c>
      <c r="I56" s="16">
        <v>37974.318749999999</v>
      </c>
      <c r="J56" s="16">
        <v>37579.675380000001</v>
      </c>
      <c r="K56" s="16">
        <v>37265.32993</v>
      </c>
      <c r="L56" s="16">
        <v>36743.000690000001</v>
      </c>
      <c r="M56" s="16">
        <v>36224.587639999998</v>
      </c>
      <c r="N56" s="16">
        <v>35746.268600000003</v>
      </c>
      <c r="O56" s="16">
        <v>35273.684070000003</v>
      </c>
      <c r="P56" s="16">
        <v>34799.679629999999</v>
      </c>
      <c r="Q56" s="16">
        <v>34299.72795</v>
      </c>
      <c r="R56" s="16">
        <v>33773.067759999998</v>
      </c>
      <c r="S56" s="16">
        <v>33251.956919999997</v>
      </c>
      <c r="T56" s="16">
        <v>32718.940030000002</v>
      </c>
      <c r="U56" s="16">
        <v>32166.000960000001</v>
      </c>
      <c r="V56" s="16">
        <v>31652.009880000001</v>
      </c>
      <c r="W56" s="16">
        <v>31145.687709999998</v>
      </c>
      <c r="X56" s="16">
        <v>30629.809399999998</v>
      </c>
      <c r="Y56" s="16">
        <v>30099.7029</v>
      </c>
      <c r="Z56" s="16">
        <v>29543.188829999999</v>
      </c>
      <c r="AA56" s="16">
        <v>28953.594440000001</v>
      </c>
      <c r="AB56" s="16">
        <v>28343.064740000002</v>
      </c>
      <c r="AC56" s="16">
        <v>27712.05287</v>
      </c>
      <c r="AD56" s="16">
        <v>27571.334999999999</v>
      </c>
      <c r="AE56" s="16">
        <v>27534.42483</v>
      </c>
      <c r="AX56" s="3"/>
    </row>
    <row r="57" spans="1:50" s="2" customFormat="1" ht="12.75" x14ac:dyDescent="0.2">
      <c r="A57" s="1"/>
      <c r="B57" s="12" t="s">
        <v>19</v>
      </c>
      <c r="C57" s="16">
        <v>353.91673120000002</v>
      </c>
      <c r="D57" s="16">
        <v>348.74432890000003</v>
      </c>
      <c r="E57" s="16">
        <v>340.71587979999998</v>
      </c>
      <c r="F57" s="16">
        <v>331.0805967</v>
      </c>
      <c r="G57" s="16">
        <v>325.40441929999997</v>
      </c>
      <c r="H57" s="16">
        <v>319.71610900000002</v>
      </c>
      <c r="I57" s="16">
        <v>314.90262560000002</v>
      </c>
      <c r="J57" s="16">
        <v>311.26592369999997</v>
      </c>
      <c r="K57" s="16">
        <v>308.28927659999999</v>
      </c>
      <c r="L57" s="16">
        <v>303.69322299999999</v>
      </c>
      <c r="M57" s="16">
        <v>299.20013979999999</v>
      </c>
      <c r="N57" s="16">
        <v>295.00846780000001</v>
      </c>
      <c r="O57" s="16">
        <v>290.85429060000001</v>
      </c>
      <c r="P57" s="16">
        <v>286.75567230000001</v>
      </c>
      <c r="Q57" s="16">
        <v>282.30456770000001</v>
      </c>
      <c r="R57" s="16">
        <v>277.65506349999998</v>
      </c>
      <c r="S57" s="16">
        <v>273.06605589999998</v>
      </c>
      <c r="T57" s="16">
        <v>268.38464279999999</v>
      </c>
      <c r="U57" s="16">
        <v>263.5434942</v>
      </c>
      <c r="V57" s="16">
        <v>258.98835960000002</v>
      </c>
      <c r="W57" s="16">
        <v>254.47696590000001</v>
      </c>
      <c r="X57" s="16">
        <v>249.8779437</v>
      </c>
      <c r="Y57" s="16">
        <v>245.16838659999999</v>
      </c>
      <c r="Z57" s="16">
        <v>240.24495279999999</v>
      </c>
      <c r="AA57" s="16">
        <v>235.10326140000001</v>
      </c>
      <c r="AB57" s="16">
        <v>229.7941175</v>
      </c>
      <c r="AC57" s="16">
        <v>224.3209397</v>
      </c>
      <c r="AD57" s="16">
        <v>222.9313817</v>
      </c>
      <c r="AE57" s="16">
        <v>222.40249779999999</v>
      </c>
      <c r="AX57" s="3"/>
    </row>
    <row r="58" spans="1:50" s="2" customFormat="1" ht="12.75" x14ac:dyDescent="0.2">
      <c r="A58" s="1"/>
      <c r="B58" s="12" t="s">
        <v>20</v>
      </c>
      <c r="C58" s="16">
        <v>36288.180269999997</v>
      </c>
      <c r="D58" s="16">
        <v>36451.356659999998</v>
      </c>
      <c r="E58" s="16">
        <v>38124.456989999999</v>
      </c>
      <c r="F58" s="16">
        <v>39938.50619</v>
      </c>
      <c r="G58" s="16">
        <v>40976.849459999998</v>
      </c>
      <c r="H58" s="16">
        <v>41807.554640000002</v>
      </c>
      <c r="I58" s="16">
        <v>42654.446819999997</v>
      </c>
      <c r="J58" s="16">
        <v>43457.823380000002</v>
      </c>
      <c r="K58" s="16">
        <v>44302.616540000003</v>
      </c>
      <c r="L58" s="16">
        <v>44733.163959999998</v>
      </c>
      <c r="M58" s="16">
        <v>45110.477939999997</v>
      </c>
      <c r="N58" s="16">
        <v>45520.591849999997</v>
      </c>
      <c r="O58" s="16">
        <v>45927.794679999999</v>
      </c>
      <c r="P58" s="16">
        <v>46282.061139999998</v>
      </c>
      <c r="Q58" s="16">
        <v>46782.29881</v>
      </c>
      <c r="R58" s="16">
        <v>47221.851479999998</v>
      </c>
      <c r="S58" s="16">
        <v>47745.331209999997</v>
      </c>
      <c r="T58" s="16">
        <v>48236.137069999997</v>
      </c>
      <c r="U58" s="16">
        <v>48692.70134</v>
      </c>
      <c r="V58" s="16">
        <v>49187.968979999998</v>
      </c>
      <c r="W58" s="16">
        <v>49694.36449</v>
      </c>
      <c r="X58" s="16">
        <v>50191.085010000003</v>
      </c>
      <c r="Y58" s="16">
        <v>50681.567589999999</v>
      </c>
      <c r="Z58" s="16">
        <v>51156.87023</v>
      </c>
      <c r="AA58" s="16">
        <v>51648.783199999998</v>
      </c>
      <c r="AB58" s="16">
        <v>52125.75015</v>
      </c>
      <c r="AC58" s="16">
        <v>52589.389089999997</v>
      </c>
      <c r="AD58" s="16">
        <v>53033.991580000002</v>
      </c>
      <c r="AE58" s="16">
        <v>53496.365660000003</v>
      </c>
      <c r="AX58" s="3"/>
    </row>
    <row r="59" spans="1:50" s="2" customFormat="1" ht="12.75" x14ac:dyDescent="0.2">
      <c r="A59" s="1"/>
      <c r="B59" s="12" t="s">
        <v>21</v>
      </c>
      <c r="C59" s="16">
        <v>465.71554400000002</v>
      </c>
      <c r="D59" s="16">
        <v>467.80971840000001</v>
      </c>
      <c r="E59" s="16">
        <v>489.2819672</v>
      </c>
      <c r="F59" s="16">
        <v>512.56312660000003</v>
      </c>
      <c r="G59" s="16">
        <v>525.88902489999998</v>
      </c>
      <c r="H59" s="16">
        <v>536.55013570000006</v>
      </c>
      <c r="I59" s="16">
        <v>547.41898760000004</v>
      </c>
      <c r="J59" s="16">
        <v>557.72936819999995</v>
      </c>
      <c r="K59" s="16">
        <v>568.57128150000005</v>
      </c>
      <c r="L59" s="16">
        <v>574.09684460000005</v>
      </c>
      <c r="M59" s="16">
        <v>578.93921969999997</v>
      </c>
      <c r="N59" s="16">
        <v>584.20254299999999</v>
      </c>
      <c r="O59" s="16">
        <v>589.42850599999997</v>
      </c>
      <c r="P59" s="16">
        <v>593.9750937</v>
      </c>
      <c r="Q59" s="16">
        <v>600.39504810000005</v>
      </c>
      <c r="R59" s="16">
        <v>606.03618280000001</v>
      </c>
      <c r="S59" s="16">
        <v>612.75442120000002</v>
      </c>
      <c r="T59" s="16">
        <v>619.05332940000005</v>
      </c>
      <c r="U59" s="16">
        <v>624.91278769999997</v>
      </c>
      <c r="V59" s="16">
        <v>631.26895750000006</v>
      </c>
      <c r="W59" s="16">
        <v>637.76794040000004</v>
      </c>
      <c r="X59" s="16">
        <v>644.14275620000001</v>
      </c>
      <c r="Y59" s="16">
        <v>650.43751559999998</v>
      </c>
      <c r="Z59" s="16">
        <v>656.53745849999996</v>
      </c>
      <c r="AA59" s="16">
        <v>662.85057519999998</v>
      </c>
      <c r="AB59" s="16">
        <v>668.97187740000004</v>
      </c>
      <c r="AC59" s="16">
        <v>674.92213070000003</v>
      </c>
      <c r="AD59" s="16">
        <v>680.62807369999996</v>
      </c>
      <c r="AE59" s="16">
        <v>686.562094</v>
      </c>
      <c r="AX59" s="3"/>
    </row>
    <row r="60" spans="1:50" s="2" customFormat="1" ht="12.75" x14ac:dyDescent="0.2">
      <c r="A60" s="1"/>
      <c r="B60" s="12" t="s">
        <v>22</v>
      </c>
      <c r="C60" s="16">
        <v>1859.868424</v>
      </c>
      <c r="D60" s="16">
        <v>1868.2316599999999</v>
      </c>
      <c r="E60" s="16">
        <v>1953.9826250000001</v>
      </c>
      <c r="F60" s="16">
        <v>2046.9576050000001</v>
      </c>
      <c r="G60" s="16">
        <v>2100.1755349999999</v>
      </c>
      <c r="H60" s="16">
        <v>2142.7514460000002</v>
      </c>
      <c r="I60" s="16">
        <v>2186.1569850000001</v>
      </c>
      <c r="J60" s="16">
        <v>2227.33223</v>
      </c>
      <c r="K60" s="16">
        <v>2270.6301880000001</v>
      </c>
      <c r="L60" s="16">
        <v>2292.6969199999999</v>
      </c>
      <c r="M60" s="16">
        <v>2312.0352929999999</v>
      </c>
      <c r="N60" s="16">
        <v>2333.054752</v>
      </c>
      <c r="O60" s="16">
        <v>2353.9250099999999</v>
      </c>
      <c r="P60" s="16">
        <v>2372.0821340000002</v>
      </c>
      <c r="Q60" s="16">
        <v>2397.7206820000001</v>
      </c>
      <c r="R60" s="16">
        <v>2420.2489580000001</v>
      </c>
      <c r="S60" s="16">
        <v>2447.0787249999998</v>
      </c>
      <c r="T60" s="16">
        <v>2472.2338669999999</v>
      </c>
      <c r="U60" s="16">
        <v>2495.6340340000002</v>
      </c>
      <c r="V60" s="16">
        <v>2521.0178540000002</v>
      </c>
      <c r="W60" s="16">
        <v>2546.9720080000002</v>
      </c>
      <c r="X60" s="16">
        <v>2572.430292</v>
      </c>
      <c r="Y60" s="16">
        <v>2597.5688650000002</v>
      </c>
      <c r="Z60" s="16">
        <v>2621.9294239999999</v>
      </c>
      <c r="AA60" s="16">
        <v>2647.1413090000001</v>
      </c>
      <c r="AB60" s="16">
        <v>2671.587168</v>
      </c>
      <c r="AC60" s="16">
        <v>2695.3499310000002</v>
      </c>
      <c r="AD60" s="16">
        <v>2718.1370240000001</v>
      </c>
      <c r="AE60" s="16">
        <v>2741.8349600000001</v>
      </c>
      <c r="AX60" s="3"/>
    </row>
    <row r="61" spans="1:50" s="2" customFormat="1" ht="12.75" x14ac:dyDescent="0.2">
      <c r="A61" s="1"/>
      <c r="B61" s="12" t="s">
        <v>23</v>
      </c>
      <c r="C61" s="16">
        <v>1855.752015</v>
      </c>
      <c r="D61" s="16">
        <v>1864.0967410000001</v>
      </c>
      <c r="E61" s="16">
        <v>1949.657915</v>
      </c>
      <c r="F61" s="16">
        <v>2042.427115</v>
      </c>
      <c r="G61" s="16">
        <v>2095.5272599999998</v>
      </c>
      <c r="H61" s="16">
        <v>2138.0089379999999</v>
      </c>
      <c r="I61" s="16">
        <v>2181.318409</v>
      </c>
      <c r="J61" s="16">
        <v>2222.402521</v>
      </c>
      <c r="K61" s="16">
        <v>2265.604648</v>
      </c>
      <c r="L61" s="16">
        <v>2287.6225410000002</v>
      </c>
      <c r="M61" s="16">
        <v>2306.9181119999998</v>
      </c>
      <c r="N61" s="16">
        <v>2327.8910489999998</v>
      </c>
      <c r="O61" s="16">
        <v>2348.715115</v>
      </c>
      <c r="P61" s="16">
        <v>2366.8320530000001</v>
      </c>
      <c r="Q61" s="16">
        <v>2392.4138560000001</v>
      </c>
      <c r="R61" s="16">
        <v>2414.8922699999998</v>
      </c>
      <c r="S61" s="16">
        <v>2441.6626550000001</v>
      </c>
      <c r="T61" s="16">
        <v>2466.7621220000001</v>
      </c>
      <c r="U61" s="16">
        <v>2490.110498</v>
      </c>
      <c r="V61" s="16">
        <v>2515.4381360000002</v>
      </c>
      <c r="W61" s="16">
        <v>2541.3348470000001</v>
      </c>
      <c r="X61" s="16">
        <v>2566.7367840000002</v>
      </c>
      <c r="Y61" s="16">
        <v>2591.8197190000001</v>
      </c>
      <c r="Z61" s="16">
        <v>2616.1263610000001</v>
      </c>
      <c r="AA61" s="16">
        <v>2641.2824449999998</v>
      </c>
      <c r="AB61" s="16">
        <v>2665.674199</v>
      </c>
      <c r="AC61" s="16">
        <v>2689.384368</v>
      </c>
      <c r="AD61" s="16">
        <v>2712.1210270000001</v>
      </c>
      <c r="AE61" s="16">
        <v>2735.7665120000001</v>
      </c>
      <c r="AX61" s="3"/>
    </row>
    <row r="62" spans="1:50" s="2" customFormat="1" ht="12.75" x14ac:dyDescent="0.2">
      <c r="A62" s="1"/>
      <c r="B62" s="12" t="s">
        <v>24</v>
      </c>
      <c r="C62" s="16">
        <v>374.9205</v>
      </c>
      <c r="D62" s="16">
        <v>376.60639800000001</v>
      </c>
      <c r="E62" s="16">
        <v>393.89245670000003</v>
      </c>
      <c r="F62" s="16">
        <v>412.63476420000001</v>
      </c>
      <c r="G62" s="16">
        <v>423.36266999999998</v>
      </c>
      <c r="H62" s="16">
        <v>431.94531030000002</v>
      </c>
      <c r="I62" s="16">
        <v>440.69519079999998</v>
      </c>
      <c r="J62" s="16">
        <v>448.99547860000001</v>
      </c>
      <c r="K62" s="16">
        <v>457.72367250000002</v>
      </c>
      <c r="L62" s="16">
        <v>462.17198200000001</v>
      </c>
      <c r="M62" s="16">
        <v>466.07029660000001</v>
      </c>
      <c r="N62" s="16">
        <v>470.30749209999999</v>
      </c>
      <c r="O62" s="16">
        <v>474.51461089999998</v>
      </c>
      <c r="P62" s="16">
        <v>478.17480430000001</v>
      </c>
      <c r="Q62" s="16">
        <v>483.3431362</v>
      </c>
      <c r="R62" s="16">
        <v>487.88448570000003</v>
      </c>
      <c r="S62" s="16">
        <v>493.29294870000001</v>
      </c>
      <c r="T62" s="16">
        <v>498.36383339999998</v>
      </c>
      <c r="U62" s="16">
        <v>503.08094249999999</v>
      </c>
      <c r="V62" s="16">
        <v>508.19792519999999</v>
      </c>
      <c r="W62" s="16">
        <v>513.42987830000004</v>
      </c>
      <c r="X62" s="16">
        <v>518.56187179999995</v>
      </c>
      <c r="Y62" s="16">
        <v>523.62941650000005</v>
      </c>
      <c r="Z62" s="16">
        <v>528.54012580000006</v>
      </c>
      <c r="AA62" s="16">
        <v>533.62244889999999</v>
      </c>
      <c r="AB62" s="16">
        <v>538.55035329999998</v>
      </c>
      <c r="AC62" s="16">
        <v>543.34055609999996</v>
      </c>
      <c r="AD62" s="16">
        <v>547.93407909999996</v>
      </c>
      <c r="AE62" s="16">
        <v>552.71121370000003</v>
      </c>
      <c r="AX62" s="3"/>
    </row>
    <row r="63" spans="1:50" s="2" customFormat="1" ht="12.75" x14ac:dyDescent="0.2">
      <c r="A63" s="1"/>
      <c r="B63" s="12" t="s">
        <v>25</v>
      </c>
      <c r="C63" s="16">
        <v>84.357112490000006</v>
      </c>
      <c r="D63" s="16">
        <v>84.73643955</v>
      </c>
      <c r="E63" s="16">
        <v>88.625802759999999</v>
      </c>
      <c r="F63" s="16">
        <v>92.842821950000001</v>
      </c>
      <c r="G63" s="16">
        <v>95.256600750000004</v>
      </c>
      <c r="H63" s="16">
        <v>97.187694809999996</v>
      </c>
      <c r="I63" s="16">
        <v>99.156417930000003</v>
      </c>
      <c r="J63" s="16">
        <v>101.0239827</v>
      </c>
      <c r="K63" s="16">
        <v>102.98782629999999</v>
      </c>
      <c r="L63" s="16">
        <v>103.9886959</v>
      </c>
      <c r="M63" s="16">
        <v>104.8658167</v>
      </c>
      <c r="N63" s="16">
        <v>105.81918570000001</v>
      </c>
      <c r="O63" s="16">
        <v>106.7657875</v>
      </c>
      <c r="P63" s="16">
        <v>107.589331</v>
      </c>
      <c r="Q63" s="16">
        <v>108.7522057</v>
      </c>
      <c r="R63" s="16">
        <v>109.7740093</v>
      </c>
      <c r="S63" s="16">
        <v>110.9909135</v>
      </c>
      <c r="T63" s="16">
        <v>112.1318625</v>
      </c>
      <c r="U63" s="16">
        <v>113.1932121</v>
      </c>
      <c r="V63" s="16">
        <v>114.3445332</v>
      </c>
      <c r="W63" s="16">
        <v>115.5217226</v>
      </c>
      <c r="X63" s="16">
        <v>116.67642119999999</v>
      </c>
      <c r="Y63" s="16">
        <v>117.81661870000001</v>
      </c>
      <c r="Z63" s="16">
        <v>118.92152830000001</v>
      </c>
      <c r="AA63" s="16">
        <v>120.065051</v>
      </c>
      <c r="AB63" s="16">
        <v>121.1738295</v>
      </c>
      <c r="AC63" s="16">
        <v>122.2516251</v>
      </c>
      <c r="AD63" s="16">
        <v>123.2851678</v>
      </c>
      <c r="AE63" s="16">
        <v>124.36002310000001</v>
      </c>
      <c r="AX63" s="3"/>
    </row>
    <row r="64" spans="1:50" s="2" customFormat="1" ht="12.75" x14ac:dyDescent="0.2">
      <c r="A64" s="1"/>
      <c r="B64" s="12" t="s">
        <v>26</v>
      </c>
      <c r="C64" s="16">
        <v>4217.0807699999996</v>
      </c>
      <c r="D64" s="16">
        <v>4236.0436380000001</v>
      </c>
      <c r="E64" s="16">
        <v>4430.4760740000002</v>
      </c>
      <c r="F64" s="16">
        <v>4641.2882980000004</v>
      </c>
      <c r="G64" s="16">
        <v>4761.9550660000004</v>
      </c>
      <c r="H64" s="16">
        <v>4858.4920320000001</v>
      </c>
      <c r="I64" s="16">
        <v>4956.9101039999996</v>
      </c>
      <c r="J64" s="16">
        <v>5050.2711870000003</v>
      </c>
      <c r="K64" s="16">
        <v>5148.4453299999996</v>
      </c>
      <c r="L64" s="16">
        <v>5198.4796180000003</v>
      </c>
      <c r="M64" s="16">
        <v>5242.327601</v>
      </c>
      <c r="N64" s="16">
        <v>5289.9872930000001</v>
      </c>
      <c r="O64" s="16">
        <v>5337.308685</v>
      </c>
      <c r="P64" s="16">
        <v>5378.4782960000002</v>
      </c>
      <c r="Q64" s="16">
        <v>5436.6113489999998</v>
      </c>
      <c r="R64" s="16">
        <v>5487.6921439999996</v>
      </c>
      <c r="S64" s="16">
        <v>5548.5261760000003</v>
      </c>
      <c r="T64" s="16">
        <v>5605.5631480000002</v>
      </c>
      <c r="U64" s="16">
        <v>5658.6208770000003</v>
      </c>
      <c r="V64" s="16">
        <v>5716.1763559999999</v>
      </c>
      <c r="W64" s="16">
        <v>5775.0250169999999</v>
      </c>
      <c r="X64" s="16">
        <v>5832.7493370000002</v>
      </c>
      <c r="Y64" s="16">
        <v>5889.7487410000003</v>
      </c>
      <c r="Z64" s="16">
        <v>5944.9840720000002</v>
      </c>
      <c r="AA64" s="16">
        <v>6002.149703</v>
      </c>
      <c r="AB64" s="16">
        <v>6057.5784430000003</v>
      </c>
      <c r="AC64" s="16">
        <v>6111.4583249999996</v>
      </c>
      <c r="AD64" s="16">
        <v>6163.1259639999998</v>
      </c>
      <c r="AE64" s="16">
        <v>6216.8588559999998</v>
      </c>
      <c r="AX64" s="3"/>
    </row>
    <row r="65" spans="1:50" s="2" customFormat="1" ht="12.75" x14ac:dyDescent="0.2">
      <c r="A65" s="1"/>
      <c r="B65" s="12" t="s">
        <v>27</v>
      </c>
      <c r="C65" s="16">
        <v>273.17986910000002</v>
      </c>
      <c r="D65" s="16">
        <v>274.40827189999999</v>
      </c>
      <c r="E65" s="16">
        <v>287.00348409999998</v>
      </c>
      <c r="F65" s="16">
        <v>300.65976890000002</v>
      </c>
      <c r="G65" s="16">
        <v>308.47648709999999</v>
      </c>
      <c r="H65" s="16">
        <v>314.7300917</v>
      </c>
      <c r="I65" s="16">
        <v>321.10555319999997</v>
      </c>
      <c r="J65" s="16">
        <v>327.15342609999999</v>
      </c>
      <c r="K65" s="16">
        <v>333.51308599999999</v>
      </c>
      <c r="L65" s="16">
        <v>336.754276</v>
      </c>
      <c r="M65" s="16">
        <v>339.59472110000002</v>
      </c>
      <c r="N65" s="16">
        <v>342.68208629999998</v>
      </c>
      <c r="O65" s="16">
        <v>345.74753659999999</v>
      </c>
      <c r="P65" s="16">
        <v>348.41447849999997</v>
      </c>
      <c r="Q65" s="16">
        <v>352.18030140000002</v>
      </c>
      <c r="R65" s="16">
        <v>355.48928360000002</v>
      </c>
      <c r="S65" s="16">
        <v>359.4300743</v>
      </c>
      <c r="T65" s="16">
        <v>363.12489390000002</v>
      </c>
      <c r="U65" s="16">
        <v>366.56194060000001</v>
      </c>
      <c r="V65" s="16">
        <v>370.29034869999998</v>
      </c>
      <c r="W65" s="16">
        <v>374.10252830000002</v>
      </c>
      <c r="X65" s="16">
        <v>377.8418739</v>
      </c>
      <c r="Y65" s="16">
        <v>381.53425979999997</v>
      </c>
      <c r="Z65" s="16">
        <v>385.11237019999999</v>
      </c>
      <c r="AA65" s="16">
        <v>388.81552420000003</v>
      </c>
      <c r="AB65" s="16">
        <v>392.40616349999999</v>
      </c>
      <c r="AC65" s="16">
        <v>395.89646879999998</v>
      </c>
      <c r="AD65" s="16">
        <v>399.24346630000002</v>
      </c>
      <c r="AE65" s="16">
        <v>402.72424960000001</v>
      </c>
      <c r="AX65" s="3"/>
    </row>
    <row r="66" spans="1:50" s="2" customFormat="1" ht="12.75" x14ac:dyDescent="0.2">
      <c r="A66" s="1"/>
      <c r="B66" s="12" t="s">
        <v>28</v>
      </c>
      <c r="C66" s="16">
        <v>22149.866239999999</v>
      </c>
      <c r="D66" s="16">
        <v>22217.70938</v>
      </c>
      <c r="E66" s="16">
        <v>22524.391090000001</v>
      </c>
      <c r="F66" s="16">
        <v>23170.845669999999</v>
      </c>
      <c r="G66" s="16">
        <v>24003.721809999999</v>
      </c>
      <c r="H66" s="16">
        <v>24683.661619999999</v>
      </c>
      <c r="I66" s="16">
        <v>25392.07547</v>
      </c>
      <c r="J66" s="16">
        <v>26139.683519999999</v>
      </c>
      <c r="K66" s="16">
        <v>26943.045030000001</v>
      </c>
      <c r="L66" s="16">
        <v>27640.0949</v>
      </c>
      <c r="M66" s="16">
        <v>28297.552680000001</v>
      </c>
      <c r="N66" s="16">
        <v>28998.362400000002</v>
      </c>
      <c r="O66" s="16">
        <v>29708.192019999999</v>
      </c>
      <c r="P66" s="16">
        <v>30373.323469999999</v>
      </c>
      <c r="Q66" s="16">
        <v>31025.536380000001</v>
      </c>
      <c r="R66" s="16">
        <v>31774.132229999999</v>
      </c>
      <c r="S66" s="16">
        <v>32359.406859999999</v>
      </c>
      <c r="T66" s="16">
        <v>32983.995280000003</v>
      </c>
      <c r="U66" s="16">
        <v>33603.867539999999</v>
      </c>
      <c r="V66" s="16">
        <v>33930.12588</v>
      </c>
      <c r="W66" s="16">
        <v>34243.178269999997</v>
      </c>
      <c r="X66" s="16">
        <v>34549.223669999999</v>
      </c>
      <c r="Y66" s="16">
        <v>34852.534849999996</v>
      </c>
      <c r="Z66" s="16">
        <v>35147.620470000002</v>
      </c>
      <c r="AA66" s="16">
        <v>35288.9015</v>
      </c>
      <c r="AB66" s="16">
        <v>35422.093889999996</v>
      </c>
      <c r="AC66" s="16">
        <v>35547.796000000002</v>
      </c>
      <c r="AD66" s="16">
        <v>35656.092239999998</v>
      </c>
      <c r="AE66" s="16">
        <v>35773.924870000003</v>
      </c>
      <c r="AX66" s="3"/>
    </row>
    <row r="67" spans="1:50" s="2" customFormat="1" ht="12.75" x14ac:dyDescent="0.2">
      <c r="A67" s="1"/>
      <c r="B67" s="12" t="s">
        <v>29</v>
      </c>
      <c r="C67" s="16">
        <v>974.77120090000005</v>
      </c>
      <c r="D67" s="16">
        <v>976.93927140000005</v>
      </c>
      <c r="E67" s="16">
        <v>990.43450340000004</v>
      </c>
      <c r="F67" s="16">
        <v>1019.269962</v>
      </c>
      <c r="G67" s="16">
        <v>1056.2704309999999</v>
      </c>
      <c r="H67" s="16">
        <v>1086.3456120000001</v>
      </c>
      <c r="I67" s="16">
        <v>1117.5079129999999</v>
      </c>
      <c r="J67" s="16">
        <v>1150.3467539999999</v>
      </c>
      <c r="K67" s="16">
        <v>1185.6015930000001</v>
      </c>
      <c r="L67" s="16">
        <v>1216.6157470000001</v>
      </c>
      <c r="M67" s="16">
        <v>1246.0519830000001</v>
      </c>
      <c r="N67" s="16">
        <v>1277.3645180000001</v>
      </c>
      <c r="O67" s="16">
        <v>1309.049229</v>
      </c>
      <c r="P67" s="16">
        <v>1338.8936679999999</v>
      </c>
      <c r="Q67" s="16">
        <v>1367.7524209999999</v>
      </c>
      <c r="R67" s="16">
        <v>1401.1311720000001</v>
      </c>
      <c r="S67" s="16">
        <v>1426.9691250000001</v>
      </c>
      <c r="T67" s="16">
        <v>1454.6825630000001</v>
      </c>
      <c r="U67" s="16">
        <v>1482.1722500000001</v>
      </c>
      <c r="V67" s="16">
        <v>1495.712358</v>
      </c>
      <c r="W67" s="16">
        <v>1508.4709069999999</v>
      </c>
      <c r="X67" s="16">
        <v>1520.771414</v>
      </c>
      <c r="Y67" s="16">
        <v>1532.9334309999999</v>
      </c>
      <c r="Z67" s="16">
        <v>1544.6775520000001</v>
      </c>
      <c r="AA67" s="16">
        <v>1549.8054400000001</v>
      </c>
      <c r="AB67" s="16">
        <v>1554.5711859999999</v>
      </c>
      <c r="AC67" s="16">
        <v>1558.9741570000001</v>
      </c>
      <c r="AD67" s="16">
        <v>1562.5308769999999</v>
      </c>
      <c r="AE67" s="16">
        <v>1566.514846</v>
      </c>
      <c r="AX67" s="3"/>
    </row>
    <row r="68" spans="1:50" s="2" customFormat="1" ht="12.75" x14ac:dyDescent="0.2">
      <c r="A68" s="1"/>
      <c r="B68" s="12" t="s">
        <v>30</v>
      </c>
      <c r="C68" s="16">
        <v>121.8488184</v>
      </c>
      <c r="D68" s="16">
        <v>122.1198756</v>
      </c>
      <c r="E68" s="16">
        <v>123.8068019</v>
      </c>
      <c r="F68" s="16">
        <v>127.4112567</v>
      </c>
      <c r="G68" s="16">
        <v>132.03632039999999</v>
      </c>
      <c r="H68" s="16">
        <v>135.7957337</v>
      </c>
      <c r="I68" s="16">
        <v>139.6910412</v>
      </c>
      <c r="J68" s="16">
        <v>143.7959166</v>
      </c>
      <c r="K68" s="16">
        <v>148.20279600000001</v>
      </c>
      <c r="L68" s="16">
        <v>152.07957999999999</v>
      </c>
      <c r="M68" s="16">
        <v>155.75912260000001</v>
      </c>
      <c r="N68" s="16">
        <v>159.67321010000001</v>
      </c>
      <c r="O68" s="16">
        <v>163.63381820000001</v>
      </c>
      <c r="P68" s="16">
        <v>167.36438720000001</v>
      </c>
      <c r="Q68" s="16">
        <v>170.97176049999999</v>
      </c>
      <c r="R68" s="16">
        <v>175.14413139999999</v>
      </c>
      <c r="S68" s="16">
        <v>178.3739042</v>
      </c>
      <c r="T68" s="16">
        <v>181.83811230000001</v>
      </c>
      <c r="U68" s="16">
        <v>185.27434769999999</v>
      </c>
      <c r="V68" s="16">
        <v>186.9668916</v>
      </c>
      <c r="W68" s="16">
        <v>188.5617479</v>
      </c>
      <c r="X68" s="16">
        <v>190.09934870000001</v>
      </c>
      <c r="Y68" s="16">
        <v>191.61963900000001</v>
      </c>
      <c r="Z68" s="16">
        <v>193.08769219999999</v>
      </c>
      <c r="AA68" s="16">
        <v>193.7287145</v>
      </c>
      <c r="AB68" s="16">
        <v>194.3244684</v>
      </c>
      <c r="AC68" s="16">
        <v>194.87487580000001</v>
      </c>
      <c r="AD68" s="16">
        <v>195.31950230000001</v>
      </c>
      <c r="AE68" s="16">
        <v>195.81753670000001</v>
      </c>
      <c r="AX68" s="3"/>
    </row>
    <row r="69" spans="1:50" s="2" customFormat="1" ht="12.75" x14ac:dyDescent="0.2">
      <c r="A69" s="1"/>
      <c r="B69" s="12" t="s">
        <v>31</v>
      </c>
      <c r="C69" s="16">
        <v>360.66534430000002</v>
      </c>
      <c r="D69" s="16">
        <v>361.46753039999999</v>
      </c>
      <c r="E69" s="16">
        <v>366.46076629999999</v>
      </c>
      <c r="F69" s="16">
        <v>377.12988589999998</v>
      </c>
      <c r="G69" s="16">
        <v>390.82005950000001</v>
      </c>
      <c r="H69" s="16">
        <v>401.94787639999998</v>
      </c>
      <c r="I69" s="16">
        <v>413.4779279</v>
      </c>
      <c r="J69" s="16">
        <v>425.62829909999999</v>
      </c>
      <c r="K69" s="16">
        <v>438.67258930000003</v>
      </c>
      <c r="L69" s="16">
        <v>450.14782639999999</v>
      </c>
      <c r="M69" s="16">
        <v>461.03923370000001</v>
      </c>
      <c r="N69" s="16">
        <v>472.62487179999999</v>
      </c>
      <c r="O69" s="16">
        <v>484.34821460000001</v>
      </c>
      <c r="P69" s="16">
        <v>495.39065729999999</v>
      </c>
      <c r="Q69" s="16">
        <v>506.06839559999997</v>
      </c>
      <c r="R69" s="16">
        <v>518.41853370000001</v>
      </c>
      <c r="S69" s="16">
        <v>527.97857629999999</v>
      </c>
      <c r="T69" s="16">
        <v>538.23254840000004</v>
      </c>
      <c r="U69" s="16">
        <v>548.40373260000001</v>
      </c>
      <c r="V69" s="16">
        <v>553.41357259999995</v>
      </c>
      <c r="W69" s="16">
        <v>558.13423569999998</v>
      </c>
      <c r="X69" s="16">
        <v>562.68542330000002</v>
      </c>
      <c r="Y69" s="16">
        <v>567.18536940000001</v>
      </c>
      <c r="Z69" s="16">
        <v>571.53069410000001</v>
      </c>
      <c r="AA69" s="16">
        <v>573.42801299999996</v>
      </c>
      <c r="AB69" s="16">
        <v>575.19133890000001</v>
      </c>
      <c r="AC69" s="16">
        <v>576.82043820000001</v>
      </c>
      <c r="AD69" s="16">
        <v>578.13642449999998</v>
      </c>
      <c r="AE69" s="16">
        <v>579.61049309999999</v>
      </c>
      <c r="AX69" s="3"/>
    </row>
    <row r="70" spans="1:50" s="2" customFormat="1" ht="12.75" x14ac:dyDescent="0.2">
      <c r="A70" s="1"/>
      <c r="B70" s="12" t="s">
        <v>32</v>
      </c>
      <c r="C70" s="16">
        <v>121.8464001</v>
      </c>
      <c r="D70" s="16">
        <v>122.1174089</v>
      </c>
      <c r="E70" s="16">
        <v>123.8043129</v>
      </c>
      <c r="F70" s="16">
        <v>127.4087452</v>
      </c>
      <c r="G70" s="16">
        <v>132.03380390000001</v>
      </c>
      <c r="H70" s="16">
        <v>135.79320150000001</v>
      </c>
      <c r="I70" s="16">
        <v>139.68848919999999</v>
      </c>
      <c r="J70" s="16">
        <v>143.7933443</v>
      </c>
      <c r="K70" s="16">
        <v>148.20019909999999</v>
      </c>
      <c r="L70" s="16">
        <v>152.0769684</v>
      </c>
      <c r="M70" s="16">
        <v>155.7564979</v>
      </c>
      <c r="N70" s="16">
        <v>159.67056479999999</v>
      </c>
      <c r="O70" s="16">
        <v>163.6311536</v>
      </c>
      <c r="P70" s="16">
        <v>167.36170849999999</v>
      </c>
      <c r="Q70" s="16">
        <v>170.9690526</v>
      </c>
      <c r="R70" s="16">
        <v>175.14139650000001</v>
      </c>
      <c r="S70" s="16">
        <v>178.37114059999999</v>
      </c>
      <c r="T70" s="16">
        <v>181.8353204</v>
      </c>
      <c r="U70" s="16">
        <v>185.27153129999999</v>
      </c>
      <c r="V70" s="16">
        <v>186.96404480000001</v>
      </c>
      <c r="W70" s="16">
        <v>188.55886340000001</v>
      </c>
      <c r="X70" s="16">
        <v>190.09642679999999</v>
      </c>
      <c r="Y70" s="16">
        <v>191.61667890000001</v>
      </c>
      <c r="Z70" s="16">
        <v>193.08469400000001</v>
      </c>
      <c r="AA70" s="16">
        <v>193.72568010000001</v>
      </c>
      <c r="AB70" s="16">
        <v>194.3213983</v>
      </c>
      <c r="AC70" s="16">
        <v>194.87176969999999</v>
      </c>
      <c r="AD70" s="16">
        <v>195.3163596</v>
      </c>
      <c r="AE70" s="16">
        <v>195.81435579999999</v>
      </c>
      <c r="AX70" s="3"/>
    </row>
    <row r="71" spans="1:50" s="2" customFormat="1" ht="12.75" x14ac:dyDescent="0.2">
      <c r="A71" s="1"/>
      <c r="B71" s="12" t="s">
        <v>33</v>
      </c>
      <c r="C71" s="16">
        <v>243.69280019999999</v>
      </c>
      <c r="D71" s="16">
        <v>244.2348178</v>
      </c>
      <c r="E71" s="16">
        <v>247.6086258</v>
      </c>
      <c r="F71" s="16">
        <v>254.81749049999999</v>
      </c>
      <c r="G71" s="16">
        <v>264.06760780000002</v>
      </c>
      <c r="H71" s="16">
        <v>271.5864029</v>
      </c>
      <c r="I71" s="16">
        <v>279.37697830000002</v>
      </c>
      <c r="J71" s="16">
        <v>287.5866886</v>
      </c>
      <c r="K71" s="16">
        <v>296.40039819999998</v>
      </c>
      <c r="L71" s="16">
        <v>304.1539368</v>
      </c>
      <c r="M71" s="16">
        <v>311.51299569999998</v>
      </c>
      <c r="N71" s="16">
        <v>319.34112959999999</v>
      </c>
      <c r="O71" s="16">
        <v>327.26230709999999</v>
      </c>
      <c r="P71" s="16">
        <v>334.72341710000001</v>
      </c>
      <c r="Q71" s="16">
        <v>341.9381052</v>
      </c>
      <c r="R71" s="16">
        <v>350.28279309999999</v>
      </c>
      <c r="S71" s="16">
        <v>356.7422813</v>
      </c>
      <c r="T71" s="16">
        <v>363.6706408</v>
      </c>
      <c r="U71" s="16">
        <v>370.54306259999998</v>
      </c>
      <c r="V71" s="16">
        <v>373.92808960000002</v>
      </c>
      <c r="W71" s="16">
        <v>377.11772680000001</v>
      </c>
      <c r="X71" s="16">
        <v>380.19285359999998</v>
      </c>
      <c r="Y71" s="16">
        <v>383.2333577</v>
      </c>
      <c r="Z71" s="16">
        <v>386.1693879</v>
      </c>
      <c r="AA71" s="16">
        <v>387.45136009999999</v>
      </c>
      <c r="AB71" s="16">
        <v>388.64279649999997</v>
      </c>
      <c r="AC71" s="16">
        <v>389.74353930000001</v>
      </c>
      <c r="AD71" s="16">
        <v>390.6327192</v>
      </c>
      <c r="AE71" s="16">
        <v>391.62871159999997</v>
      </c>
      <c r="AX71" s="3"/>
    </row>
    <row r="72" spans="1:50" s="2" customFormat="1" ht="12.75" x14ac:dyDescent="0.2">
      <c r="A72" s="1"/>
      <c r="AX72" s="3"/>
    </row>
    <row r="73" spans="1:50" s="2" customFormat="1" ht="12.75" x14ac:dyDescent="0.2">
      <c r="A73" s="1"/>
      <c r="C73" s="19">
        <v>2022</v>
      </c>
      <c r="D73" s="19">
        <v>2023</v>
      </c>
      <c r="E73" s="19">
        <v>2024</v>
      </c>
      <c r="F73" s="19">
        <v>2025</v>
      </c>
      <c r="G73" s="19">
        <v>2026</v>
      </c>
      <c r="H73" s="19">
        <v>2027</v>
      </c>
      <c r="I73" s="19">
        <v>2028</v>
      </c>
      <c r="J73" s="19">
        <v>2029</v>
      </c>
      <c r="K73" s="19">
        <v>2030</v>
      </c>
      <c r="L73" s="19">
        <v>2031</v>
      </c>
      <c r="M73" s="19">
        <v>2032</v>
      </c>
      <c r="N73" s="19">
        <v>2033</v>
      </c>
      <c r="O73" s="19">
        <v>2034</v>
      </c>
      <c r="P73" s="19">
        <v>2035</v>
      </c>
      <c r="Q73" s="19">
        <v>2036</v>
      </c>
      <c r="R73" s="19">
        <v>2037</v>
      </c>
      <c r="S73" s="19">
        <v>2038</v>
      </c>
      <c r="T73" s="19">
        <v>2039</v>
      </c>
      <c r="U73" s="19">
        <v>2040</v>
      </c>
      <c r="V73" s="19">
        <v>2041</v>
      </c>
      <c r="W73" s="19">
        <v>2042</v>
      </c>
      <c r="X73" s="19">
        <v>2043</v>
      </c>
      <c r="Y73" s="19">
        <v>2044</v>
      </c>
      <c r="Z73" s="19">
        <v>2045</v>
      </c>
      <c r="AA73" s="19">
        <v>2046</v>
      </c>
      <c r="AB73" s="19">
        <v>2047</v>
      </c>
      <c r="AC73" s="19">
        <v>2048</v>
      </c>
      <c r="AD73" s="19">
        <v>2049</v>
      </c>
      <c r="AE73" s="19">
        <v>2050</v>
      </c>
      <c r="AX73" s="3"/>
    </row>
    <row r="74" spans="1:50" s="2" customFormat="1" x14ac:dyDescent="0.25">
      <c r="A74" s="1"/>
      <c r="B74" s="20" t="s">
        <v>34</v>
      </c>
      <c r="C74" s="21">
        <v>132956.11610000001</v>
      </c>
      <c r="D74" s="21">
        <v>135416.7383</v>
      </c>
      <c r="E74" s="21">
        <v>136763.1367</v>
      </c>
      <c r="F74" s="21">
        <v>138068.6807</v>
      </c>
      <c r="G74" s="21">
        <v>139082.50820000001</v>
      </c>
      <c r="H74" s="21">
        <v>140094.80170000001</v>
      </c>
      <c r="I74" s="21">
        <v>141143.2409</v>
      </c>
      <c r="J74" s="21">
        <v>142229.2029</v>
      </c>
      <c r="K74" s="21">
        <v>143368.44380000001</v>
      </c>
      <c r="L74" s="21">
        <v>144484.3064</v>
      </c>
      <c r="M74" s="21">
        <v>145522.6084</v>
      </c>
      <c r="N74" s="21">
        <v>146608.45670000001</v>
      </c>
      <c r="O74" s="21">
        <v>147729.9565</v>
      </c>
      <c r="P74" s="21">
        <v>148810.1207</v>
      </c>
      <c r="Q74" s="21">
        <v>150412.2959</v>
      </c>
      <c r="R74" s="21">
        <v>151972.95129999999</v>
      </c>
      <c r="S74" s="21">
        <v>153565.73490000001</v>
      </c>
      <c r="T74" s="21">
        <v>155188.9541</v>
      </c>
      <c r="U74" s="21">
        <v>156779.9105</v>
      </c>
      <c r="V74" s="21">
        <v>158910.25589999999</v>
      </c>
      <c r="W74" s="21">
        <v>161080.53200000001</v>
      </c>
      <c r="X74" s="21">
        <v>163313.8389</v>
      </c>
      <c r="Y74" s="21">
        <v>165592.6409</v>
      </c>
      <c r="Z74" s="21">
        <v>167885.0055</v>
      </c>
      <c r="AA74" s="21">
        <v>170025.8327</v>
      </c>
      <c r="AB74" s="21">
        <v>172182.35860000001</v>
      </c>
      <c r="AC74" s="21">
        <v>174356.28580000001</v>
      </c>
      <c r="AD74" s="21">
        <v>176552.44459999999</v>
      </c>
      <c r="AE74" s="21">
        <v>178781.0019</v>
      </c>
      <c r="AX74" s="3"/>
    </row>
    <row r="75" spans="1:50" s="2" customFormat="1" x14ac:dyDescent="0.25">
      <c r="A75" s="1"/>
      <c r="B75" s="20" t="s">
        <v>35</v>
      </c>
      <c r="C75" s="21">
        <v>121347.00019999999</v>
      </c>
      <c r="D75" s="21">
        <v>124894.9746</v>
      </c>
      <c r="E75" s="21">
        <v>124813.6988</v>
      </c>
      <c r="F75" s="21">
        <v>124951.742</v>
      </c>
      <c r="G75" s="21">
        <v>127058.7384</v>
      </c>
      <c r="H75" s="21">
        <v>128965.3578</v>
      </c>
      <c r="I75" s="21">
        <v>130534.9023</v>
      </c>
      <c r="J75" s="21">
        <v>132095.11379999999</v>
      </c>
      <c r="K75" s="21">
        <v>133982.288</v>
      </c>
      <c r="L75" s="21">
        <v>135103.04920000001</v>
      </c>
      <c r="M75" s="21">
        <v>132534.12880000001</v>
      </c>
      <c r="N75" s="21">
        <v>132436.41450000001</v>
      </c>
      <c r="O75" s="21">
        <v>132896.27660000001</v>
      </c>
      <c r="P75" s="21">
        <v>129801.3121</v>
      </c>
      <c r="Q75" s="21">
        <v>132654.1778</v>
      </c>
      <c r="R75" s="21">
        <v>134569.33259999999</v>
      </c>
      <c r="S75" s="21">
        <v>136152.90340000001</v>
      </c>
      <c r="T75" s="21">
        <v>137330.4173</v>
      </c>
      <c r="U75" s="21">
        <v>137873.67540000001</v>
      </c>
      <c r="V75" s="21">
        <v>138506.6685</v>
      </c>
      <c r="W75" s="21">
        <v>139885.65400000001</v>
      </c>
      <c r="X75" s="21">
        <v>141340.1311</v>
      </c>
      <c r="Y75" s="21">
        <v>142750.88879999999</v>
      </c>
      <c r="Z75" s="21">
        <v>144137.7512</v>
      </c>
      <c r="AA75" s="21">
        <v>144885.63649999999</v>
      </c>
      <c r="AB75" s="21">
        <v>145894.6397</v>
      </c>
      <c r="AC75" s="21">
        <v>147003.47229999999</v>
      </c>
      <c r="AD75" s="21">
        <v>148382.18160000001</v>
      </c>
      <c r="AE75" s="21">
        <v>149859.53880000001</v>
      </c>
      <c r="AX75" s="3"/>
    </row>
    <row r="76" spans="1:50" s="2" customFormat="1" x14ac:dyDescent="0.25">
      <c r="A76" s="1"/>
      <c r="B76" s="20" t="s">
        <v>36</v>
      </c>
      <c r="C76" s="21">
        <v>6538.1171860000004</v>
      </c>
      <c r="D76" s="21">
        <v>6667.1924479999998</v>
      </c>
      <c r="E76" s="21">
        <v>7205.7475029999996</v>
      </c>
      <c r="F76" s="21">
        <v>7832.9754419999999</v>
      </c>
      <c r="G76" s="21">
        <v>8543.2615260000002</v>
      </c>
      <c r="H76" s="21">
        <v>9382.7922600000002</v>
      </c>
      <c r="I76" s="21">
        <v>10367.625889999999</v>
      </c>
      <c r="J76" s="21">
        <v>11520.08684</v>
      </c>
      <c r="K76" s="21">
        <v>12876.18038</v>
      </c>
      <c r="L76" s="21">
        <v>12971.31581</v>
      </c>
      <c r="M76" s="21">
        <v>13000.45033</v>
      </c>
      <c r="N76" s="21">
        <v>13075.825999999999</v>
      </c>
      <c r="O76" s="21">
        <v>13161.551799999999</v>
      </c>
      <c r="P76" s="21">
        <v>13184.222610000001</v>
      </c>
      <c r="Q76" s="21">
        <v>13345.735199999999</v>
      </c>
      <c r="R76" s="21">
        <v>13488.16784</v>
      </c>
      <c r="S76" s="21">
        <v>13628.71823</v>
      </c>
      <c r="T76" s="21">
        <v>13763.391449999999</v>
      </c>
      <c r="U76" s="21">
        <v>13883.933059999999</v>
      </c>
      <c r="V76" s="21">
        <v>14037.88428</v>
      </c>
      <c r="W76" s="21">
        <v>14212.130649999999</v>
      </c>
      <c r="X76" s="21">
        <v>14390.948829999999</v>
      </c>
      <c r="Y76" s="21">
        <v>14573.356760000001</v>
      </c>
      <c r="Z76" s="21">
        <v>14755.340850000001</v>
      </c>
      <c r="AA76" s="21">
        <v>14918.220139999999</v>
      </c>
      <c r="AB76" s="21">
        <v>15085.51071</v>
      </c>
      <c r="AC76" s="21">
        <v>15255.140369999999</v>
      </c>
      <c r="AD76" s="21">
        <v>15430.82098</v>
      </c>
      <c r="AE76" s="21">
        <v>15617.06702</v>
      </c>
      <c r="AX76" s="3"/>
    </row>
    <row r="77" spans="1:50" s="2" customFormat="1" x14ac:dyDescent="0.25">
      <c r="A77" s="1"/>
      <c r="B77" s="20" t="s">
        <v>37</v>
      </c>
      <c r="C77" s="21">
        <v>19533.66286</v>
      </c>
      <c r="D77" s="21">
        <v>20032.043559999998</v>
      </c>
      <c r="E77" s="21">
        <v>20030.154340000001</v>
      </c>
      <c r="F77" s="21">
        <v>20027.355360000001</v>
      </c>
      <c r="G77" s="21">
        <v>19746.23847</v>
      </c>
      <c r="H77" s="21">
        <v>19517.583920000001</v>
      </c>
      <c r="I77" s="21">
        <v>19452.04653</v>
      </c>
      <c r="J77" s="21">
        <v>19452.859469999999</v>
      </c>
      <c r="K77" s="21">
        <v>19530.344410000002</v>
      </c>
      <c r="L77" s="21">
        <v>19583.44729</v>
      </c>
      <c r="M77" s="21">
        <v>19619.112959999999</v>
      </c>
      <c r="N77" s="21">
        <v>19697.584299999999</v>
      </c>
      <c r="O77" s="21">
        <v>19770.096659999999</v>
      </c>
      <c r="P77" s="21">
        <v>19831.17713</v>
      </c>
      <c r="Q77" s="21">
        <v>19947.682840000001</v>
      </c>
      <c r="R77" s="21">
        <v>20048.76856</v>
      </c>
      <c r="S77" s="21">
        <v>20183.536889999999</v>
      </c>
      <c r="T77" s="21">
        <v>20310.31366</v>
      </c>
      <c r="U77" s="21">
        <v>20400.68475</v>
      </c>
      <c r="V77" s="21">
        <v>20479.091400000001</v>
      </c>
      <c r="W77" s="21">
        <v>20597.128929999999</v>
      </c>
      <c r="X77" s="21">
        <v>20712.722730000001</v>
      </c>
      <c r="Y77" s="21">
        <v>20852.628530000002</v>
      </c>
      <c r="Z77" s="21">
        <v>20972.547409999999</v>
      </c>
      <c r="AA77" s="21">
        <v>21083.793900000001</v>
      </c>
      <c r="AB77" s="21">
        <v>21200.215899999999</v>
      </c>
      <c r="AC77" s="21">
        <v>21308.634180000001</v>
      </c>
      <c r="AD77" s="21">
        <v>21416.777770000001</v>
      </c>
      <c r="AE77" s="21">
        <v>21640.731189999999</v>
      </c>
      <c r="AX77" s="3"/>
    </row>
    <row r="78" spans="1:50" s="2" customFormat="1" x14ac:dyDescent="0.25">
      <c r="A78" s="1"/>
      <c r="B78" s="20" t="s">
        <v>38</v>
      </c>
      <c r="C78" s="21">
        <v>17636.348290000002</v>
      </c>
      <c r="D78" s="21">
        <v>17968.618259999999</v>
      </c>
      <c r="E78" s="21">
        <v>19185.945830000001</v>
      </c>
      <c r="F78" s="21">
        <v>20529.956289999998</v>
      </c>
      <c r="G78" s="21">
        <v>21928.008409999999</v>
      </c>
      <c r="H78" s="21">
        <v>23582.971710000002</v>
      </c>
      <c r="I78" s="21">
        <v>25515.223559999999</v>
      </c>
      <c r="J78" s="21">
        <v>27786.689060000001</v>
      </c>
      <c r="K78" s="21">
        <v>30507.307110000002</v>
      </c>
      <c r="L78" s="21">
        <v>30590.345870000001</v>
      </c>
      <c r="M78" s="21">
        <v>30629.742389999999</v>
      </c>
      <c r="N78" s="21">
        <v>30721.54091</v>
      </c>
      <c r="O78" s="21">
        <v>30822.294300000001</v>
      </c>
      <c r="P78" s="21">
        <v>30870.005880000001</v>
      </c>
      <c r="Q78" s="21">
        <v>31092.347000000002</v>
      </c>
      <c r="R78" s="21">
        <v>31295.616109999999</v>
      </c>
      <c r="S78" s="21">
        <v>31506.032019999999</v>
      </c>
      <c r="T78" s="21">
        <v>31711.27851</v>
      </c>
      <c r="U78" s="21">
        <v>31893.821220000002</v>
      </c>
      <c r="V78" s="21">
        <v>32148.240440000001</v>
      </c>
      <c r="W78" s="21">
        <v>32444.833030000002</v>
      </c>
      <c r="X78" s="21">
        <v>32747.027590000002</v>
      </c>
      <c r="Y78" s="21">
        <v>33057.037729999996</v>
      </c>
      <c r="Z78" s="21">
        <v>33364.444640000002</v>
      </c>
      <c r="AA78" s="21">
        <v>33645.929989999997</v>
      </c>
      <c r="AB78" s="21">
        <v>33925.311730000001</v>
      </c>
      <c r="AC78" s="21">
        <v>34206.805339999999</v>
      </c>
      <c r="AD78" s="21">
        <v>34495.297129999999</v>
      </c>
      <c r="AE78" s="21">
        <v>34807.276539999999</v>
      </c>
      <c r="AX78" s="3"/>
    </row>
    <row r="79" spans="1:50" s="2" customFormat="1" x14ac:dyDescent="0.25">
      <c r="A79" s="1"/>
      <c r="B79" s="20" t="s">
        <v>39</v>
      </c>
      <c r="C79" s="21">
        <v>6813.2772370000002</v>
      </c>
      <c r="D79" s="21">
        <v>6934.2880869999999</v>
      </c>
      <c r="E79" s="21">
        <v>7020.6638380000004</v>
      </c>
      <c r="F79" s="21">
        <v>7124.4691570000005</v>
      </c>
      <c r="G79" s="21">
        <v>7206.13148</v>
      </c>
      <c r="H79" s="21">
        <v>7331.5597809999999</v>
      </c>
      <c r="I79" s="21">
        <v>7490.1362399999998</v>
      </c>
      <c r="J79" s="21">
        <v>7685.0232930000002</v>
      </c>
      <c r="K79" s="21">
        <v>7924.2730670000001</v>
      </c>
      <c r="L79" s="21">
        <v>8010.2772809999997</v>
      </c>
      <c r="M79" s="21">
        <v>8069.9761070000004</v>
      </c>
      <c r="N79" s="21">
        <v>8147.9191080000001</v>
      </c>
      <c r="O79" s="21">
        <v>8231.6236090000002</v>
      </c>
      <c r="P79" s="21">
        <v>8290.0073310000007</v>
      </c>
      <c r="Q79" s="21">
        <v>8419.2340540000005</v>
      </c>
      <c r="R79" s="21">
        <v>8539.3291219999901</v>
      </c>
      <c r="S79" s="21">
        <v>8659.9117150000002</v>
      </c>
      <c r="T79" s="21">
        <v>8778.9656809999997</v>
      </c>
      <c r="U79" s="21">
        <v>8894.3115679999901</v>
      </c>
      <c r="V79" s="21">
        <v>9027.8378470000007</v>
      </c>
      <c r="W79" s="21">
        <v>9173.8331109999999</v>
      </c>
      <c r="X79" s="21">
        <v>9325.9295020000009</v>
      </c>
      <c r="Y79" s="21">
        <v>9481.9397229999995</v>
      </c>
      <c r="Z79" s="21">
        <v>9638.8607460000003</v>
      </c>
      <c r="AA79" s="21">
        <v>9789.5785680000008</v>
      </c>
      <c r="AB79" s="21">
        <v>9942.1439160000009</v>
      </c>
      <c r="AC79" s="21">
        <v>10097.14302</v>
      </c>
      <c r="AD79" s="21">
        <v>10256.68398</v>
      </c>
      <c r="AE79" s="21">
        <v>10426.34842</v>
      </c>
      <c r="AX79" s="3"/>
    </row>
    <row r="80" spans="1:50" s="2" customFormat="1" x14ac:dyDescent="0.25">
      <c r="A80" s="1"/>
      <c r="B80" s="20" t="s">
        <v>40</v>
      </c>
      <c r="C80" s="21">
        <v>28993.50461</v>
      </c>
      <c r="D80" s="21">
        <v>29478.583600000002</v>
      </c>
      <c r="E80" s="21">
        <v>29786.45765</v>
      </c>
      <c r="F80" s="21">
        <v>30113.650529999999</v>
      </c>
      <c r="G80" s="21">
        <v>30391.452740000001</v>
      </c>
      <c r="H80" s="21">
        <v>30803.39588</v>
      </c>
      <c r="I80" s="21">
        <v>31302.365829999999</v>
      </c>
      <c r="J80" s="21">
        <v>31879.993709999999</v>
      </c>
      <c r="K80" s="21">
        <v>32546.348460000001</v>
      </c>
      <c r="L80" s="21">
        <v>32760.574820000002</v>
      </c>
      <c r="M80" s="21">
        <v>32867.681140000001</v>
      </c>
      <c r="N80" s="21">
        <v>33034.400999999998</v>
      </c>
      <c r="O80" s="21">
        <v>33219.548179999998</v>
      </c>
      <c r="P80" s="21">
        <v>33309.830990000002</v>
      </c>
      <c r="Q80" s="21">
        <v>33672.278890000001</v>
      </c>
      <c r="R80" s="21">
        <v>34000.1486</v>
      </c>
      <c r="S80" s="21">
        <v>34318.982730000003</v>
      </c>
      <c r="T80" s="21">
        <v>34626.642480000002</v>
      </c>
      <c r="U80" s="21">
        <v>34922.25045</v>
      </c>
      <c r="V80" s="21">
        <v>35330.317490000001</v>
      </c>
      <c r="W80" s="21">
        <v>35794.012390000004</v>
      </c>
      <c r="X80" s="21">
        <v>36297.91603</v>
      </c>
      <c r="Y80" s="21">
        <v>36808.395020000004</v>
      </c>
      <c r="Z80" s="21">
        <v>37322.704760000001</v>
      </c>
      <c r="AA80" s="21">
        <v>37804.772859999997</v>
      </c>
      <c r="AB80" s="21">
        <v>38291.755949999999</v>
      </c>
      <c r="AC80" s="21">
        <v>38783.058949999999</v>
      </c>
      <c r="AD80" s="21">
        <v>39281.640930000001</v>
      </c>
      <c r="AE80" s="21">
        <v>39787.383900000001</v>
      </c>
      <c r="AX80" s="3"/>
    </row>
    <row r="81" spans="1:50" s="2" customFormat="1" x14ac:dyDescent="0.25">
      <c r="A81" s="1"/>
      <c r="B81" s="20" t="s">
        <v>41</v>
      </c>
      <c r="C81" s="21">
        <v>24380.522120000001</v>
      </c>
      <c r="D81" s="21">
        <v>24901.225760000001</v>
      </c>
      <c r="E81" s="21">
        <v>25211.894530000001</v>
      </c>
      <c r="F81" s="21">
        <v>25578.35426</v>
      </c>
      <c r="G81" s="21">
        <v>25923.04522</v>
      </c>
      <c r="H81" s="21">
        <v>26401.227459999998</v>
      </c>
      <c r="I81" s="21">
        <v>27009.367170000001</v>
      </c>
      <c r="J81" s="21">
        <v>27750.377850000001</v>
      </c>
      <c r="K81" s="21">
        <v>28650.765889999999</v>
      </c>
      <c r="L81" s="21">
        <v>28839.853510000001</v>
      </c>
      <c r="M81" s="21">
        <v>28773.570179999999</v>
      </c>
      <c r="N81" s="21">
        <v>28869.110799999999</v>
      </c>
      <c r="O81" s="21">
        <v>29009.139159999999</v>
      </c>
      <c r="P81" s="21">
        <v>28913.521809999998</v>
      </c>
      <c r="Q81" s="21">
        <v>29284.23806</v>
      </c>
      <c r="R81" s="21">
        <v>29575.983850000001</v>
      </c>
      <c r="S81" s="21">
        <v>29850.794910000001</v>
      </c>
      <c r="T81" s="21">
        <v>30099.345929999999</v>
      </c>
      <c r="U81" s="21">
        <v>30305.46659</v>
      </c>
      <c r="V81" s="21">
        <v>30561.132720000001</v>
      </c>
      <c r="W81" s="21">
        <v>30870.448199999999</v>
      </c>
      <c r="X81" s="21">
        <v>31193.186799999999</v>
      </c>
      <c r="Y81" s="21">
        <v>31524.9221</v>
      </c>
      <c r="Z81" s="21">
        <v>31850.54911</v>
      </c>
      <c r="AA81" s="21">
        <v>32120.317449999999</v>
      </c>
      <c r="AB81" s="21">
        <v>32405.699270000001</v>
      </c>
      <c r="AC81" s="21">
        <v>32696.268510000002</v>
      </c>
      <c r="AD81" s="21">
        <v>33009.551229999997</v>
      </c>
      <c r="AE81" s="21">
        <v>33370.15178</v>
      </c>
      <c r="AX81" s="3"/>
    </row>
    <row r="82" spans="1:50" s="2" customFormat="1" x14ac:dyDescent="0.25">
      <c r="A82" s="1"/>
      <c r="B82" s="20" t="s">
        <v>42</v>
      </c>
      <c r="C82" s="21">
        <v>20837.06337</v>
      </c>
      <c r="D82" s="21">
        <v>21268.882710000002</v>
      </c>
      <c r="E82" s="21">
        <v>21402.62599</v>
      </c>
      <c r="F82" s="21">
        <v>21541.773270000002</v>
      </c>
      <c r="G82" s="21">
        <v>21592.838110000001</v>
      </c>
      <c r="H82" s="21">
        <v>21706.854380000001</v>
      </c>
      <c r="I82" s="21">
        <v>21849.537270000001</v>
      </c>
      <c r="J82" s="21">
        <v>22010.718990000001</v>
      </c>
      <c r="K82" s="21">
        <v>22200.794150000002</v>
      </c>
      <c r="L82" s="21">
        <v>22160.783220000001</v>
      </c>
      <c r="M82" s="21">
        <v>22009.949280000001</v>
      </c>
      <c r="N82" s="21">
        <v>21941.42067</v>
      </c>
      <c r="O82" s="21">
        <v>21890.431970000001</v>
      </c>
      <c r="P82" s="21">
        <v>21727.645769999999</v>
      </c>
      <c r="Q82" s="21">
        <v>21814.838820000001</v>
      </c>
      <c r="R82" s="21">
        <v>21864.175179999998</v>
      </c>
      <c r="S82" s="21">
        <v>21911.307860000001</v>
      </c>
      <c r="T82" s="21">
        <v>21944.711050000002</v>
      </c>
      <c r="U82" s="21">
        <v>21953.573950000002</v>
      </c>
      <c r="V82" s="21">
        <v>21998.931550000001</v>
      </c>
      <c r="W82" s="21">
        <v>22082.46168</v>
      </c>
      <c r="X82" s="21">
        <v>22170.35672</v>
      </c>
      <c r="Y82" s="21">
        <v>22265.159909999998</v>
      </c>
      <c r="Z82" s="21">
        <v>22354.95709</v>
      </c>
      <c r="AA82" s="21">
        <v>22415.714540000001</v>
      </c>
      <c r="AB82" s="21">
        <v>22482.916700000002</v>
      </c>
      <c r="AC82" s="21">
        <v>22552.67784</v>
      </c>
      <c r="AD82" s="21">
        <v>22633.953710000002</v>
      </c>
      <c r="AE82" s="21">
        <v>22750.611069999999</v>
      </c>
      <c r="AX82" s="3"/>
    </row>
    <row r="83" spans="1:50" s="2" customFormat="1" x14ac:dyDescent="0.25">
      <c r="A83" s="1"/>
      <c r="B83" s="20" t="s">
        <v>43</v>
      </c>
      <c r="C83" s="21">
        <v>9938.1594100000002</v>
      </c>
      <c r="D83" s="21">
        <v>10146.393620000001</v>
      </c>
      <c r="E83" s="21">
        <v>10516.907139999999</v>
      </c>
      <c r="F83" s="21">
        <v>10922.19829</v>
      </c>
      <c r="G83" s="21">
        <v>11285.069879999999</v>
      </c>
      <c r="H83" s="21">
        <v>11764.101500000001</v>
      </c>
      <c r="I83" s="21">
        <v>12333.71343</v>
      </c>
      <c r="J83" s="21">
        <v>13000.58677</v>
      </c>
      <c r="K83" s="21">
        <v>13785.90582</v>
      </c>
      <c r="L83" s="21">
        <v>13843.847970000001</v>
      </c>
      <c r="M83" s="21">
        <v>13817.84201</v>
      </c>
      <c r="N83" s="21">
        <v>13848.02295</v>
      </c>
      <c r="O83" s="21">
        <v>13892.981180000001</v>
      </c>
      <c r="P83" s="21">
        <v>13856.885130000001</v>
      </c>
      <c r="Q83" s="21">
        <v>13997.626689999999</v>
      </c>
      <c r="R83" s="21">
        <v>14106.944649999999</v>
      </c>
      <c r="S83" s="21">
        <v>14212.232980000001</v>
      </c>
      <c r="T83" s="21">
        <v>14307.49675</v>
      </c>
      <c r="U83" s="21">
        <v>14387.43478</v>
      </c>
      <c r="V83" s="21">
        <v>14483.606589999999</v>
      </c>
      <c r="W83" s="21">
        <v>14607.916719999999</v>
      </c>
      <c r="X83" s="21">
        <v>14737.052170000001</v>
      </c>
      <c r="Y83" s="21">
        <v>14871.651229999999</v>
      </c>
      <c r="Z83" s="21">
        <v>15002.59852</v>
      </c>
      <c r="AA83" s="21">
        <v>15117.683429999999</v>
      </c>
      <c r="AB83" s="21">
        <v>15233.9005</v>
      </c>
      <c r="AC83" s="21">
        <v>15351.060289999999</v>
      </c>
      <c r="AD83" s="21">
        <v>15475.21413</v>
      </c>
      <c r="AE83" s="21">
        <v>15624.41317</v>
      </c>
      <c r="AX83" s="3"/>
    </row>
    <row r="84" spans="1:50" s="2" customFormat="1" x14ac:dyDescent="0.25">
      <c r="A84" s="1"/>
      <c r="B84" s="20" t="s">
        <v>44</v>
      </c>
      <c r="C84" s="21">
        <v>499781.55570000003</v>
      </c>
      <c r="D84" s="21">
        <v>509534.32809999998</v>
      </c>
      <c r="E84" s="21">
        <v>514682.65169999999</v>
      </c>
      <c r="F84" s="21">
        <v>519393.18459999998</v>
      </c>
      <c r="G84" s="21">
        <v>520686.7671</v>
      </c>
      <c r="H84" s="21">
        <v>523881.26929999999</v>
      </c>
      <c r="I84" s="21">
        <v>528061.554</v>
      </c>
      <c r="J84" s="21">
        <v>532401.2047</v>
      </c>
      <c r="K84" s="21">
        <v>537690.16830000002</v>
      </c>
      <c r="L84" s="21">
        <v>540821.88890000002</v>
      </c>
      <c r="M84" s="21">
        <v>543530.37379999994</v>
      </c>
      <c r="N84" s="21">
        <v>547566.05020000006</v>
      </c>
      <c r="O84" s="21">
        <v>551427.43059999996</v>
      </c>
      <c r="P84" s="21">
        <v>554315.2243</v>
      </c>
      <c r="Q84" s="21">
        <v>559924.92310000001</v>
      </c>
      <c r="R84" s="21">
        <v>565381.06350000005</v>
      </c>
      <c r="S84" s="21">
        <v>571227.50340000005</v>
      </c>
      <c r="T84" s="21">
        <v>576987.14139999996</v>
      </c>
      <c r="U84" s="21">
        <v>581967.24129999999</v>
      </c>
      <c r="V84" s="21">
        <v>588005.7452</v>
      </c>
      <c r="W84" s="21">
        <v>595614.5906</v>
      </c>
      <c r="X84" s="21">
        <v>603212.18160000001</v>
      </c>
      <c r="Y84" s="21">
        <v>610988.70979999995</v>
      </c>
      <c r="Z84" s="21">
        <v>618747.50580000004</v>
      </c>
      <c r="AA84" s="21">
        <v>626161.46129999997</v>
      </c>
      <c r="AB84" s="21">
        <v>633435.51300000004</v>
      </c>
      <c r="AC84" s="21">
        <v>640754.16859999998</v>
      </c>
      <c r="AD84" s="21">
        <v>648191.67619999999</v>
      </c>
      <c r="AE84" s="21">
        <v>656006.90670000005</v>
      </c>
      <c r="AX84" s="3"/>
    </row>
    <row r="401" spans="1:171" s="4" customFormat="1" ht="12.75" x14ac:dyDescent="0.2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3"/>
      <c r="FO401" s="5"/>
    </row>
    <row r="402" spans="1:171" s="7" customFormat="1" ht="12.75" x14ac:dyDescent="0.2">
      <c r="A402" s="6"/>
      <c r="B402" s="7" t="s">
        <v>0</v>
      </c>
      <c r="O402" s="8"/>
      <c r="T402" s="8"/>
      <c r="Y402" s="8"/>
      <c r="AD402" s="8"/>
      <c r="AX402" s="9"/>
    </row>
    <row r="403" spans="1:171" s="2" customFormat="1" ht="12.75" x14ac:dyDescent="0.2">
      <c r="A403" s="1"/>
      <c r="AX403" s="3"/>
    </row>
    <row r="404" spans="1:171" s="2" customFormat="1" x14ac:dyDescent="0.25">
      <c r="A404" s="1"/>
      <c r="B404" s="2" t="s">
        <v>1</v>
      </c>
      <c r="C404" s="10">
        <v>2022</v>
      </c>
      <c r="D404" s="10">
        <v>2023</v>
      </c>
      <c r="E404" s="10">
        <v>2025</v>
      </c>
      <c r="F404" s="10">
        <v>2028</v>
      </c>
      <c r="G404" s="10">
        <v>2030</v>
      </c>
      <c r="H404" s="10">
        <v>2033</v>
      </c>
      <c r="I404" s="10">
        <v>2035</v>
      </c>
      <c r="J404" s="10">
        <v>2038</v>
      </c>
      <c r="K404" s="10">
        <v>2040</v>
      </c>
      <c r="L404" s="10">
        <v>2043</v>
      </c>
      <c r="M404" s="10">
        <v>2045</v>
      </c>
      <c r="N404" s="10">
        <v>2050</v>
      </c>
      <c r="O404" s="11"/>
      <c r="T404" s="11"/>
      <c r="Y404" s="11"/>
      <c r="AD404" s="11"/>
      <c r="AX404" s="3"/>
    </row>
    <row r="405" spans="1:171" s="2" customFormat="1" ht="12.75" x14ac:dyDescent="0.2">
      <c r="A405" s="1"/>
      <c r="B405" s="12" t="s">
        <v>2</v>
      </c>
      <c r="C405" s="12">
        <v>0</v>
      </c>
      <c r="D405" s="12">
        <v>0</v>
      </c>
      <c r="E405" s="12">
        <v>0</v>
      </c>
      <c r="F405" s="12">
        <v>4.3165398037837387E-2</v>
      </c>
      <c r="G405" s="12">
        <v>9.4042161277668068E-2</v>
      </c>
      <c r="H405" s="12">
        <v>0.14081607447481281</v>
      </c>
      <c r="I405" s="12">
        <v>0.15892973856719206</v>
      </c>
      <c r="J405" s="12">
        <v>0.18224172751097087</v>
      </c>
      <c r="K405" s="12">
        <v>0.21218505700698573</v>
      </c>
      <c r="L405" s="12">
        <v>0.25727305518315158</v>
      </c>
      <c r="M405" s="12">
        <v>0.28733172063392887</v>
      </c>
      <c r="N405" s="12">
        <v>0.38491511426983449</v>
      </c>
      <c r="AX405" s="3"/>
    </row>
    <row r="406" spans="1:171" s="2" customFormat="1" ht="12.75" x14ac:dyDescent="0.2">
      <c r="A406" s="1"/>
      <c r="B406" s="12" t="s">
        <v>3</v>
      </c>
      <c r="C406" s="12">
        <v>0</v>
      </c>
      <c r="D406" s="12">
        <v>0</v>
      </c>
      <c r="E406" s="12">
        <v>0</v>
      </c>
      <c r="F406" s="12">
        <v>0</v>
      </c>
      <c r="G406" s="12">
        <v>0</v>
      </c>
      <c r="H406" s="12">
        <v>2.1583081866494609E-2</v>
      </c>
      <c r="I406" s="12">
        <v>2.9229026772603559E-2</v>
      </c>
      <c r="J406" s="12">
        <v>5.4746130897036553E-2</v>
      </c>
      <c r="K406" s="12">
        <v>0.1293454453016728</v>
      </c>
      <c r="L406" s="12">
        <v>0.23501798816788388</v>
      </c>
      <c r="M406" s="12">
        <v>0.30546635007869133</v>
      </c>
      <c r="N406" s="12">
        <v>0.71665456715629039</v>
      </c>
      <c r="O406" s="11"/>
      <c r="T406" s="11"/>
      <c r="Y406" s="11"/>
      <c r="AD406" s="11"/>
      <c r="AX406" s="3"/>
    </row>
    <row r="407" spans="1:171" s="2" customFormat="1" ht="12.75" x14ac:dyDescent="0.2">
      <c r="A407" s="13"/>
      <c r="B407" s="14"/>
      <c r="F407" s="15"/>
      <c r="G407" s="15"/>
      <c r="H407" s="15"/>
      <c r="I407" s="15"/>
      <c r="J407" s="15"/>
      <c r="K407" s="15"/>
      <c r="L407" s="15"/>
      <c r="M407" s="15"/>
      <c r="N407" s="15"/>
      <c r="AX407" s="3"/>
      <c r="FO407" s="5"/>
    </row>
    <row r="408" spans="1:171" s="2" customFormat="1" ht="12.75" x14ac:dyDescent="0.2">
      <c r="A408" s="1"/>
      <c r="R408" s="11"/>
      <c r="T408" s="11"/>
      <c r="Y408" s="11"/>
      <c r="AD408" s="11"/>
      <c r="AN408" s="11"/>
      <c r="AX408" s="3"/>
    </row>
    <row r="409" spans="1:171" s="2" customFormat="1" x14ac:dyDescent="0.25">
      <c r="A409" s="1"/>
      <c r="B409" s="2" t="s">
        <v>4</v>
      </c>
      <c r="C409" s="10">
        <v>2022</v>
      </c>
      <c r="D409" s="10">
        <v>2023</v>
      </c>
      <c r="E409" s="10">
        <v>2025</v>
      </c>
      <c r="F409" s="10">
        <v>2028</v>
      </c>
      <c r="G409" s="10">
        <v>2030</v>
      </c>
      <c r="H409" s="10">
        <v>2033</v>
      </c>
      <c r="I409" s="10">
        <v>2035</v>
      </c>
      <c r="J409" s="10">
        <v>2038</v>
      </c>
      <c r="K409" s="10">
        <v>2040</v>
      </c>
      <c r="L409" s="10">
        <v>2043</v>
      </c>
      <c r="M409" s="10">
        <v>2045</v>
      </c>
      <c r="N409" s="10">
        <v>2050</v>
      </c>
      <c r="AX409" s="3"/>
    </row>
    <row r="410" spans="1:171" s="2" customFormat="1" ht="12.75" x14ac:dyDescent="0.2">
      <c r="A410" s="1"/>
      <c r="B410" s="12" t="s">
        <v>5</v>
      </c>
      <c r="C410" s="16">
        <v>0</v>
      </c>
      <c r="D410" s="16">
        <v>0</v>
      </c>
      <c r="E410" s="16">
        <v>0</v>
      </c>
      <c r="F410" s="16">
        <v>597124.10696037742</v>
      </c>
      <c r="G410" s="16">
        <v>995206.84493396245</v>
      </c>
      <c r="H410" s="16">
        <v>2214338.4545886484</v>
      </c>
      <c r="I410" s="16">
        <v>2997202.6354769557</v>
      </c>
      <c r="J410" s="16">
        <v>5121227.2932377513</v>
      </c>
      <c r="K410" s="16">
        <v>6563064.4736336265</v>
      </c>
      <c r="L410" s="16">
        <v>8358377.2164351428</v>
      </c>
      <c r="M410" s="16">
        <v>9521153.3670541774</v>
      </c>
      <c r="N410" s="16">
        <v>11031259.384607553</v>
      </c>
      <c r="AX410" s="3"/>
    </row>
    <row r="411" spans="1:171" s="2" customFormat="1" ht="12.75" x14ac:dyDescent="0.2">
      <c r="A411" s="1"/>
      <c r="B411" s="12" t="s">
        <v>6</v>
      </c>
      <c r="C411" s="16">
        <v>0</v>
      </c>
      <c r="D411" s="16">
        <v>0</v>
      </c>
      <c r="E411" s="16">
        <v>0</v>
      </c>
      <c r="F411" s="16">
        <v>2042875.893039623</v>
      </c>
      <c r="G411" s="16">
        <v>3404793.155066038</v>
      </c>
      <c r="H411" s="16">
        <v>5765274.7080067424</v>
      </c>
      <c r="I411" s="16">
        <v>7340083.7730112094</v>
      </c>
      <c r="J411" s="16">
        <v>8905745.1445420105</v>
      </c>
      <c r="K411" s="16">
        <v>9977314.3170147222</v>
      </c>
      <c r="L411" s="16">
        <v>10757437.522651743</v>
      </c>
      <c r="M411" s="16">
        <v>11279317.715437345</v>
      </c>
      <c r="N411" s="16">
        <v>9794201.6518944465</v>
      </c>
      <c r="AX411" s="3"/>
    </row>
    <row r="412" spans="1:171" s="2" customFormat="1" ht="12.75" x14ac:dyDescent="0.2">
      <c r="A412" s="1"/>
      <c r="AX412" s="3"/>
    </row>
    <row r="413" spans="1:171" s="2" customFormat="1" x14ac:dyDescent="0.25">
      <c r="A413" s="1"/>
      <c r="B413" s="2" t="s">
        <v>4</v>
      </c>
      <c r="C413" s="10">
        <v>2022</v>
      </c>
      <c r="D413" s="10">
        <v>2023</v>
      </c>
      <c r="E413" s="10">
        <v>2025</v>
      </c>
      <c r="F413" s="10">
        <v>2028</v>
      </c>
      <c r="G413" s="10">
        <v>2030</v>
      </c>
      <c r="H413" s="10">
        <v>2033</v>
      </c>
      <c r="I413" s="10">
        <v>2035</v>
      </c>
      <c r="J413" s="10">
        <v>2038</v>
      </c>
      <c r="K413" s="10">
        <v>2040</v>
      </c>
      <c r="L413" s="10">
        <v>2043</v>
      </c>
      <c r="M413" s="10">
        <v>2045</v>
      </c>
      <c r="N413" s="10">
        <v>2050</v>
      </c>
      <c r="AX413" s="3"/>
    </row>
    <row r="414" spans="1:171" s="2" customFormat="1" ht="12.75" x14ac:dyDescent="0.2">
      <c r="A414" s="1"/>
      <c r="B414" s="17" t="s">
        <v>7</v>
      </c>
      <c r="C414" s="16">
        <v>0</v>
      </c>
      <c r="D414" s="16">
        <v>0</v>
      </c>
      <c r="E414" s="16">
        <v>0</v>
      </c>
      <c r="F414" s="16">
        <v>0</v>
      </c>
      <c r="G414" s="16">
        <v>0</v>
      </c>
      <c r="H414" s="16">
        <v>0</v>
      </c>
      <c r="I414" s="16">
        <v>0</v>
      </c>
      <c r="J414" s="16">
        <v>600000.00000000012</v>
      </c>
      <c r="K414" s="16">
        <v>1000000</v>
      </c>
      <c r="L414" s="16">
        <v>2200000</v>
      </c>
      <c r="M414" s="16">
        <v>3000000</v>
      </c>
      <c r="N414" s="16">
        <v>6000000</v>
      </c>
      <c r="AX414" s="3"/>
    </row>
    <row r="415" spans="1:171" s="2" customFormat="1" ht="12.75" x14ac:dyDescent="0.2">
      <c r="A415" s="1"/>
      <c r="B415" s="17" t="s">
        <v>8</v>
      </c>
      <c r="C415" s="16">
        <v>0</v>
      </c>
      <c r="D415" s="16">
        <v>0</v>
      </c>
      <c r="E415" s="16">
        <v>0</v>
      </c>
      <c r="F415" s="16">
        <v>0</v>
      </c>
      <c r="G415" s="16">
        <v>0</v>
      </c>
      <c r="H415" s="16">
        <v>880917.00689158961</v>
      </c>
      <c r="I415" s="16">
        <v>1498085.2370341322</v>
      </c>
      <c r="J415" s="16">
        <v>3354258.0873170667</v>
      </c>
      <c r="K415" s="16">
        <v>4565885.9122836767</v>
      </c>
      <c r="L415" s="16">
        <v>8461800.103733046</v>
      </c>
      <c r="M415" s="16">
        <v>11093175.242614605</v>
      </c>
      <c r="N415" s="16">
        <v>14387597.923614018</v>
      </c>
      <c r="AX415" s="3"/>
    </row>
    <row r="416" spans="1:171" s="2" customFormat="1" ht="12.75" x14ac:dyDescent="0.2">
      <c r="A416" s="1"/>
      <c r="B416" s="17" t="s">
        <v>9</v>
      </c>
      <c r="C416" s="16">
        <v>0</v>
      </c>
      <c r="D416" s="16">
        <v>0</v>
      </c>
      <c r="E416" s="16">
        <v>0</v>
      </c>
      <c r="F416" s="16">
        <v>0</v>
      </c>
      <c r="G416" s="16">
        <v>0</v>
      </c>
      <c r="H416" s="16">
        <v>399469.8305130197</v>
      </c>
      <c r="I416" s="16">
        <v>664628.3544777038</v>
      </c>
      <c r="J416" s="16">
        <v>2159769.4749031733</v>
      </c>
      <c r="K416" s="16">
        <v>3128735.2970679733</v>
      </c>
      <c r="L416" s="16">
        <v>3230385.1571800644</v>
      </c>
      <c r="M416" s="16">
        <v>3296353.6748938709</v>
      </c>
      <c r="N416" s="16">
        <v>2676941.0398839749</v>
      </c>
      <c r="AX416" s="3"/>
    </row>
    <row r="417" spans="1:50" s="2" customFormat="1" ht="12.75" x14ac:dyDescent="0.2">
      <c r="A417" s="1"/>
      <c r="AX417" s="3"/>
    </row>
    <row r="418" spans="1:50" s="2" customFormat="1" ht="12.75" x14ac:dyDescent="0.2">
      <c r="A418" s="1"/>
      <c r="AX418" s="3"/>
    </row>
    <row r="419" spans="1:50" s="2" customFormat="1" ht="12.75" x14ac:dyDescent="0.2">
      <c r="A419" s="1"/>
      <c r="B419" s="2" t="s">
        <v>10</v>
      </c>
      <c r="C419" s="18">
        <v>2022</v>
      </c>
      <c r="D419" s="18">
        <v>2050</v>
      </c>
      <c r="AX419" s="3"/>
    </row>
    <row r="420" spans="1:50" s="2" customFormat="1" ht="12.75" x14ac:dyDescent="0.2">
      <c r="A420" s="1"/>
      <c r="C420" s="12">
        <v>700</v>
      </c>
      <c r="D420" s="12">
        <v>200</v>
      </c>
      <c r="AX420" s="3"/>
    </row>
    <row r="421" spans="1:50" s="2" customFormat="1" ht="12.75" x14ac:dyDescent="0.2">
      <c r="A421" s="1"/>
      <c r="AX421" s="3"/>
    </row>
    <row r="422" spans="1:50" s="2" customFormat="1" ht="12.75" x14ac:dyDescent="0.2">
      <c r="A422" s="1"/>
      <c r="AX422" s="3"/>
    </row>
    <row r="423" spans="1:50" s="2" customFormat="1" ht="12.75" x14ac:dyDescent="0.2">
      <c r="A423" s="1"/>
      <c r="B423" s="4" t="s">
        <v>11</v>
      </c>
      <c r="C423" s="16">
        <v>2022</v>
      </c>
      <c r="D423" s="16">
        <v>2023</v>
      </c>
      <c r="E423" s="16">
        <v>2024</v>
      </c>
      <c r="F423" s="16">
        <v>2025</v>
      </c>
      <c r="G423" s="16">
        <v>2026</v>
      </c>
      <c r="H423" s="16">
        <v>2027</v>
      </c>
      <c r="I423" s="16">
        <v>2028</v>
      </c>
      <c r="J423" s="16">
        <v>2029</v>
      </c>
      <c r="K423" s="16">
        <v>2030</v>
      </c>
      <c r="L423" s="16">
        <v>2031</v>
      </c>
      <c r="M423" s="16">
        <v>2032</v>
      </c>
      <c r="N423" s="16">
        <v>2033</v>
      </c>
      <c r="O423" s="16">
        <v>2034</v>
      </c>
      <c r="P423" s="16">
        <v>2035</v>
      </c>
      <c r="Q423" s="16">
        <v>2036</v>
      </c>
      <c r="R423" s="16">
        <v>2037</v>
      </c>
      <c r="S423" s="16">
        <v>2038</v>
      </c>
      <c r="T423" s="16">
        <v>2039</v>
      </c>
      <c r="U423" s="16">
        <v>2040</v>
      </c>
      <c r="V423" s="16">
        <v>2041</v>
      </c>
      <c r="W423" s="16">
        <v>2042</v>
      </c>
      <c r="X423" s="16">
        <v>2043</v>
      </c>
      <c r="Y423" s="16">
        <v>2044</v>
      </c>
      <c r="Z423" s="16">
        <v>2045</v>
      </c>
      <c r="AA423" s="16">
        <v>2046</v>
      </c>
      <c r="AB423" s="16">
        <v>2047</v>
      </c>
      <c r="AC423" s="16">
        <v>2048</v>
      </c>
      <c r="AD423" s="16">
        <v>2049</v>
      </c>
      <c r="AE423" s="16">
        <v>2050</v>
      </c>
      <c r="AX423" s="3"/>
    </row>
    <row r="424" spans="1:50" s="2" customFormat="1" ht="12.75" x14ac:dyDescent="0.2">
      <c r="A424" s="1"/>
      <c r="B424" s="17" t="s">
        <v>12</v>
      </c>
      <c r="C424" s="12">
        <f>C420</f>
        <v>700</v>
      </c>
      <c r="D424" s="12">
        <f>C424+($AE424-$C424)/($AE$423-$C$423)</f>
        <v>682.14285714285711</v>
      </c>
      <c r="E424" s="12">
        <f t="shared" ref="E424:AD424" si="8">D424+($AE424-$C424)/($AE$423-$C$423)</f>
        <v>664.28571428571422</v>
      </c>
      <c r="F424" s="12">
        <f t="shared" si="8"/>
        <v>646.42857142857133</v>
      </c>
      <c r="G424" s="12">
        <f t="shared" si="8"/>
        <v>628.57142857142844</v>
      </c>
      <c r="H424" s="12">
        <f t="shared" si="8"/>
        <v>610.71428571428555</v>
      </c>
      <c r="I424" s="12">
        <f t="shared" si="8"/>
        <v>592.85714285714266</v>
      </c>
      <c r="J424" s="12">
        <f t="shared" si="8"/>
        <v>574.99999999999977</v>
      </c>
      <c r="K424" s="12">
        <f t="shared" si="8"/>
        <v>557.14285714285688</v>
      </c>
      <c r="L424" s="12">
        <f t="shared" si="8"/>
        <v>539.28571428571399</v>
      </c>
      <c r="M424" s="12">
        <f t="shared" si="8"/>
        <v>521.4285714285711</v>
      </c>
      <c r="N424" s="12">
        <f t="shared" si="8"/>
        <v>503.57142857142827</v>
      </c>
      <c r="O424" s="12">
        <f t="shared" si="8"/>
        <v>485.71428571428544</v>
      </c>
      <c r="P424" s="12">
        <f t="shared" si="8"/>
        <v>467.85714285714261</v>
      </c>
      <c r="Q424" s="12">
        <f t="shared" si="8"/>
        <v>449.99999999999977</v>
      </c>
      <c r="R424" s="12">
        <f t="shared" si="8"/>
        <v>432.14285714285694</v>
      </c>
      <c r="S424" s="12">
        <f t="shared" si="8"/>
        <v>414.28571428571411</v>
      </c>
      <c r="T424" s="12">
        <f t="shared" si="8"/>
        <v>396.42857142857127</v>
      </c>
      <c r="U424" s="12">
        <f t="shared" si="8"/>
        <v>378.57142857142844</v>
      </c>
      <c r="V424" s="12">
        <f t="shared" si="8"/>
        <v>360.71428571428561</v>
      </c>
      <c r="W424" s="12">
        <f t="shared" si="8"/>
        <v>342.85714285714278</v>
      </c>
      <c r="X424" s="12">
        <f t="shared" si="8"/>
        <v>324.99999999999994</v>
      </c>
      <c r="Y424" s="12">
        <f t="shared" si="8"/>
        <v>307.14285714285711</v>
      </c>
      <c r="Z424" s="12">
        <f t="shared" si="8"/>
        <v>289.28571428571428</v>
      </c>
      <c r="AA424" s="12">
        <f t="shared" si="8"/>
        <v>271.42857142857144</v>
      </c>
      <c r="AB424" s="12">
        <f t="shared" si="8"/>
        <v>253.57142857142858</v>
      </c>
      <c r="AC424" s="12">
        <f t="shared" si="8"/>
        <v>235.71428571428572</v>
      </c>
      <c r="AD424" s="12">
        <f t="shared" si="8"/>
        <v>217.85714285714286</v>
      </c>
      <c r="AE424" s="12">
        <f>D420</f>
        <v>200</v>
      </c>
      <c r="AX424" s="3"/>
    </row>
    <row r="425" spans="1:50" s="2" customFormat="1" ht="12.75" x14ac:dyDescent="0.2">
      <c r="A425" s="1"/>
      <c r="B425" s="17" t="s">
        <v>5</v>
      </c>
      <c r="C425" s="12">
        <f>HLOOKUP(C$423,$C$409:$N$411,2,FALSE)</f>
        <v>0</v>
      </c>
      <c r="D425" s="12">
        <f>HLOOKUP(D$423,$C$409:$N$411,2,FALSE)</f>
        <v>0</v>
      </c>
      <c r="E425" s="12">
        <f>D425+($F425-$D425)/($F$423-$D$423)</f>
        <v>0</v>
      </c>
      <c r="F425" s="12">
        <f>HLOOKUP(F$423,$C$409:$N$411,2,FALSE)</f>
        <v>0</v>
      </c>
      <c r="G425" s="12">
        <f t="shared" ref="G425:H429" si="9">F425+($I425-$F425)/($I$423-$F$423)</f>
        <v>199041.36898679248</v>
      </c>
      <c r="H425" s="12">
        <f t="shared" si="9"/>
        <v>398082.73797358497</v>
      </c>
      <c r="I425" s="12">
        <f>HLOOKUP(I$423,$C$409:$N$411,2,FALSE)</f>
        <v>597124.10696037742</v>
      </c>
      <c r="J425" s="12">
        <f>I425+($K425-$I425)/($K$423-$I$423)</f>
        <v>796165.47594716994</v>
      </c>
      <c r="K425" s="12">
        <f>HLOOKUP(K$423,$C$409:$N$411,2,FALSE)</f>
        <v>995206.84493396245</v>
      </c>
      <c r="L425" s="12">
        <f t="shared" ref="L425:M429" si="10">K425+($N425-$K425)/($N$423-$K$423)</f>
        <v>1401584.0481521911</v>
      </c>
      <c r="M425" s="12">
        <f t="shared" si="10"/>
        <v>1807961.2513704197</v>
      </c>
      <c r="N425" s="12">
        <f>HLOOKUP(N$423,$C$409:$N$411,2,FALSE)</f>
        <v>2214338.4545886484</v>
      </c>
      <c r="O425" s="12">
        <f>N425+($P425-$N425)/($P$423-$N$423)</f>
        <v>2605770.545032802</v>
      </c>
      <c r="P425" s="12">
        <f>HLOOKUP(P$423,$C$409:$N$411,2,FALSE)</f>
        <v>2997202.6354769557</v>
      </c>
      <c r="Q425" s="12">
        <f t="shared" ref="Q425:R429" si="11">P425+($S425-$P425)/($S$423-$P$423)</f>
        <v>3705210.8547305544</v>
      </c>
      <c r="R425" s="12">
        <f t="shared" si="11"/>
        <v>4413219.0739841526</v>
      </c>
      <c r="S425" s="12">
        <f>HLOOKUP(S$423,$C$409:$N$411,2,FALSE)</f>
        <v>5121227.2932377513</v>
      </c>
      <c r="T425" s="12">
        <f>S425+($U425-$S425)/($U$423-$S$423)</f>
        <v>5842145.8834356889</v>
      </c>
      <c r="U425" s="12">
        <f>HLOOKUP(U$423,$C$409:$N$411,2,FALSE)</f>
        <v>6563064.4736336265</v>
      </c>
      <c r="V425" s="12">
        <f t="shared" ref="V425:W429" si="12">U425+($X425-$U425)/($X$423-$U$423)</f>
        <v>7161502.0545674656</v>
      </c>
      <c r="W425" s="12">
        <f t="shared" si="12"/>
        <v>7759939.6355013046</v>
      </c>
      <c r="X425" s="12">
        <f>HLOOKUP(X$423,$C$409:$N$411,2,FALSE)</f>
        <v>8358377.2164351428</v>
      </c>
      <c r="Y425" s="12">
        <f>X425+($Z425-$X425)/($Z$423-$X$423)</f>
        <v>8939765.2917446606</v>
      </c>
      <c r="Z425" s="12">
        <f>HLOOKUP(Z$423,$C$409:$N$411,2,FALSE)</f>
        <v>9521153.3670541774</v>
      </c>
      <c r="AA425" s="12">
        <f t="shared" ref="AA425:AD429" si="13">Z425+($AE425-$Z425)/($AE$423-$Z$423)</f>
        <v>9823174.570564853</v>
      </c>
      <c r="AB425" s="12">
        <f t="shared" si="13"/>
        <v>10125195.774075529</v>
      </c>
      <c r="AC425" s="12">
        <f t="shared" si="13"/>
        <v>10427216.977586204</v>
      </c>
      <c r="AD425" s="12">
        <f t="shared" si="13"/>
        <v>10729238.18109688</v>
      </c>
      <c r="AE425" s="12">
        <f>HLOOKUP(AE$423,$C$409:$N$411,2,FALSE)</f>
        <v>11031259.384607553</v>
      </c>
      <c r="AX425" s="3"/>
    </row>
    <row r="426" spans="1:50" s="2" customFormat="1" ht="12.75" x14ac:dyDescent="0.2">
      <c r="A426" s="1"/>
      <c r="B426" s="17" t="s">
        <v>6</v>
      </c>
      <c r="C426" s="12">
        <f>HLOOKUP(C$423,$C$409:$N$411,3,FALSE)</f>
        <v>0</v>
      </c>
      <c r="D426" s="12">
        <f>HLOOKUP(D$423,$C$409:$N$411,3,FALSE)</f>
        <v>0</v>
      </c>
      <c r="E426" s="12">
        <f>D426+($F426-$D426)/($F$423-$D$423)</f>
        <v>0</v>
      </c>
      <c r="F426" s="12">
        <f>HLOOKUP(F$423,$C$409:$N$411,3,FALSE)</f>
        <v>0</v>
      </c>
      <c r="G426" s="12">
        <f t="shared" si="9"/>
        <v>680958.63101320772</v>
      </c>
      <c r="H426" s="12">
        <f t="shared" si="9"/>
        <v>1361917.2620264154</v>
      </c>
      <c r="I426" s="12">
        <f>HLOOKUP(I$423,$C$409:$N$411,3,FALSE)</f>
        <v>2042875.893039623</v>
      </c>
      <c r="J426" s="12">
        <f>I426+($K426-$I426)/($K$423-$I$423)</f>
        <v>2723834.5240528304</v>
      </c>
      <c r="K426" s="12">
        <f>HLOOKUP(K$423,$C$409:$N$411,3,FALSE)</f>
        <v>3404793.155066038</v>
      </c>
      <c r="L426" s="12">
        <f t="shared" si="10"/>
        <v>4191620.3393796063</v>
      </c>
      <c r="M426" s="12">
        <f t="shared" si="10"/>
        <v>4978447.5236931741</v>
      </c>
      <c r="N426" s="12">
        <f>HLOOKUP(N$423,$C$409:$N$411,3,FALSE)</f>
        <v>5765274.7080067424</v>
      </c>
      <c r="O426" s="12">
        <f>N426+($P426-$N426)/($P$423-$N$423)</f>
        <v>6552679.2405089755</v>
      </c>
      <c r="P426" s="12">
        <f>HLOOKUP(P$423,$C$409:$N$411,3,FALSE)</f>
        <v>7340083.7730112094</v>
      </c>
      <c r="Q426" s="12">
        <f t="shared" si="11"/>
        <v>7861970.8968548095</v>
      </c>
      <c r="R426" s="12">
        <f t="shared" si="11"/>
        <v>8383858.0206984095</v>
      </c>
      <c r="S426" s="12">
        <f>HLOOKUP(S$423,$C$409:$N$411,3,FALSE)</f>
        <v>8905745.1445420105</v>
      </c>
      <c r="T426" s="12">
        <f>S426+($U426-$S426)/($U$423-$S$423)</f>
        <v>9441529.7307783663</v>
      </c>
      <c r="U426" s="12">
        <f>HLOOKUP(U$423,$C$409:$N$411,3,FALSE)</f>
        <v>9977314.3170147222</v>
      </c>
      <c r="V426" s="12">
        <f t="shared" si="12"/>
        <v>10237355.385560395</v>
      </c>
      <c r="W426" s="12">
        <f t="shared" si="12"/>
        <v>10497396.454106068</v>
      </c>
      <c r="X426" s="12">
        <f>HLOOKUP(X$423,$C$409:$N$411,3,FALSE)</f>
        <v>10757437.522651743</v>
      </c>
      <c r="Y426" s="12">
        <f>X426+($Z426-$X426)/($Z$423-$X$423)</f>
        <v>11018377.619044544</v>
      </c>
      <c r="Z426" s="12">
        <f>HLOOKUP(Z$423,$C$409:$N$411,3,FALSE)</f>
        <v>11279317.715437345</v>
      </c>
      <c r="AA426" s="12">
        <f t="shared" si="13"/>
        <v>10982294.502728766</v>
      </c>
      <c r="AB426" s="12">
        <f t="shared" si="13"/>
        <v>10685271.290020186</v>
      </c>
      <c r="AC426" s="12">
        <f t="shared" si="13"/>
        <v>10388248.077311607</v>
      </c>
      <c r="AD426" s="12">
        <f t="shared" si="13"/>
        <v>10091224.864603028</v>
      </c>
      <c r="AE426" s="12">
        <f>HLOOKUP(AE$423,$C$409:$N$411,3,FALSE)</f>
        <v>9794201.6518944465</v>
      </c>
      <c r="AX426" s="3"/>
    </row>
    <row r="427" spans="1:50" s="2" customFormat="1" ht="12.75" x14ac:dyDescent="0.2">
      <c r="A427" s="1"/>
      <c r="B427" s="17" t="s">
        <v>7</v>
      </c>
      <c r="C427" s="12">
        <f>HLOOKUP(C$423,$C$413:$N$416,2,FALSE)</f>
        <v>0</v>
      </c>
      <c r="D427" s="12">
        <f>HLOOKUP(D$423,$C$413:$N$416,2,FALSE)</f>
        <v>0</v>
      </c>
      <c r="E427" s="12">
        <f>D427+($F427-$D427)/($F$423-$D$423)</f>
        <v>0</v>
      </c>
      <c r="F427" s="12">
        <f>HLOOKUP(F$423,$C$413:$N$416,2,FALSE)</f>
        <v>0</v>
      </c>
      <c r="G427" s="12">
        <f t="shared" si="9"/>
        <v>0</v>
      </c>
      <c r="H427" s="12">
        <f t="shared" si="9"/>
        <v>0</v>
      </c>
      <c r="I427" s="12">
        <f>HLOOKUP(I$423,$C$413:$N$416,2,FALSE)</f>
        <v>0</v>
      </c>
      <c r="J427" s="12">
        <f>I427+($K427-$I427)/($K$423-$I$423)</f>
        <v>0</v>
      </c>
      <c r="K427" s="12">
        <f>HLOOKUP(K$423,$C$413:$N$416,2,FALSE)</f>
        <v>0</v>
      </c>
      <c r="L427" s="12">
        <f t="shared" si="10"/>
        <v>0</v>
      </c>
      <c r="M427" s="12">
        <f t="shared" si="10"/>
        <v>0</v>
      </c>
      <c r="N427" s="12">
        <f>HLOOKUP(N$423,$C$413:$N$416,2,FALSE)</f>
        <v>0</v>
      </c>
      <c r="O427" s="12">
        <f>N427+($P427-$N427)/($P$423-$N$423)</f>
        <v>0</v>
      </c>
      <c r="P427" s="12">
        <f>HLOOKUP(P$423,$C$413:$N$416,2,FALSE)</f>
        <v>0</v>
      </c>
      <c r="Q427" s="12">
        <f t="shared" si="11"/>
        <v>200000.00000000003</v>
      </c>
      <c r="R427" s="12">
        <f t="shared" si="11"/>
        <v>400000.00000000006</v>
      </c>
      <c r="S427" s="12">
        <f>HLOOKUP(S$423,$C$413:$N$416,2,FALSE)</f>
        <v>600000.00000000012</v>
      </c>
      <c r="T427" s="12">
        <f>S427+($U427-$S427)/($U$423-$S$423)</f>
        <v>800000</v>
      </c>
      <c r="U427" s="12">
        <f>HLOOKUP(U$423,$C$413:$N$416,2,FALSE)</f>
        <v>1000000</v>
      </c>
      <c r="V427" s="12">
        <f t="shared" si="12"/>
        <v>1400000</v>
      </c>
      <c r="W427" s="12">
        <f t="shared" si="12"/>
        <v>1800000</v>
      </c>
      <c r="X427" s="12">
        <f>HLOOKUP(X$423,$C$413:$N$416,2,FALSE)</f>
        <v>2200000</v>
      </c>
      <c r="Y427" s="12">
        <f>X427+($Z427-$X427)/($Z$423-$X$423)</f>
        <v>2600000</v>
      </c>
      <c r="Z427" s="12">
        <f>HLOOKUP(Z$423,$C$413:$N$416,2,FALSE)</f>
        <v>3000000</v>
      </c>
      <c r="AA427" s="12">
        <f t="shared" si="13"/>
        <v>3600000</v>
      </c>
      <c r="AB427" s="12">
        <f t="shared" si="13"/>
        <v>4200000</v>
      </c>
      <c r="AC427" s="12">
        <f t="shared" si="13"/>
        <v>4800000</v>
      </c>
      <c r="AD427" s="12">
        <f t="shared" si="13"/>
        <v>5400000</v>
      </c>
      <c r="AE427" s="12">
        <f>HLOOKUP(AE$423,$C$413:$N$416,2,FALSE)</f>
        <v>6000000</v>
      </c>
      <c r="AX427" s="3"/>
    </row>
    <row r="428" spans="1:50" s="2" customFormat="1" ht="12.75" x14ac:dyDescent="0.2">
      <c r="A428" s="1"/>
      <c r="B428" s="17" t="s">
        <v>8</v>
      </c>
      <c r="C428" s="12">
        <f>HLOOKUP(C$423,$C$413:$N$416,3,FALSE)</f>
        <v>0</v>
      </c>
      <c r="D428" s="12">
        <f>HLOOKUP(D$423,$C$413:$N$416,3,FALSE)</f>
        <v>0</v>
      </c>
      <c r="E428" s="12">
        <f>D428+($F428-$D428)/($F$423-$D$423)</f>
        <v>0</v>
      </c>
      <c r="F428" s="12">
        <f>HLOOKUP(F$423,$C$413:$N$416,3,FALSE)</f>
        <v>0</v>
      </c>
      <c r="G428" s="12">
        <f t="shared" si="9"/>
        <v>0</v>
      </c>
      <c r="H428" s="12">
        <f t="shared" si="9"/>
        <v>0</v>
      </c>
      <c r="I428" s="12">
        <f>HLOOKUP(I$423,$C$413:$N$416,3,FALSE)</f>
        <v>0</v>
      </c>
      <c r="J428" s="12">
        <f>I428+($K428-$I428)/($K$423-$I$423)</f>
        <v>0</v>
      </c>
      <c r="K428" s="12">
        <f>HLOOKUP(K$423,$C$413:$N$416,3,FALSE)</f>
        <v>0</v>
      </c>
      <c r="L428" s="12">
        <f t="shared" si="10"/>
        <v>293639.00229719654</v>
      </c>
      <c r="M428" s="12">
        <f t="shared" si="10"/>
        <v>587278.00459439307</v>
      </c>
      <c r="N428" s="12">
        <f>HLOOKUP(N$423,$C$413:$N$416,3,FALSE)</f>
        <v>880917.00689158961</v>
      </c>
      <c r="O428" s="12">
        <f>N428+($P428-$N428)/($P$423-$N$423)</f>
        <v>1189501.1219628609</v>
      </c>
      <c r="P428" s="12">
        <f>HLOOKUP(P$423,$C$413:$N$416,3,FALSE)</f>
        <v>1498085.2370341322</v>
      </c>
      <c r="Q428" s="12">
        <f t="shared" si="11"/>
        <v>2116809.5204617772</v>
      </c>
      <c r="R428" s="12">
        <f t="shared" si="11"/>
        <v>2735533.8038894222</v>
      </c>
      <c r="S428" s="12">
        <f>HLOOKUP(S$423,$C$413:$N$416,3,FALSE)</f>
        <v>3354258.0873170667</v>
      </c>
      <c r="T428" s="12">
        <f>S428+($U428-$S428)/($U$423-$S$423)</f>
        <v>3960071.9998003719</v>
      </c>
      <c r="U428" s="12">
        <f>HLOOKUP(U$423,$C$413:$N$416,3,FALSE)</f>
        <v>4565885.9122836767</v>
      </c>
      <c r="V428" s="12">
        <f t="shared" si="12"/>
        <v>5864523.9761001328</v>
      </c>
      <c r="W428" s="12">
        <f t="shared" si="12"/>
        <v>7163162.0399165889</v>
      </c>
      <c r="X428" s="12">
        <f>HLOOKUP(X$423,$C$413:$N$416,3,FALSE)</f>
        <v>8461800.103733046</v>
      </c>
      <c r="Y428" s="12">
        <f>X428+($Z428-$X428)/($Z$423-$X$423)</f>
        <v>9777487.6731738262</v>
      </c>
      <c r="Z428" s="12">
        <f>HLOOKUP(Z$423,$C$413:$N$416,3,FALSE)</f>
        <v>11093175.242614605</v>
      </c>
      <c r="AA428" s="12">
        <f t="shared" si="13"/>
        <v>11752059.778814487</v>
      </c>
      <c r="AB428" s="12">
        <f t="shared" si="13"/>
        <v>12410944.31501437</v>
      </c>
      <c r="AC428" s="12">
        <f t="shared" si="13"/>
        <v>13069828.851214252</v>
      </c>
      <c r="AD428" s="12">
        <f t="shared" si="13"/>
        <v>13728713.387414135</v>
      </c>
      <c r="AE428" s="12">
        <f>HLOOKUP(AE$423,$C$413:$N$416,3,FALSE)</f>
        <v>14387597.923614018</v>
      </c>
      <c r="AX428" s="3"/>
    </row>
    <row r="429" spans="1:50" s="2" customFormat="1" ht="12.75" x14ac:dyDescent="0.2">
      <c r="A429" s="1"/>
      <c r="B429" s="17" t="s">
        <v>9</v>
      </c>
      <c r="C429" s="12">
        <f>HLOOKUP(C$423,$C$413:$N$416,4,FALSE)</f>
        <v>0</v>
      </c>
      <c r="D429" s="12">
        <f>HLOOKUP(D$423,$C$413:$N$416,4,FALSE)</f>
        <v>0</v>
      </c>
      <c r="E429" s="12">
        <f>D429+($F429-$D429)/($F$423-$D$423)</f>
        <v>0</v>
      </c>
      <c r="F429" s="12">
        <f>HLOOKUP(F$423,$C$413:$N$416,4,FALSE)</f>
        <v>0</v>
      </c>
      <c r="G429" s="12">
        <f t="shared" si="9"/>
        <v>0</v>
      </c>
      <c r="H429" s="12">
        <f t="shared" si="9"/>
        <v>0</v>
      </c>
      <c r="I429" s="12">
        <f>HLOOKUP(I$423,$C$413:$N$416,4,FALSE)</f>
        <v>0</v>
      </c>
      <c r="J429" s="12">
        <f>I429+($K429-$I429)/($K$423-$I$423)</f>
        <v>0</v>
      </c>
      <c r="K429" s="12">
        <f>HLOOKUP(K$423,$C$413:$N$416,4,FALSE)</f>
        <v>0</v>
      </c>
      <c r="L429" s="12">
        <f t="shared" si="10"/>
        <v>133156.61017100656</v>
      </c>
      <c r="M429" s="12">
        <f t="shared" si="10"/>
        <v>266313.22034201311</v>
      </c>
      <c r="N429" s="12">
        <f>HLOOKUP(N$423,$C$413:$N$416,4,FALSE)</f>
        <v>399469.8305130197</v>
      </c>
      <c r="O429" s="12">
        <f>N429+($P429-$N429)/($P$423-$N$423)</f>
        <v>532049.09249536181</v>
      </c>
      <c r="P429" s="12">
        <f>HLOOKUP(P$423,$C$413:$N$416,4,FALSE)</f>
        <v>664628.3544777038</v>
      </c>
      <c r="Q429" s="12">
        <f t="shared" si="11"/>
        <v>1163008.7279528603</v>
      </c>
      <c r="R429" s="12">
        <f t="shared" si="11"/>
        <v>1661389.1014280168</v>
      </c>
      <c r="S429" s="12">
        <f>HLOOKUP(S$423,$C$413:$N$416,4,FALSE)</f>
        <v>2159769.4749031733</v>
      </c>
      <c r="T429" s="12">
        <f>S429+($U429-$S429)/($U$423-$S$423)</f>
        <v>2644252.3859855733</v>
      </c>
      <c r="U429" s="12">
        <f>HLOOKUP(U$423,$C$413:$N$416,4,FALSE)</f>
        <v>3128735.2970679733</v>
      </c>
      <c r="V429" s="12">
        <f t="shared" si="12"/>
        <v>3162618.5837720037</v>
      </c>
      <c r="W429" s="12">
        <f t="shared" si="12"/>
        <v>3196501.870476034</v>
      </c>
      <c r="X429" s="12">
        <f>HLOOKUP(X$423,$C$413:$N$416,4,FALSE)</f>
        <v>3230385.1571800644</v>
      </c>
      <c r="Y429" s="12">
        <f>X429+($Z429-$X429)/($Z$423-$X$423)</f>
        <v>3263369.4160369677</v>
      </c>
      <c r="Z429" s="12">
        <f>HLOOKUP(Z$423,$C$413:$N$416,4,FALSE)</f>
        <v>3296353.6748938709</v>
      </c>
      <c r="AA429" s="12">
        <f t="shared" si="13"/>
        <v>3172471.1478918917</v>
      </c>
      <c r="AB429" s="12">
        <f t="shared" si="13"/>
        <v>3048588.6208899124</v>
      </c>
      <c r="AC429" s="12">
        <f t="shared" si="13"/>
        <v>2924706.0938879331</v>
      </c>
      <c r="AD429" s="12">
        <f t="shared" si="13"/>
        <v>2800823.5668859538</v>
      </c>
      <c r="AE429" s="12">
        <f>HLOOKUP(AE$423,$C$413:$N$416,4,FALSE)</f>
        <v>2676941.0398839749</v>
      </c>
      <c r="AX429" s="3"/>
    </row>
    <row r="430" spans="1:50" s="2" customFormat="1" ht="12.75" x14ac:dyDescent="0.2">
      <c r="A430" s="1"/>
      <c r="B430" s="4"/>
      <c r="AX430" s="3"/>
    </row>
    <row r="431" spans="1:50" s="2" customFormat="1" ht="12.75" x14ac:dyDescent="0.2">
      <c r="A431" s="1"/>
      <c r="B431" s="4"/>
      <c r="AX431" s="3"/>
    </row>
    <row r="432" spans="1:50" s="2" customFormat="1" ht="12.75" x14ac:dyDescent="0.2">
      <c r="A432" s="1"/>
      <c r="B432" s="4"/>
      <c r="C432" s="1"/>
      <c r="D432" s="1"/>
      <c r="AX432" s="3"/>
    </row>
    <row r="433" spans="1:50" s="2" customFormat="1" ht="12.75" x14ac:dyDescent="0.2">
      <c r="A433" s="1"/>
      <c r="B433" s="4" t="s">
        <v>13</v>
      </c>
      <c r="C433" s="2">
        <v>1.1762034318944299</v>
      </c>
      <c r="AX433" s="3"/>
    </row>
    <row r="434" spans="1:50" s="2" customFormat="1" ht="12.75" x14ac:dyDescent="0.2">
      <c r="A434" s="1"/>
      <c r="B434" s="4"/>
      <c r="AX434" s="3"/>
    </row>
    <row r="435" spans="1:50" s="2" customFormat="1" ht="12.75" x14ac:dyDescent="0.2">
      <c r="A435" s="1"/>
      <c r="B435" s="4"/>
      <c r="AX435" s="3"/>
    </row>
    <row r="436" spans="1:50" s="2" customFormat="1" ht="12.75" x14ac:dyDescent="0.2">
      <c r="A436" s="1"/>
      <c r="B436" s="4" t="s">
        <v>14</v>
      </c>
      <c r="C436" s="16">
        <v>2022</v>
      </c>
      <c r="D436" s="16">
        <v>2023</v>
      </c>
      <c r="E436" s="16">
        <v>2024</v>
      </c>
      <c r="F436" s="16">
        <v>2025</v>
      </c>
      <c r="G436" s="16">
        <v>2026</v>
      </c>
      <c r="H436" s="16">
        <v>2027</v>
      </c>
      <c r="I436" s="16">
        <v>2028</v>
      </c>
      <c r="J436" s="16">
        <v>2029</v>
      </c>
      <c r="K436" s="16">
        <v>2030</v>
      </c>
      <c r="L436" s="16">
        <v>2031</v>
      </c>
      <c r="M436" s="16">
        <v>2032</v>
      </c>
      <c r="N436" s="16">
        <v>2033</v>
      </c>
      <c r="O436" s="16">
        <v>2034</v>
      </c>
      <c r="P436" s="16">
        <v>2035</v>
      </c>
      <c r="Q436" s="16">
        <v>2036</v>
      </c>
      <c r="R436" s="16">
        <v>2037</v>
      </c>
      <c r="S436" s="16">
        <v>2038</v>
      </c>
      <c r="T436" s="16">
        <v>2039</v>
      </c>
      <c r="U436" s="16">
        <v>2040</v>
      </c>
      <c r="V436" s="16">
        <v>2041</v>
      </c>
      <c r="W436" s="16">
        <v>2042</v>
      </c>
      <c r="X436" s="16">
        <v>2043</v>
      </c>
      <c r="Y436" s="16">
        <v>2044</v>
      </c>
      <c r="Z436" s="16">
        <v>2045</v>
      </c>
      <c r="AA436" s="16">
        <v>2046</v>
      </c>
      <c r="AB436" s="16">
        <v>2047</v>
      </c>
      <c r="AC436" s="16">
        <v>2048</v>
      </c>
      <c r="AD436" s="16">
        <v>2049</v>
      </c>
      <c r="AE436" s="16">
        <v>2050</v>
      </c>
      <c r="AX436" s="3"/>
    </row>
    <row r="437" spans="1:50" s="2" customFormat="1" ht="12.75" x14ac:dyDescent="0.2">
      <c r="A437" s="1"/>
      <c r="B437" s="17" t="s">
        <v>5</v>
      </c>
      <c r="C437" s="16">
        <f>C$424/$C$433*C425/10^6</f>
        <v>0</v>
      </c>
      <c r="D437" s="16">
        <f t="shared" ref="D437:AE441" si="14">D$424/$C$433*D425/10^6</f>
        <v>0</v>
      </c>
      <c r="E437" s="16">
        <f t="shared" si="14"/>
        <v>0</v>
      </c>
      <c r="F437" s="16">
        <f t="shared" si="14"/>
        <v>0</v>
      </c>
      <c r="G437" s="16">
        <f t="shared" si="14"/>
        <v>106.36911460743841</v>
      </c>
      <c r="H437" s="16">
        <f t="shared" si="14"/>
        <v>206.6945295212723</v>
      </c>
      <c r="I437" s="16">
        <f t="shared" si="14"/>
        <v>300.97624474150177</v>
      </c>
      <c r="J437" s="16">
        <f t="shared" si="14"/>
        <v>389.21426026812674</v>
      </c>
      <c r="K437" s="16">
        <f t="shared" si="14"/>
        <v>471.40857610114728</v>
      </c>
      <c r="L437" s="16">
        <f t="shared" si="14"/>
        <v>642.62204482928144</v>
      </c>
      <c r="M437" s="16">
        <f t="shared" si="14"/>
        <v>801.4962607122402</v>
      </c>
      <c r="N437" s="16">
        <f t="shared" si="14"/>
        <v>948.03122375002397</v>
      </c>
      <c r="O437" s="16">
        <f t="shared" si="14"/>
        <v>1076.0553359187368</v>
      </c>
      <c r="P437" s="16">
        <f t="shared" si="14"/>
        <v>1192.1939892146195</v>
      </c>
      <c r="Q437" s="16">
        <f t="shared" si="14"/>
        <v>1417.5650567038997</v>
      </c>
      <c r="R437" s="16">
        <f t="shared" si="14"/>
        <v>1621.4381357119189</v>
      </c>
      <c r="S437" s="16">
        <f t="shared" si="14"/>
        <v>1803.8132262386775</v>
      </c>
      <c r="T437" s="16">
        <f t="shared" si="14"/>
        <v>1969.0416503185229</v>
      </c>
      <c r="U437" s="16">
        <f t="shared" si="14"/>
        <v>2112.3800749230227</v>
      </c>
      <c r="V437" s="16">
        <f t="shared" si="14"/>
        <v>2196.266418041324</v>
      </c>
      <c r="W437" s="16">
        <f t="shared" si="14"/>
        <v>2261.9817797051564</v>
      </c>
      <c r="X437" s="16">
        <f t="shared" si="14"/>
        <v>2309.5261599145188</v>
      </c>
      <c r="Y437" s="16">
        <f t="shared" si="14"/>
        <v>2334.4474088725929</v>
      </c>
      <c r="Z437" s="16">
        <f t="shared" si="14"/>
        <v>2341.7153682130356</v>
      </c>
      <c r="AA437" s="16">
        <f t="shared" si="14"/>
        <v>2266.8614699478294</v>
      </c>
      <c r="AB437" s="16">
        <f t="shared" si="14"/>
        <v>2182.8369883792056</v>
      </c>
      <c r="AC437" s="16">
        <f t="shared" si="14"/>
        <v>2089.6419235071648</v>
      </c>
      <c r="AD437" s="16">
        <f t="shared" si="14"/>
        <v>1987.2762753317077</v>
      </c>
      <c r="AE437" s="16">
        <f t="shared" si="14"/>
        <v>1875.740043852833</v>
      </c>
      <c r="AX437" s="3"/>
    </row>
    <row r="438" spans="1:50" s="2" customFormat="1" ht="12.75" x14ac:dyDescent="0.2">
      <c r="A438" s="1"/>
      <c r="B438" s="17" t="s">
        <v>6</v>
      </c>
      <c r="C438" s="16">
        <f>C$424/$C$433*C426/10^6</f>
        <v>0</v>
      </c>
      <c r="D438" s="16">
        <f t="shared" si="14"/>
        <v>0</v>
      </c>
      <c r="E438" s="16">
        <f t="shared" si="14"/>
        <v>0</v>
      </c>
      <c r="F438" s="16">
        <f t="shared" si="14"/>
        <v>0</v>
      </c>
      <c r="G438" s="16">
        <f t="shared" si="14"/>
        <v>363.90910610132801</v>
      </c>
      <c r="H438" s="16">
        <f t="shared" si="14"/>
        <v>707.14155844689856</v>
      </c>
      <c r="I438" s="16">
        <f t="shared" si="14"/>
        <v>1029.697357036712</v>
      </c>
      <c r="J438" s="16">
        <f t="shared" si="14"/>
        <v>1331.5765018707677</v>
      </c>
      <c r="K438" s="16">
        <f t="shared" si="14"/>
        <v>1612.7789929490666</v>
      </c>
      <c r="L438" s="16">
        <f t="shared" si="14"/>
        <v>1921.8452415974139</v>
      </c>
      <c r="M438" s="16">
        <f t="shared" si="14"/>
        <v>2207.0202397134599</v>
      </c>
      <c r="N438" s="16">
        <f t="shared" si="14"/>
        <v>2468.3039872972063</v>
      </c>
      <c r="O438" s="16">
        <f t="shared" si="14"/>
        <v>2705.9349008125573</v>
      </c>
      <c r="P438" s="16">
        <f t="shared" si="14"/>
        <v>2919.6570331732614</v>
      </c>
      <c r="Q438" s="16">
        <f t="shared" si="14"/>
        <v>3007.8869076979581</v>
      </c>
      <c r="R438" s="16">
        <f t="shared" si="14"/>
        <v>3080.2701817570046</v>
      </c>
      <c r="S438" s="16">
        <f t="shared" si="14"/>
        <v>3136.8068553504017</v>
      </c>
      <c r="T438" s="16">
        <f t="shared" si="14"/>
        <v>3182.1809406255788</v>
      </c>
      <c r="U438" s="16">
        <f t="shared" si="14"/>
        <v>3211.2864423587612</v>
      </c>
      <c r="V438" s="16">
        <f t="shared" si="14"/>
        <v>3139.5592253612435</v>
      </c>
      <c r="W438" s="16">
        <f t="shared" si="14"/>
        <v>3059.9361114740786</v>
      </c>
      <c r="X438" s="16">
        <f t="shared" si="14"/>
        <v>2972.4171006972661</v>
      </c>
      <c r="Y438" s="16">
        <f t="shared" si="14"/>
        <v>2877.2369568260219</v>
      </c>
      <c r="Z438" s="16">
        <f t="shared" si="14"/>
        <v>2774.1336179494065</v>
      </c>
      <c r="AA438" s="16">
        <f t="shared" si="14"/>
        <v>2534.3477387090925</v>
      </c>
      <c r="AB438" s="16">
        <f t="shared" si="14"/>
        <v>2303.5806835895032</v>
      </c>
      <c r="AC438" s="16">
        <f t="shared" si="14"/>
        <v>2081.8324525906387</v>
      </c>
      <c r="AD438" s="16">
        <f t="shared" si="14"/>
        <v>1869.1030457125</v>
      </c>
      <c r="AE438" s="16">
        <f t="shared" si="14"/>
        <v>1665.3924629550861</v>
      </c>
      <c r="AX438" s="3"/>
    </row>
    <row r="439" spans="1:50" s="2" customFormat="1" ht="12.75" x14ac:dyDescent="0.2">
      <c r="A439" s="1"/>
      <c r="B439" s="17" t="s">
        <v>7</v>
      </c>
      <c r="C439" s="16">
        <f>C$424/$C$433*C427/10^6</f>
        <v>0</v>
      </c>
      <c r="D439" s="16">
        <f t="shared" si="14"/>
        <v>0</v>
      </c>
      <c r="E439" s="16">
        <f t="shared" si="14"/>
        <v>0</v>
      </c>
      <c r="F439" s="16">
        <f t="shared" si="14"/>
        <v>0</v>
      </c>
      <c r="G439" s="16">
        <f t="shared" si="14"/>
        <v>0</v>
      </c>
      <c r="H439" s="16">
        <f t="shared" si="14"/>
        <v>0</v>
      </c>
      <c r="I439" s="16">
        <f t="shared" si="14"/>
        <v>0</v>
      </c>
      <c r="J439" s="16">
        <f t="shared" si="14"/>
        <v>0</v>
      </c>
      <c r="K439" s="16">
        <f t="shared" si="14"/>
        <v>0</v>
      </c>
      <c r="L439" s="16">
        <f t="shared" si="14"/>
        <v>0</v>
      </c>
      <c r="M439" s="16">
        <f t="shared" si="14"/>
        <v>0</v>
      </c>
      <c r="N439" s="16">
        <f t="shared" si="14"/>
        <v>0</v>
      </c>
      <c r="O439" s="16">
        <f t="shared" si="14"/>
        <v>0</v>
      </c>
      <c r="P439" s="16">
        <f t="shared" si="14"/>
        <v>0</v>
      </c>
      <c r="Q439" s="16">
        <f t="shared" si="14"/>
        <v>76.517375786808557</v>
      </c>
      <c r="R439" s="16">
        <f t="shared" si="14"/>
        <v>146.96194397148946</v>
      </c>
      <c r="S439" s="16">
        <f t="shared" si="14"/>
        <v>211.3337045540427</v>
      </c>
      <c r="T439" s="16">
        <f t="shared" si="14"/>
        <v>269.63265753446825</v>
      </c>
      <c r="U439" s="16">
        <f t="shared" si="14"/>
        <v>321.85880291276612</v>
      </c>
      <c r="V439" s="16">
        <f t="shared" si="14"/>
        <v>429.34749747042576</v>
      </c>
      <c r="W439" s="16">
        <f t="shared" si="14"/>
        <v>524.69057682383004</v>
      </c>
      <c r="X439" s="16">
        <f t="shared" si="14"/>
        <v>607.88804097297907</v>
      </c>
      <c r="Y439" s="16">
        <f t="shared" si="14"/>
        <v>678.93988991787296</v>
      </c>
      <c r="Z439" s="16">
        <f t="shared" si="14"/>
        <v>737.84612365851126</v>
      </c>
      <c r="AA439" s="16">
        <f t="shared" si="14"/>
        <v>830.76007997106467</v>
      </c>
      <c r="AB439" s="16">
        <f t="shared" si="14"/>
        <v>905.45561347723481</v>
      </c>
      <c r="AC439" s="16">
        <f t="shared" si="14"/>
        <v>961.93272417702212</v>
      </c>
      <c r="AD439" s="16">
        <f t="shared" si="14"/>
        <v>1000.1914120704265</v>
      </c>
      <c r="AE439" s="16">
        <f t="shared" si="14"/>
        <v>1020.2316771574477</v>
      </c>
      <c r="AX439" s="3"/>
    </row>
    <row r="440" spans="1:50" s="2" customFormat="1" ht="12.75" x14ac:dyDescent="0.2">
      <c r="A440" s="1"/>
      <c r="B440" s="17" t="s">
        <v>8</v>
      </c>
      <c r="C440" s="16">
        <f>C$424/$C$433*C428/10^6</f>
        <v>0</v>
      </c>
      <c r="D440" s="16">
        <f t="shared" si="14"/>
        <v>0</v>
      </c>
      <c r="E440" s="16">
        <f t="shared" si="14"/>
        <v>0</v>
      </c>
      <c r="F440" s="16">
        <f t="shared" si="14"/>
        <v>0</v>
      </c>
      <c r="G440" s="16">
        <f t="shared" si="14"/>
        <v>0</v>
      </c>
      <c r="H440" s="16">
        <f t="shared" si="14"/>
        <v>0</v>
      </c>
      <c r="I440" s="16">
        <f t="shared" si="14"/>
        <v>0</v>
      </c>
      <c r="J440" s="16">
        <f t="shared" si="14"/>
        <v>0</v>
      </c>
      <c r="K440" s="16">
        <f t="shared" si="14"/>
        <v>0</v>
      </c>
      <c r="L440" s="16">
        <f t="shared" si="14"/>
        <v>134.63259399008558</v>
      </c>
      <c r="M440" s="16">
        <f t="shared" si="14"/>
        <v>260.34912215301313</v>
      </c>
      <c r="N440" s="16">
        <f t="shared" si="14"/>
        <v>377.14958448878275</v>
      </c>
      <c r="O440" s="16">
        <f t="shared" si="14"/>
        <v>491.20557902129019</v>
      </c>
      <c r="P440" s="16">
        <f t="shared" si="14"/>
        <v>595.89171375429441</v>
      </c>
      <c r="Q440" s="16">
        <f t="shared" si="14"/>
        <v>809.86354773133894</v>
      </c>
      <c r="R440" s="16">
        <f t="shared" si="14"/>
        <v>1005.0484140482815</v>
      </c>
      <c r="S440" s="16">
        <f t="shared" si="14"/>
        <v>1181.446312705122</v>
      </c>
      <c r="T440" s="16">
        <f t="shared" si="14"/>
        <v>1334.7059216675129</v>
      </c>
      <c r="U440" s="16">
        <f t="shared" si="14"/>
        <v>1469.5705739638872</v>
      </c>
      <c r="V440" s="16">
        <f t="shared" si="14"/>
        <v>1798.5133521385021</v>
      </c>
      <c r="W440" s="16">
        <f t="shared" si="14"/>
        <v>2088.0242347813323</v>
      </c>
      <c r="X440" s="16">
        <f t="shared" si="14"/>
        <v>2338.1032218923783</v>
      </c>
      <c r="Y440" s="16">
        <f t="shared" si="14"/>
        <v>2553.2024632684602</v>
      </c>
      <c r="Z440" s="16">
        <f t="shared" si="14"/>
        <v>2728.352117275917</v>
      </c>
      <c r="AA440" s="16">
        <f t="shared" si="14"/>
        <v>2711.9839226868485</v>
      </c>
      <c r="AB440" s="16">
        <f t="shared" si="14"/>
        <v>2675.6093329959849</v>
      </c>
      <c r="AC440" s="16">
        <f t="shared" si="14"/>
        <v>2619.2283482033263</v>
      </c>
      <c r="AD440" s="16">
        <f t="shared" si="14"/>
        <v>2542.8409683088726</v>
      </c>
      <c r="AE440" s="16">
        <f t="shared" si="14"/>
        <v>2446.4471933126233</v>
      </c>
      <c r="AX440" s="3"/>
    </row>
    <row r="441" spans="1:50" s="2" customFormat="1" ht="12.75" x14ac:dyDescent="0.2">
      <c r="A441" s="1"/>
      <c r="B441" s="17" t="s">
        <v>9</v>
      </c>
      <c r="C441" s="16">
        <f>C$424/$C$433*C429/10^6</f>
        <v>0</v>
      </c>
      <c r="D441" s="16">
        <f t="shared" si="14"/>
        <v>0</v>
      </c>
      <c r="E441" s="16">
        <f t="shared" si="14"/>
        <v>0</v>
      </c>
      <c r="F441" s="16">
        <f t="shared" si="14"/>
        <v>0</v>
      </c>
      <c r="G441" s="16">
        <f t="shared" si="14"/>
        <v>0</v>
      </c>
      <c r="H441" s="16">
        <f t="shared" si="14"/>
        <v>0</v>
      </c>
      <c r="I441" s="16">
        <f t="shared" si="14"/>
        <v>0</v>
      </c>
      <c r="J441" s="16">
        <f t="shared" si="14"/>
        <v>0</v>
      </c>
      <c r="K441" s="16">
        <f t="shared" si="14"/>
        <v>0</v>
      </c>
      <c r="L441" s="16">
        <f t="shared" si="14"/>
        <v>61.051902826262875</v>
      </c>
      <c r="M441" s="16">
        <f t="shared" si="14"/>
        <v>118.06063327992555</v>
      </c>
      <c r="N441" s="16">
        <f t="shared" si="14"/>
        <v>171.02619136098804</v>
      </c>
      <c r="O441" s="16">
        <f t="shared" si="14"/>
        <v>219.71016060554504</v>
      </c>
      <c r="P441" s="16">
        <f t="shared" si="14"/>
        <v>264.36848809984775</v>
      </c>
      <c r="Q441" s="16">
        <f t="shared" si="14"/>
        <v>444.95187940053597</v>
      </c>
      <c r="R441" s="16">
        <f t="shared" si="14"/>
        <v>610.40243009726851</v>
      </c>
      <c r="S441" s="16">
        <f t="shared" si="14"/>
        <v>760.72014019004507</v>
      </c>
      <c r="T441" s="16">
        <f t="shared" si="14"/>
        <v>891.22099753143573</v>
      </c>
      <c r="U441" s="16">
        <f t="shared" si="14"/>
        <v>1007.0109973452155</v>
      </c>
      <c r="V441" s="16">
        <f t="shared" si="14"/>
        <v>969.90169599712272</v>
      </c>
      <c r="W441" s="16">
        <f t="shared" si="14"/>
        <v>931.76356124362337</v>
      </c>
      <c r="X441" s="16">
        <f t="shared" si="14"/>
        <v>892.59659308471748</v>
      </c>
      <c r="Y441" s="16">
        <f t="shared" si="14"/>
        <v>852.16602772518922</v>
      </c>
      <c r="Z441" s="16">
        <f t="shared" si="14"/>
        <v>810.73392707597702</v>
      </c>
      <c r="AA441" s="16">
        <f t="shared" si="14"/>
        <v>732.10066236904538</v>
      </c>
      <c r="AB441" s="16">
        <f t="shared" si="14"/>
        <v>657.22897142085549</v>
      </c>
      <c r="AC441" s="16">
        <f t="shared" si="14"/>
        <v>586.11885423140768</v>
      </c>
      <c r="AD441" s="16">
        <f t="shared" si="14"/>
        <v>518.77031080070196</v>
      </c>
      <c r="AE441" s="16">
        <f t="shared" si="14"/>
        <v>455.18334112873828</v>
      </c>
      <c r="AX441" s="3"/>
    </row>
    <row r="442" spans="1:50" s="2" customFormat="1" ht="12.75" x14ac:dyDescent="0.2">
      <c r="A442" s="1"/>
      <c r="B442" s="4"/>
      <c r="AX442" s="3"/>
    </row>
    <row r="443" spans="1:50" s="2" customFormat="1" ht="12.75" x14ac:dyDescent="0.2">
      <c r="A443" s="1"/>
      <c r="AX443" s="3"/>
    </row>
    <row r="444" spans="1:50" s="2" customFormat="1" ht="12.75" x14ac:dyDescent="0.2">
      <c r="A444" s="1"/>
      <c r="B444" s="2" t="s">
        <v>15</v>
      </c>
      <c r="C444" s="2">
        <v>15</v>
      </c>
      <c r="AX444" s="3"/>
    </row>
    <row r="445" spans="1:50" s="2" customFormat="1" ht="12.75" x14ac:dyDescent="0.2">
      <c r="A445" s="1"/>
      <c r="AX445" s="3"/>
    </row>
    <row r="446" spans="1:50" s="2" customFormat="1" ht="12.75" x14ac:dyDescent="0.2">
      <c r="A446" s="1"/>
      <c r="B446" s="2" t="s">
        <v>16</v>
      </c>
      <c r="C446" s="16">
        <v>2022</v>
      </c>
      <c r="D446" s="16">
        <v>2023</v>
      </c>
      <c r="E446" s="16">
        <v>2024</v>
      </c>
      <c r="F446" s="16">
        <v>2025</v>
      </c>
      <c r="G446" s="16">
        <v>2026</v>
      </c>
      <c r="H446" s="16">
        <v>2027</v>
      </c>
      <c r="I446" s="16">
        <v>2028</v>
      </c>
      <c r="J446" s="16">
        <v>2029</v>
      </c>
      <c r="K446" s="16">
        <v>2030</v>
      </c>
      <c r="L446" s="16">
        <v>2031</v>
      </c>
      <c r="M446" s="16">
        <v>2032</v>
      </c>
      <c r="N446" s="16">
        <v>2033</v>
      </c>
      <c r="O446" s="16">
        <v>2034</v>
      </c>
      <c r="P446" s="16">
        <v>2035</v>
      </c>
      <c r="Q446" s="16">
        <v>2036</v>
      </c>
      <c r="R446" s="16">
        <v>2037</v>
      </c>
      <c r="S446" s="16">
        <v>2038</v>
      </c>
      <c r="T446" s="16">
        <v>2039</v>
      </c>
      <c r="U446" s="16">
        <v>2040</v>
      </c>
      <c r="V446" s="16">
        <v>2041</v>
      </c>
      <c r="W446" s="16">
        <v>2042</v>
      </c>
      <c r="X446" s="16">
        <v>2043</v>
      </c>
      <c r="Y446" s="16">
        <v>2044</v>
      </c>
      <c r="Z446" s="16">
        <v>2045</v>
      </c>
      <c r="AA446" s="16">
        <v>2046</v>
      </c>
      <c r="AB446" s="16">
        <v>2047</v>
      </c>
      <c r="AC446" s="16">
        <v>2048</v>
      </c>
      <c r="AD446" s="16">
        <v>2049</v>
      </c>
      <c r="AE446" s="16">
        <v>2050</v>
      </c>
      <c r="AX446" s="3"/>
    </row>
    <row r="447" spans="1:50" s="2" customFormat="1" ht="12.75" x14ac:dyDescent="0.2">
      <c r="A447" s="1"/>
      <c r="B447" s="17" t="s">
        <v>5</v>
      </c>
      <c r="C447" s="12"/>
      <c r="D447" s="12">
        <f>D437-(1-1/$C$444)*C437</f>
        <v>0</v>
      </c>
      <c r="E447" s="12">
        <f t="shared" ref="E447:AE451" si="15">E437-(1-1/$C$444)*D437</f>
        <v>0</v>
      </c>
      <c r="F447" s="12">
        <f t="shared" si="15"/>
        <v>0</v>
      </c>
      <c r="G447" s="12">
        <f t="shared" si="15"/>
        <v>106.36911460743841</v>
      </c>
      <c r="H447" s="12">
        <f t="shared" si="15"/>
        <v>107.41668922099646</v>
      </c>
      <c r="I447" s="12">
        <f t="shared" si="15"/>
        <v>108.06135052164763</v>
      </c>
      <c r="J447" s="12">
        <f t="shared" si="15"/>
        <v>108.30309850939176</v>
      </c>
      <c r="K447" s="12">
        <f t="shared" si="15"/>
        <v>108.141933184229</v>
      </c>
      <c r="L447" s="12">
        <f t="shared" si="15"/>
        <v>202.64070713487729</v>
      </c>
      <c r="M447" s="12">
        <f t="shared" si="15"/>
        <v>201.7156855382442</v>
      </c>
      <c r="N447" s="12">
        <f t="shared" si="15"/>
        <v>199.96804708526645</v>
      </c>
      <c r="O447" s="12">
        <f t="shared" si="15"/>
        <v>191.22619375204772</v>
      </c>
      <c r="P447" s="12">
        <f t="shared" si="15"/>
        <v>187.87567569046519</v>
      </c>
      <c r="Q447" s="12">
        <f t="shared" si="15"/>
        <v>304.85066677025475</v>
      </c>
      <c r="R447" s="12">
        <f t="shared" si="15"/>
        <v>298.37741612161244</v>
      </c>
      <c r="S447" s="12">
        <f t="shared" si="15"/>
        <v>290.47096624088658</v>
      </c>
      <c r="T447" s="12">
        <f t="shared" si="15"/>
        <v>285.48263916242377</v>
      </c>
      <c r="U447" s="12">
        <f t="shared" si="15"/>
        <v>274.60786795906802</v>
      </c>
      <c r="V447" s="12">
        <f t="shared" si="15"/>
        <v>224.71168144650278</v>
      </c>
      <c r="W447" s="12">
        <f t="shared" si="15"/>
        <v>212.1331228665872</v>
      </c>
      <c r="X447" s="12">
        <f t="shared" si="15"/>
        <v>198.34316552303926</v>
      </c>
      <c r="Y447" s="12">
        <f t="shared" si="15"/>
        <v>178.88965961904205</v>
      </c>
      <c r="Z447" s="12">
        <f t="shared" si="15"/>
        <v>162.89778659861577</v>
      </c>
      <c r="AA447" s="12">
        <f t="shared" si="15"/>
        <v>81.260459615662967</v>
      </c>
      <c r="AB447" s="12">
        <f t="shared" si="15"/>
        <v>67.099616427898127</v>
      </c>
      <c r="AC447" s="12">
        <f t="shared" si="15"/>
        <v>52.327401019906119</v>
      </c>
      <c r="AD447" s="12">
        <f t="shared" si="15"/>
        <v>36.943813391687172</v>
      </c>
      <c r="AE447" s="12">
        <f t="shared" si="15"/>
        <v>20.948853543239011</v>
      </c>
      <c r="AX447" s="3"/>
    </row>
    <row r="448" spans="1:50" s="2" customFormat="1" ht="12.75" x14ac:dyDescent="0.2">
      <c r="A448" s="1"/>
      <c r="B448" s="17" t="s">
        <v>6</v>
      </c>
      <c r="C448" s="12"/>
      <c r="D448" s="12">
        <f>D438-(1-1/$C$444)*C438</f>
        <v>0</v>
      </c>
      <c r="E448" s="12">
        <f t="shared" si="15"/>
        <v>0</v>
      </c>
      <c r="F448" s="12">
        <f t="shared" si="15"/>
        <v>0</v>
      </c>
      <c r="G448" s="12">
        <f t="shared" si="15"/>
        <v>363.90910610132801</v>
      </c>
      <c r="H448" s="12">
        <f t="shared" si="15"/>
        <v>367.4930594189924</v>
      </c>
      <c r="I448" s="12">
        <f t="shared" si="15"/>
        <v>369.69856915293997</v>
      </c>
      <c r="J448" s="12">
        <f t="shared" si="15"/>
        <v>370.52563530316991</v>
      </c>
      <c r="K448" s="12">
        <f t="shared" si="15"/>
        <v>369.97425786968347</v>
      </c>
      <c r="L448" s="12">
        <f t="shared" si="15"/>
        <v>416.58484817828503</v>
      </c>
      <c r="M448" s="12">
        <f t="shared" si="15"/>
        <v>413.29801422254036</v>
      </c>
      <c r="N448" s="12">
        <f t="shared" si="15"/>
        <v>408.41843023131014</v>
      </c>
      <c r="O448" s="12">
        <f t="shared" si="15"/>
        <v>402.18451266849797</v>
      </c>
      <c r="P448" s="12">
        <f t="shared" si="15"/>
        <v>394.11779241487466</v>
      </c>
      <c r="Q448" s="12">
        <f t="shared" si="15"/>
        <v>282.87367673624749</v>
      </c>
      <c r="R448" s="12">
        <f t="shared" si="15"/>
        <v>272.9090679055771</v>
      </c>
      <c r="S448" s="12">
        <f t="shared" si="15"/>
        <v>261.88801904386401</v>
      </c>
      <c r="T448" s="12">
        <f t="shared" si="15"/>
        <v>254.494542298537</v>
      </c>
      <c r="U448" s="12">
        <f t="shared" si="15"/>
        <v>241.25089777488756</v>
      </c>
      <c r="V448" s="12">
        <f t="shared" si="15"/>
        <v>142.35854582639968</v>
      </c>
      <c r="W448" s="12">
        <f t="shared" si="15"/>
        <v>129.68083447025128</v>
      </c>
      <c r="X448" s="12">
        <f t="shared" si="15"/>
        <v>116.47672998812595</v>
      </c>
      <c r="Y448" s="12">
        <f t="shared" si="15"/>
        <v>102.98099617524031</v>
      </c>
      <c r="Z448" s="12">
        <f t="shared" si="15"/>
        <v>88.712458245119251</v>
      </c>
      <c r="AA448" s="12">
        <f t="shared" si="15"/>
        <v>-54.843638043686951</v>
      </c>
      <c r="AB448" s="12">
        <f t="shared" si="15"/>
        <v>-61.810539205650002</v>
      </c>
      <c r="AC448" s="12">
        <f t="shared" si="15"/>
        <v>-68.176185426230859</v>
      </c>
      <c r="AD448" s="12">
        <f t="shared" si="15"/>
        <v>-73.940576705429521</v>
      </c>
      <c r="AE448" s="12">
        <f t="shared" si="15"/>
        <v>-79.103713043247353</v>
      </c>
      <c r="AX448" s="3"/>
    </row>
    <row r="449" spans="1:50" s="2" customFormat="1" ht="12.75" x14ac:dyDescent="0.2">
      <c r="A449" s="1"/>
      <c r="B449" s="17" t="s">
        <v>7</v>
      </c>
      <c r="C449" s="12"/>
      <c r="D449" s="12">
        <f>D439-(1-1/$C$444)*C439</f>
        <v>0</v>
      </c>
      <c r="E449" s="12">
        <f t="shared" si="15"/>
        <v>0</v>
      </c>
      <c r="F449" s="12">
        <f t="shared" si="15"/>
        <v>0</v>
      </c>
      <c r="G449" s="12">
        <f t="shared" si="15"/>
        <v>0</v>
      </c>
      <c r="H449" s="12">
        <f t="shared" si="15"/>
        <v>0</v>
      </c>
      <c r="I449" s="12">
        <f t="shared" si="15"/>
        <v>0</v>
      </c>
      <c r="J449" s="12">
        <f t="shared" si="15"/>
        <v>0</v>
      </c>
      <c r="K449" s="12">
        <f t="shared" si="15"/>
        <v>0</v>
      </c>
      <c r="L449" s="12">
        <f t="shared" si="15"/>
        <v>0</v>
      </c>
      <c r="M449" s="12">
        <f t="shared" si="15"/>
        <v>0</v>
      </c>
      <c r="N449" s="12">
        <f t="shared" si="15"/>
        <v>0</v>
      </c>
      <c r="O449" s="12">
        <f t="shared" si="15"/>
        <v>0</v>
      </c>
      <c r="P449" s="12">
        <f t="shared" si="15"/>
        <v>0</v>
      </c>
      <c r="Q449" s="12">
        <f t="shared" si="15"/>
        <v>76.517375786808557</v>
      </c>
      <c r="R449" s="12">
        <f t="shared" si="15"/>
        <v>75.545726570468133</v>
      </c>
      <c r="S449" s="12">
        <f t="shared" si="15"/>
        <v>74.169223513985855</v>
      </c>
      <c r="T449" s="12">
        <f t="shared" si="15"/>
        <v>72.387866617361738</v>
      </c>
      <c r="U449" s="12">
        <f t="shared" si="15"/>
        <v>70.201655880595752</v>
      </c>
      <c r="V449" s="12">
        <f t="shared" si="15"/>
        <v>128.94594808517741</v>
      </c>
      <c r="W449" s="12">
        <f t="shared" si="15"/>
        <v>123.96624585143263</v>
      </c>
      <c r="X449" s="12">
        <f t="shared" si="15"/>
        <v>118.17683593740435</v>
      </c>
      <c r="Y449" s="12">
        <f t="shared" si="15"/>
        <v>111.57771834309244</v>
      </c>
      <c r="Z449" s="12">
        <f t="shared" si="15"/>
        <v>104.16889306849646</v>
      </c>
      <c r="AA449" s="12">
        <f t="shared" si="15"/>
        <v>142.10369788978744</v>
      </c>
      <c r="AB449" s="12">
        <f t="shared" si="15"/>
        <v>130.07953883757443</v>
      </c>
      <c r="AC449" s="12">
        <f t="shared" si="15"/>
        <v>116.84081826493627</v>
      </c>
      <c r="AD449" s="12">
        <f t="shared" si="15"/>
        <v>102.38753617187251</v>
      </c>
      <c r="AE449" s="12">
        <f t="shared" si="15"/>
        <v>86.719692558383031</v>
      </c>
      <c r="AX449" s="3"/>
    </row>
    <row r="450" spans="1:50" s="2" customFormat="1" ht="12.75" x14ac:dyDescent="0.2">
      <c r="A450" s="1"/>
      <c r="B450" s="17" t="s">
        <v>8</v>
      </c>
      <c r="C450" s="12"/>
      <c r="D450" s="12">
        <f>D440-(1-1/$C$444)*C440</f>
        <v>0</v>
      </c>
      <c r="E450" s="12">
        <f t="shared" si="15"/>
        <v>0</v>
      </c>
      <c r="F450" s="12">
        <f t="shared" si="15"/>
        <v>0</v>
      </c>
      <c r="G450" s="12">
        <f t="shared" si="15"/>
        <v>0</v>
      </c>
      <c r="H450" s="12">
        <f t="shared" si="15"/>
        <v>0</v>
      </c>
      <c r="I450" s="12">
        <f t="shared" si="15"/>
        <v>0</v>
      </c>
      <c r="J450" s="12">
        <f t="shared" si="15"/>
        <v>0</v>
      </c>
      <c r="K450" s="12">
        <f t="shared" si="15"/>
        <v>0</v>
      </c>
      <c r="L450" s="12">
        <f t="shared" si="15"/>
        <v>134.63259399008558</v>
      </c>
      <c r="M450" s="12">
        <f t="shared" si="15"/>
        <v>134.69203442893325</v>
      </c>
      <c r="N450" s="12">
        <f t="shared" si="15"/>
        <v>134.15707047930383</v>
      </c>
      <c r="O450" s="12">
        <f t="shared" si="15"/>
        <v>139.19930016509295</v>
      </c>
      <c r="P450" s="12">
        <f t="shared" si="15"/>
        <v>137.43317333442354</v>
      </c>
      <c r="Q450" s="12">
        <f t="shared" si="15"/>
        <v>253.69794822733081</v>
      </c>
      <c r="R450" s="12">
        <f t="shared" si="15"/>
        <v>249.17576949903184</v>
      </c>
      <c r="S450" s="12">
        <f t="shared" si="15"/>
        <v>243.40112626005919</v>
      </c>
      <c r="T450" s="12">
        <f t="shared" si="15"/>
        <v>232.02269647606568</v>
      </c>
      <c r="U450" s="12">
        <f t="shared" si="15"/>
        <v>223.84504707420842</v>
      </c>
      <c r="V450" s="12">
        <f t="shared" si="15"/>
        <v>426.91414977220734</v>
      </c>
      <c r="W450" s="12">
        <f t="shared" si="15"/>
        <v>409.41177278539703</v>
      </c>
      <c r="X450" s="12">
        <f t="shared" si="15"/>
        <v>389.28060276313477</v>
      </c>
      <c r="Y450" s="12">
        <f t="shared" si="15"/>
        <v>370.97278950224018</v>
      </c>
      <c r="Z450" s="12">
        <f t="shared" si="15"/>
        <v>345.3631515586876</v>
      </c>
      <c r="AA450" s="12">
        <f t="shared" si="15"/>
        <v>165.5219465626592</v>
      </c>
      <c r="AB450" s="12">
        <f t="shared" si="15"/>
        <v>144.42433848825976</v>
      </c>
      <c r="AC450" s="12">
        <f t="shared" si="15"/>
        <v>121.99297074040715</v>
      </c>
      <c r="AD450" s="12">
        <f t="shared" si="15"/>
        <v>98.227843319101339</v>
      </c>
      <c r="AE450" s="12">
        <f t="shared" si="15"/>
        <v>73.128956224342346</v>
      </c>
      <c r="AX450" s="3"/>
    </row>
    <row r="451" spans="1:50" s="2" customFormat="1" ht="12.75" x14ac:dyDescent="0.2">
      <c r="A451" s="1"/>
      <c r="B451" s="17" t="s">
        <v>9</v>
      </c>
      <c r="C451" s="12"/>
      <c r="D451" s="12">
        <f>D441-(1-1/$C$444)*C441</f>
        <v>0</v>
      </c>
      <c r="E451" s="12">
        <f t="shared" si="15"/>
        <v>0</v>
      </c>
      <c r="F451" s="12">
        <f t="shared" si="15"/>
        <v>0</v>
      </c>
      <c r="G451" s="12">
        <f t="shared" si="15"/>
        <v>0</v>
      </c>
      <c r="H451" s="12">
        <f t="shared" si="15"/>
        <v>0</v>
      </c>
      <c r="I451" s="12">
        <f t="shared" si="15"/>
        <v>0</v>
      </c>
      <c r="J451" s="12">
        <f t="shared" si="15"/>
        <v>0</v>
      </c>
      <c r="K451" s="12">
        <f t="shared" si="15"/>
        <v>0</v>
      </c>
      <c r="L451" s="12">
        <f t="shared" si="15"/>
        <v>61.051902826262875</v>
      </c>
      <c r="M451" s="12">
        <f t="shared" si="15"/>
        <v>61.078857308746869</v>
      </c>
      <c r="N451" s="12">
        <f t="shared" si="15"/>
        <v>60.836266966390852</v>
      </c>
      <c r="O451" s="12">
        <f t="shared" si="15"/>
        <v>60.085715335289535</v>
      </c>
      <c r="P451" s="12">
        <f t="shared" si="15"/>
        <v>59.305671534672371</v>
      </c>
      <c r="Q451" s="12">
        <f t="shared" si="15"/>
        <v>198.2079571740114</v>
      </c>
      <c r="R451" s="12">
        <f t="shared" si="15"/>
        <v>195.11400932343491</v>
      </c>
      <c r="S451" s="12">
        <f t="shared" si="15"/>
        <v>191.01120543259447</v>
      </c>
      <c r="T451" s="12">
        <f t="shared" si="15"/>
        <v>181.21553335406031</v>
      </c>
      <c r="U451" s="12">
        <f t="shared" si="15"/>
        <v>175.20473298254217</v>
      </c>
      <c r="V451" s="12">
        <f t="shared" si="15"/>
        <v>30.024765141588205</v>
      </c>
      <c r="W451" s="12">
        <f t="shared" si="15"/>
        <v>26.521978312975534</v>
      </c>
      <c r="X451" s="12">
        <f t="shared" si="15"/>
        <v>22.95060259066895</v>
      </c>
      <c r="Y451" s="12">
        <f t="shared" si="15"/>
        <v>19.075874179452853</v>
      </c>
      <c r="Z451" s="12">
        <f t="shared" si="15"/>
        <v>15.378967865800405</v>
      </c>
      <c r="AA451" s="12">
        <f t="shared" si="15"/>
        <v>-24.584336235199885</v>
      </c>
      <c r="AB451" s="12">
        <f t="shared" si="15"/>
        <v>-26.064980123586906</v>
      </c>
      <c r="AC451" s="12">
        <f t="shared" si="15"/>
        <v>-27.294852428057425</v>
      </c>
      <c r="AD451" s="12">
        <f t="shared" si="15"/>
        <v>-28.273953148611895</v>
      </c>
      <c r="AE451" s="12">
        <f t="shared" si="15"/>
        <v>-29.002282285250203</v>
      </c>
      <c r="AX451" s="3"/>
    </row>
    <row r="452" spans="1:50" s="2" customFormat="1" ht="12.75" x14ac:dyDescent="0.2">
      <c r="A452" s="1"/>
      <c r="AX452" s="3"/>
    </row>
    <row r="453" spans="1:50" s="2" customFormat="1" ht="12.75" x14ac:dyDescent="0.2">
      <c r="A453" s="1"/>
      <c r="AX453" s="3"/>
    </row>
    <row r="454" spans="1:50" s="2" customFormat="1" ht="12.75" x14ac:dyDescent="0.2">
      <c r="A454" s="1"/>
      <c r="C454" s="19">
        <v>2022</v>
      </c>
      <c r="D454" s="19">
        <v>2023</v>
      </c>
      <c r="E454" s="19">
        <v>2024</v>
      </c>
      <c r="F454" s="19">
        <v>2025</v>
      </c>
      <c r="G454" s="19">
        <v>2026</v>
      </c>
      <c r="H454" s="19">
        <v>2027</v>
      </c>
      <c r="I454" s="19">
        <v>2028</v>
      </c>
      <c r="J454" s="19">
        <v>2029</v>
      </c>
      <c r="K454" s="19">
        <v>2030</v>
      </c>
      <c r="L454" s="19">
        <v>2031</v>
      </c>
      <c r="M454" s="19">
        <v>2032</v>
      </c>
      <c r="N454" s="19">
        <v>2033</v>
      </c>
      <c r="O454" s="19">
        <v>2034</v>
      </c>
      <c r="P454" s="19">
        <v>2035</v>
      </c>
      <c r="Q454" s="19">
        <v>2036</v>
      </c>
      <c r="R454" s="19">
        <v>2037</v>
      </c>
      <c r="S454" s="19">
        <v>2038</v>
      </c>
      <c r="T454" s="19">
        <v>2039</v>
      </c>
      <c r="U454" s="19">
        <v>2040</v>
      </c>
      <c r="V454" s="19">
        <v>2041</v>
      </c>
      <c r="W454" s="19">
        <v>2042</v>
      </c>
      <c r="X454" s="19">
        <v>2043</v>
      </c>
      <c r="Y454" s="19">
        <v>2044</v>
      </c>
      <c r="Z454" s="19">
        <v>2045</v>
      </c>
      <c r="AA454" s="19">
        <v>2046</v>
      </c>
      <c r="AB454" s="19">
        <v>2047</v>
      </c>
      <c r="AC454" s="19">
        <v>2048</v>
      </c>
      <c r="AD454" s="19">
        <v>2049</v>
      </c>
      <c r="AE454" s="19">
        <v>2050</v>
      </c>
      <c r="AX454" s="3"/>
    </row>
    <row r="455" spans="1:50" s="2" customFormat="1" ht="12.75" x14ac:dyDescent="0.2">
      <c r="A455" s="1"/>
      <c r="B455" s="16" t="s">
        <v>17</v>
      </c>
      <c r="C455" s="16">
        <v>19.623433890000001</v>
      </c>
      <c r="D455" s="16">
        <v>19.814710519999998</v>
      </c>
      <c r="E455" s="16">
        <v>20.471628580000001</v>
      </c>
      <c r="F455" s="16">
        <v>21.158979599999999</v>
      </c>
      <c r="G455" s="16">
        <v>21.79502716</v>
      </c>
      <c r="H455" s="16">
        <v>22.342057960000002</v>
      </c>
      <c r="I455" s="16">
        <v>22.886195699999998</v>
      </c>
      <c r="J455" s="16">
        <v>23.409805550000002</v>
      </c>
      <c r="K455" s="16">
        <v>23.947553599999999</v>
      </c>
      <c r="L455" s="16">
        <v>24.32831384</v>
      </c>
      <c r="M455" s="16">
        <v>24.655090600000001</v>
      </c>
      <c r="N455" s="16">
        <v>25.005442169999998</v>
      </c>
      <c r="O455" s="16">
        <v>25.35249653</v>
      </c>
      <c r="P455" s="16">
        <v>25.656073200000002</v>
      </c>
      <c r="Q455" s="16">
        <v>26.011886149999999</v>
      </c>
      <c r="R455" s="16">
        <v>26.335837909999999</v>
      </c>
      <c r="S455" s="16">
        <v>26.68807863</v>
      </c>
      <c r="T455" s="16">
        <v>27.02740184</v>
      </c>
      <c r="U455" s="16">
        <v>27.34482212</v>
      </c>
      <c r="V455" s="16">
        <v>27.92644125</v>
      </c>
      <c r="W455" s="16">
        <v>28.506358890000001</v>
      </c>
      <c r="X455" s="16">
        <v>29.072774410000001</v>
      </c>
      <c r="Y455" s="16">
        <v>29.628913019999999</v>
      </c>
      <c r="Z455" s="16">
        <v>30.16905049</v>
      </c>
      <c r="AA455" s="16">
        <v>30.588795770000001</v>
      </c>
      <c r="AB455" s="16">
        <v>31.002894309999999</v>
      </c>
      <c r="AC455" s="16">
        <v>31.40752973</v>
      </c>
      <c r="AD455" s="16">
        <v>31.80070152</v>
      </c>
      <c r="AE455" s="16">
        <v>32.197299960000002</v>
      </c>
      <c r="AX455" s="3"/>
    </row>
    <row r="456" spans="1:50" s="2" customFormat="1" ht="12.75" x14ac:dyDescent="0.2">
      <c r="A456" s="1"/>
      <c r="B456" s="12" t="s">
        <v>18</v>
      </c>
      <c r="C456" s="16">
        <v>42379.428090000001</v>
      </c>
      <c r="D456" s="16">
        <v>41812.800750000002</v>
      </c>
      <c r="E456" s="16">
        <v>40896.04608</v>
      </c>
      <c r="F456" s="16">
        <v>39794.046679999999</v>
      </c>
      <c r="G456" s="16">
        <v>39153.152849999999</v>
      </c>
      <c r="H456" s="16">
        <v>38510.116190000001</v>
      </c>
      <c r="I456" s="16">
        <v>37974.318749999999</v>
      </c>
      <c r="J456" s="16">
        <v>37579.675380000001</v>
      </c>
      <c r="K456" s="16">
        <v>37265.32993</v>
      </c>
      <c r="L456" s="16">
        <v>36743.000690000001</v>
      </c>
      <c r="M456" s="16">
        <v>36224.587639999998</v>
      </c>
      <c r="N456" s="16">
        <v>35746.268600000003</v>
      </c>
      <c r="O456" s="16">
        <v>35273.684070000003</v>
      </c>
      <c r="P456" s="16">
        <v>34799.679629999999</v>
      </c>
      <c r="Q456" s="16">
        <v>34299.72795</v>
      </c>
      <c r="R456" s="16">
        <v>33773.067759999998</v>
      </c>
      <c r="S456" s="16">
        <v>33251.956919999997</v>
      </c>
      <c r="T456" s="16">
        <v>32718.940030000002</v>
      </c>
      <c r="U456" s="16">
        <v>32166.000960000001</v>
      </c>
      <c r="V456" s="16">
        <v>31652.009880000001</v>
      </c>
      <c r="W456" s="16">
        <v>31145.687709999998</v>
      </c>
      <c r="X456" s="16">
        <v>30629.809399999998</v>
      </c>
      <c r="Y456" s="16">
        <v>30099.7029</v>
      </c>
      <c r="Z456" s="16">
        <v>29543.188829999999</v>
      </c>
      <c r="AA456" s="16">
        <v>28953.594440000001</v>
      </c>
      <c r="AB456" s="16">
        <v>28343.064740000002</v>
      </c>
      <c r="AC456" s="16">
        <v>27712.05287</v>
      </c>
      <c r="AD456" s="16">
        <v>27571.334999999999</v>
      </c>
      <c r="AE456" s="16">
        <v>27534.42483</v>
      </c>
      <c r="AX456" s="3"/>
    </row>
    <row r="457" spans="1:50" s="2" customFormat="1" ht="12.75" x14ac:dyDescent="0.2">
      <c r="A457" s="1"/>
      <c r="B457" s="12" t="s">
        <v>19</v>
      </c>
      <c r="C457" s="16">
        <v>353.91673120000002</v>
      </c>
      <c r="D457" s="16">
        <v>348.74432890000003</v>
      </c>
      <c r="E457" s="16">
        <v>340.71587979999998</v>
      </c>
      <c r="F457" s="16">
        <v>331.0805967</v>
      </c>
      <c r="G457" s="16">
        <v>325.40441929999997</v>
      </c>
      <c r="H457" s="16">
        <v>319.71610900000002</v>
      </c>
      <c r="I457" s="16">
        <v>314.90262560000002</v>
      </c>
      <c r="J457" s="16">
        <v>311.26592369999997</v>
      </c>
      <c r="K457" s="16">
        <v>308.28927659999999</v>
      </c>
      <c r="L457" s="16">
        <v>303.69322299999999</v>
      </c>
      <c r="M457" s="16">
        <v>299.20013979999999</v>
      </c>
      <c r="N457" s="16">
        <v>295.00846780000001</v>
      </c>
      <c r="O457" s="16">
        <v>290.85429060000001</v>
      </c>
      <c r="P457" s="16">
        <v>286.75567230000001</v>
      </c>
      <c r="Q457" s="16">
        <v>282.30456770000001</v>
      </c>
      <c r="R457" s="16">
        <v>277.65506349999998</v>
      </c>
      <c r="S457" s="16">
        <v>273.06605589999998</v>
      </c>
      <c r="T457" s="16">
        <v>268.38464279999999</v>
      </c>
      <c r="U457" s="16">
        <v>263.5434942</v>
      </c>
      <c r="V457" s="16">
        <v>258.98835960000002</v>
      </c>
      <c r="W457" s="16">
        <v>254.47696590000001</v>
      </c>
      <c r="X457" s="16">
        <v>249.8779437</v>
      </c>
      <c r="Y457" s="16">
        <v>245.16838659999999</v>
      </c>
      <c r="Z457" s="16">
        <v>240.24495279999999</v>
      </c>
      <c r="AA457" s="16">
        <v>235.10326140000001</v>
      </c>
      <c r="AB457" s="16">
        <v>229.7941175</v>
      </c>
      <c r="AC457" s="16">
        <v>224.3209397</v>
      </c>
      <c r="AD457" s="16">
        <v>222.9313817</v>
      </c>
      <c r="AE457" s="16">
        <v>222.40249779999999</v>
      </c>
      <c r="AX457" s="3"/>
    </row>
    <row r="458" spans="1:50" s="2" customFormat="1" ht="12.75" x14ac:dyDescent="0.2">
      <c r="A458" s="1"/>
      <c r="B458" s="12" t="s">
        <v>20</v>
      </c>
      <c r="C458" s="16">
        <v>36288.180269999997</v>
      </c>
      <c r="D458" s="16">
        <v>36451.356659999998</v>
      </c>
      <c r="E458" s="16">
        <v>38124.456989999999</v>
      </c>
      <c r="F458" s="16">
        <v>39938.50619</v>
      </c>
      <c r="G458" s="16">
        <v>40976.849459999998</v>
      </c>
      <c r="H458" s="16">
        <v>41807.554640000002</v>
      </c>
      <c r="I458" s="16">
        <v>42654.446819999997</v>
      </c>
      <c r="J458" s="16">
        <v>43457.823380000002</v>
      </c>
      <c r="K458" s="16">
        <v>44302.616540000003</v>
      </c>
      <c r="L458" s="16">
        <v>44733.163959999998</v>
      </c>
      <c r="M458" s="16">
        <v>45110.477939999997</v>
      </c>
      <c r="N458" s="16">
        <v>45520.591849999997</v>
      </c>
      <c r="O458" s="16">
        <v>45927.794679999999</v>
      </c>
      <c r="P458" s="16">
        <v>46282.061139999998</v>
      </c>
      <c r="Q458" s="16">
        <v>46782.29881</v>
      </c>
      <c r="R458" s="16">
        <v>47221.851479999998</v>
      </c>
      <c r="S458" s="16">
        <v>47745.331209999997</v>
      </c>
      <c r="T458" s="16">
        <v>48236.137069999997</v>
      </c>
      <c r="U458" s="16">
        <v>48692.70134</v>
      </c>
      <c r="V458" s="16">
        <v>49187.968979999998</v>
      </c>
      <c r="W458" s="16">
        <v>49694.36449</v>
      </c>
      <c r="X458" s="16">
        <v>50191.085010000003</v>
      </c>
      <c r="Y458" s="16">
        <v>50681.567589999999</v>
      </c>
      <c r="Z458" s="16">
        <v>51156.87023</v>
      </c>
      <c r="AA458" s="16">
        <v>51648.783199999998</v>
      </c>
      <c r="AB458" s="16">
        <v>52125.75015</v>
      </c>
      <c r="AC458" s="16">
        <v>52589.389089999997</v>
      </c>
      <c r="AD458" s="16">
        <v>53033.991580000002</v>
      </c>
      <c r="AE458" s="16">
        <v>53496.365660000003</v>
      </c>
      <c r="AX458" s="3"/>
    </row>
    <row r="459" spans="1:50" s="2" customFormat="1" ht="12.75" x14ac:dyDescent="0.2">
      <c r="A459" s="1"/>
      <c r="B459" s="12" t="s">
        <v>21</v>
      </c>
      <c r="C459" s="16">
        <v>465.71554400000002</v>
      </c>
      <c r="D459" s="16">
        <v>467.80971840000001</v>
      </c>
      <c r="E459" s="16">
        <v>489.2819672</v>
      </c>
      <c r="F459" s="16">
        <v>512.56312660000003</v>
      </c>
      <c r="G459" s="16">
        <v>525.88902489999998</v>
      </c>
      <c r="H459" s="16">
        <v>536.55013570000006</v>
      </c>
      <c r="I459" s="16">
        <v>547.41898760000004</v>
      </c>
      <c r="J459" s="16">
        <v>557.72936819999995</v>
      </c>
      <c r="K459" s="16">
        <v>568.57128150000005</v>
      </c>
      <c r="L459" s="16">
        <v>574.09684460000005</v>
      </c>
      <c r="M459" s="16">
        <v>578.93921969999997</v>
      </c>
      <c r="N459" s="16">
        <v>584.20254299999999</v>
      </c>
      <c r="O459" s="16">
        <v>589.42850599999997</v>
      </c>
      <c r="P459" s="16">
        <v>593.9750937</v>
      </c>
      <c r="Q459" s="16">
        <v>600.39504810000005</v>
      </c>
      <c r="R459" s="16">
        <v>606.03618280000001</v>
      </c>
      <c r="S459" s="16">
        <v>612.75442120000002</v>
      </c>
      <c r="T459" s="16">
        <v>619.05332940000005</v>
      </c>
      <c r="U459" s="16">
        <v>624.91278769999997</v>
      </c>
      <c r="V459" s="16">
        <v>631.26895750000006</v>
      </c>
      <c r="W459" s="16">
        <v>637.76794040000004</v>
      </c>
      <c r="X459" s="16">
        <v>644.14275620000001</v>
      </c>
      <c r="Y459" s="16">
        <v>650.43751559999998</v>
      </c>
      <c r="Z459" s="16">
        <v>656.53745849999996</v>
      </c>
      <c r="AA459" s="16">
        <v>662.85057519999998</v>
      </c>
      <c r="AB459" s="16">
        <v>668.97187740000004</v>
      </c>
      <c r="AC459" s="16">
        <v>674.92213070000003</v>
      </c>
      <c r="AD459" s="16">
        <v>680.62807369999996</v>
      </c>
      <c r="AE459" s="16">
        <v>686.562094</v>
      </c>
      <c r="AX459" s="3"/>
    </row>
    <row r="460" spans="1:50" s="2" customFormat="1" ht="12.75" x14ac:dyDescent="0.2">
      <c r="A460" s="1"/>
      <c r="B460" s="12" t="s">
        <v>22</v>
      </c>
      <c r="C460" s="16">
        <v>1859.868424</v>
      </c>
      <c r="D460" s="16">
        <v>1868.2316599999999</v>
      </c>
      <c r="E460" s="16">
        <v>1953.9826250000001</v>
      </c>
      <c r="F460" s="16">
        <v>2046.9576050000001</v>
      </c>
      <c r="G460" s="16">
        <v>2100.1755349999999</v>
      </c>
      <c r="H460" s="16">
        <v>2142.7514460000002</v>
      </c>
      <c r="I460" s="16">
        <v>2186.1569850000001</v>
      </c>
      <c r="J460" s="16">
        <v>2227.33223</v>
      </c>
      <c r="K460" s="16">
        <v>2270.6301880000001</v>
      </c>
      <c r="L460" s="16">
        <v>2292.6969199999999</v>
      </c>
      <c r="M460" s="16">
        <v>2312.0352929999999</v>
      </c>
      <c r="N460" s="16">
        <v>2333.054752</v>
      </c>
      <c r="O460" s="16">
        <v>2353.9250099999999</v>
      </c>
      <c r="P460" s="16">
        <v>2372.0821340000002</v>
      </c>
      <c r="Q460" s="16">
        <v>2397.7206820000001</v>
      </c>
      <c r="R460" s="16">
        <v>2420.2489580000001</v>
      </c>
      <c r="S460" s="16">
        <v>2447.0787249999998</v>
      </c>
      <c r="T460" s="16">
        <v>2472.2338669999999</v>
      </c>
      <c r="U460" s="16">
        <v>2495.6340340000002</v>
      </c>
      <c r="V460" s="16">
        <v>2521.0178540000002</v>
      </c>
      <c r="W460" s="16">
        <v>2546.9720080000002</v>
      </c>
      <c r="X460" s="16">
        <v>2572.430292</v>
      </c>
      <c r="Y460" s="16">
        <v>2597.5688650000002</v>
      </c>
      <c r="Z460" s="16">
        <v>2621.9294239999999</v>
      </c>
      <c r="AA460" s="16">
        <v>2647.1413090000001</v>
      </c>
      <c r="AB460" s="16">
        <v>2671.587168</v>
      </c>
      <c r="AC460" s="16">
        <v>2695.3499310000002</v>
      </c>
      <c r="AD460" s="16">
        <v>2718.1370240000001</v>
      </c>
      <c r="AE460" s="16">
        <v>2741.8349600000001</v>
      </c>
      <c r="AX460" s="3"/>
    </row>
    <row r="461" spans="1:50" s="2" customFormat="1" ht="12.75" x14ac:dyDescent="0.2">
      <c r="A461" s="1"/>
      <c r="B461" s="12" t="s">
        <v>23</v>
      </c>
      <c r="C461" s="16">
        <v>1855.752015</v>
      </c>
      <c r="D461" s="16">
        <v>1864.0967410000001</v>
      </c>
      <c r="E461" s="16">
        <v>1949.657915</v>
      </c>
      <c r="F461" s="16">
        <v>2042.427115</v>
      </c>
      <c r="G461" s="16">
        <v>2095.5272599999998</v>
      </c>
      <c r="H461" s="16">
        <v>2138.0089379999999</v>
      </c>
      <c r="I461" s="16">
        <v>2181.318409</v>
      </c>
      <c r="J461" s="16">
        <v>2222.402521</v>
      </c>
      <c r="K461" s="16">
        <v>2265.604648</v>
      </c>
      <c r="L461" s="16">
        <v>2287.6225410000002</v>
      </c>
      <c r="M461" s="16">
        <v>2306.9181119999998</v>
      </c>
      <c r="N461" s="16">
        <v>2327.8910489999998</v>
      </c>
      <c r="O461" s="16">
        <v>2348.715115</v>
      </c>
      <c r="P461" s="16">
        <v>2366.8320530000001</v>
      </c>
      <c r="Q461" s="16">
        <v>2392.4138560000001</v>
      </c>
      <c r="R461" s="16">
        <v>2414.8922699999998</v>
      </c>
      <c r="S461" s="16">
        <v>2441.6626550000001</v>
      </c>
      <c r="T461" s="16">
        <v>2466.7621220000001</v>
      </c>
      <c r="U461" s="16">
        <v>2490.110498</v>
      </c>
      <c r="V461" s="16">
        <v>2515.4381360000002</v>
      </c>
      <c r="W461" s="16">
        <v>2541.3348470000001</v>
      </c>
      <c r="X461" s="16">
        <v>2566.7367840000002</v>
      </c>
      <c r="Y461" s="16">
        <v>2591.8197190000001</v>
      </c>
      <c r="Z461" s="16">
        <v>2616.1263610000001</v>
      </c>
      <c r="AA461" s="16">
        <v>2641.2824449999998</v>
      </c>
      <c r="AB461" s="16">
        <v>2665.674199</v>
      </c>
      <c r="AC461" s="16">
        <v>2689.384368</v>
      </c>
      <c r="AD461" s="16">
        <v>2712.1210270000001</v>
      </c>
      <c r="AE461" s="16">
        <v>2735.7665120000001</v>
      </c>
      <c r="AX461" s="3"/>
    </row>
    <row r="462" spans="1:50" s="2" customFormat="1" ht="12.75" x14ac:dyDescent="0.2">
      <c r="A462" s="1"/>
      <c r="B462" s="12" t="s">
        <v>24</v>
      </c>
      <c r="C462" s="16">
        <v>374.9205</v>
      </c>
      <c r="D462" s="16">
        <v>376.60639800000001</v>
      </c>
      <c r="E462" s="16">
        <v>393.89245670000003</v>
      </c>
      <c r="F462" s="16">
        <v>412.63476420000001</v>
      </c>
      <c r="G462" s="16">
        <v>423.36266999999998</v>
      </c>
      <c r="H462" s="16">
        <v>431.94531030000002</v>
      </c>
      <c r="I462" s="16">
        <v>440.69519079999998</v>
      </c>
      <c r="J462" s="16">
        <v>448.99547860000001</v>
      </c>
      <c r="K462" s="16">
        <v>457.72367250000002</v>
      </c>
      <c r="L462" s="16">
        <v>462.17198200000001</v>
      </c>
      <c r="M462" s="16">
        <v>466.07029660000001</v>
      </c>
      <c r="N462" s="16">
        <v>470.30749209999999</v>
      </c>
      <c r="O462" s="16">
        <v>474.51461089999998</v>
      </c>
      <c r="P462" s="16">
        <v>478.17480430000001</v>
      </c>
      <c r="Q462" s="16">
        <v>483.3431362</v>
      </c>
      <c r="R462" s="16">
        <v>487.88448570000003</v>
      </c>
      <c r="S462" s="16">
        <v>493.29294870000001</v>
      </c>
      <c r="T462" s="16">
        <v>498.36383339999998</v>
      </c>
      <c r="U462" s="16">
        <v>503.08094249999999</v>
      </c>
      <c r="V462" s="16">
        <v>508.19792519999999</v>
      </c>
      <c r="W462" s="16">
        <v>513.42987830000004</v>
      </c>
      <c r="X462" s="16">
        <v>518.56187179999995</v>
      </c>
      <c r="Y462" s="16">
        <v>523.62941650000005</v>
      </c>
      <c r="Z462" s="16">
        <v>528.54012580000006</v>
      </c>
      <c r="AA462" s="16">
        <v>533.62244889999999</v>
      </c>
      <c r="AB462" s="16">
        <v>538.55035329999998</v>
      </c>
      <c r="AC462" s="16">
        <v>543.34055609999996</v>
      </c>
      <c r="AD462" s="16">
        <v>547.93407909999996</v>
      </c>
      <c r="AE462" s="16">
        <v>552.71121370000003</v>
      </c>
      <c r="AX462" s="3"/>
    </row>
    <row r="463" spans="1:50" s="2" customFormat="1" ht="12.75" x14ac:dyDescent="0.2">
      <c r="A463" s="1"/>
      <c r="B463" s="12" t="s">
        <v>25</v>
      </c>
      <c r="C463" s="16">
        <v>84.357112490000006</v>
      </c>
      <c r="D463" s="16">
        <v>84.73643955</v>
      </c>
      <c r="E463" s="16">
        <v>88.625802759999999</v>
      </c>
      <c r="F463" s="16">
        <v>92.842821950000001</v>
      </c>
      <c r="G463" s="16">
        <v>95.256600750000004</v>
      </c>
      <c r="H463" s="16">
        <v>97.187694809999996</v>
      </c>
      <c r="I463" s="16">
        <v>99.156417930000003</v>
      </c>
      <c r="J463" s="16">
        <v>101.0239827</v>
      </c>
      <c r="K463" s="16">
        <v>102.98782629999999</v>
      </c>
      <c r="L463" s="16">
        <v>103.9886959</v>
      </c>
      <c r="M463" s="16">
        <v>104.8658167</v>
      </c>
      <c r="N463" s="16">
        <v>105.81918570000001</v>
      </c>
      <c r="O463" s="16">
        <v>106.7657875</v>
      </c>
      <c r="P463" s="16">
        <v>107.589331</v>
      </c>
      <c r="Q463" s="16">
        <v>108.7522057</v>
      </c>
      <c r="R463" s="16">
        <v>109.7740093</v>
      </c>
      <c r="S463" s="16">
        <v>110.9909135</v>
      </c>
      <c r="T463" s="16">
        <v>112.1318625</v>
      </c>
      <c r="U463" s="16">
        <v>113.1932121</v>
      </c>
      <c r="V463" s="16">
        <v>114.3445332</v>
      </c>
      <c r="W463" s="16">
        <v>115.5217226</v>
      </c>
      <c r="X463" s="16">
        <v>116.67642119999999</v>
      </c>
      <c r="Y463" s="16">
        <v>117.81661870000001</v>
      </c>
      <c r="Z463" s="16">
        <v>118.92152830000001</v>
      </c>
      <c r="AA463" s="16">
        <v>120.065051</v>
      </c>
      <c r="AB463" s="16">
        <v>121.1738295</v>
      </c>
      <c r="AC463" s="16">
        <v>122.2516251</v>
      </c>
      <c r="AD463" s="16">
        <v>123.2851678</v>
      </c>
      <c r="AE463" s="16">
        <v>124.36002310000001</v>
      </c>
      <c r="AX463" s="3"/>
    </row>
    <row r="464" spans="1:50" s="2" customFormat="1" ht="12.75" x14ac:dyDescent="0.2">
      <c r="A464" s="1"/>
      <c r="B464" s="12" t="s">
        <v>26</v>
      </c>
      <c r="C464" s="16">
        <v>4217.0807699999996</v>
      </c>
      <c r="D464" s="16">
        <v>4236.0436380000001</v>
      </c>
      <c r="E464" s="16">
        <v>4430.4760740000002</v>
      </c>
      <c r="F464" s="16">
        <v>4641.2882980000004</v>
      </c>
      <c r="G464" s="16">
        <v>4761.9550660000004</v>
      </c>
      <c r="H464" s="16">
        <v>4858.4920320000001</v>
      </c>
      <c r="I464" s="16">
        <v>4956.9101039999996</v>
      </c>
      <c r="J464" s="16">
        <v>5050.2711870000003</v>
      </c>
      <c r="K464" s="16">
        <v>5148.4453299999996</v>
      </c>
      <c r="L464" s="16">
        <v>5198.4796180000003</v>
      </c>
      <c r="M464" s="16">
        <v>5242.327601</v>
      </c>
      <c r="N464" s="16">
        <v>5289.9872930000001</v>
      </c>
      <c r="O464" s="16">
        <v>5337.308685</v>
      </c>
      <c r="P464" s="16">
        <v>5378.4782960000002</v>
      </c>
      <c r="Q464" s="16">
        <v>5436.6113489999998</v>
      </c>
      <c r="R464" s="16">
        <v>5487.6921439999996</v>
      </c>
      <c r="S464" s="16">
        <v>5548.5261760000003</v>
      </c>
      <c r="T464" s="16">
        <v>5605.5631480000002</v>
      </c>
      <c r="U464" s="16">
        <v>5658.6208770000003</v>
      </c>
      <c r="V464" s="16">
        <v>5716.1763559999999</v>
      </c>
      <c r="W464" s="16">
        <v>5775.0250169999999</v>
      </c>
      <c r="X464" s="16">
        <v>5832.7493370000002</v>
      </c>
      <c r="Y464" s="16">
        <v>5889.7487410000003</v>
      </c>
      <c r="Z464" s="16">
        <v>5944.9840720000002</v>
      </c>
      <c r="AA464" s="16">
        <v>6002.149703</v>
      </c>
      <c r="AB464" s="16">
        <v>6057.5784430000003</v>
      </c>
      <c r="AC464" s="16">
        <v>6111.4583249999996</v>
      </c>
      <c r="AD464" s="16">
        <v>6163.1259639999998</v>
      </c>
      <c r="AE464" s="16">
        <v>6216.8588559999998</v>
      </c>
      <c r="AX464" s="3"/>
    </row>
    <row r="465" spans="1:50" s="2" customFormat="1" ht="12.75" x14ac:dyDescent="0.2">
      <c r="A465" s="1"/>
      <c r="B465" s="12" t="s">
        <v>27</v>
      </c>
      <c r="C465" s="16">
        <v>273.17986910000002</v>
      </c>
      <c r="D465" s="16">
        <v>274.40827189999999</v>
      </c>
      <c r="E465" s="16">
        <v>287.00348409999998</v>
      </c>
      <c r="F465" s="16">
        <v>300.65976890000002</v>
      </c>
      <c r="G465" s="16">
        <v>308.47648709999999</v>
      </c>
      <c r="H465" s="16">
        <v>314.7300917</v>
      </c>
      <c r="I465" s="16">
        <v>321.10555319999997</v>
      </c>
      <c r="J465" s="16">
        <v>327.15342609999999</v>
      </c>
      <c r="K465" s="16">
        <v>333.51308599999999</v>
      </c>
      <c r="L465" s="16">
        <v>336.754276</v>
      </c>
      <c r="M465" s="16">
        <v>339.59472110000002</v>
      </c>
      <c r="N465" s="16">
        <v>342.68208629999998</v>
      </c>
      <c r="O465" s="16">
        <v>345.74753659999999</v>
      </c>
      <c r="P465" s="16">
        <v>348.41447849999997</v>
      </c>
      <c r="Q465" s="16">
        <v>352.18030140000002</v>
      </c>
      <c r="R465" s="16">
        <v>355.48928360000002</v>
      </c>
      <c r="S465" s="16">
        <v>359.4300743</v>
      </c>
      <c r="T465" s="16">
        <v>363.12489390000002</v>
      </c>
      <c r="U465" s="16">
        <v>366.56194060000001</v>
      </c>
      <c r="V465" s="16">
        <v>370.29034869999998</v>
      </c>
      <c r="W465" s="16">
        <v>374.10252830000002</v>
      </c>
      <c r="X465" s="16">
        <v>377.8418739</v>
      </c>
      <c r="Y465" s="16">
        <v>381.53425979999997</v>
      </c>
      <c r="Z465" s="16">
        <v>385.11237019999999</v>
      </c>
      <c r="AA465" s="16">
        <v>388.81552420000003</v>
      </c>
      <c r="AB465" s="16">
        <v>392.40616349999999</v>
      </c>
      <c r="AC465" s="16">
        <v>395.89646879999998</v>
      </c>
      <c r="AD465" s="16">
        <v>399.24346630000002</v>
      </c>
      <c r="AE465" s="16">
        <v>402.72424960000001</v>
      </c>
      <c r="AX465" s="3"/>
    </row>
    <row r="466" spans="1:50" s="2" customFormat="1" ht="12.75" x14ac:dyDescent="0.2">
      <c r="A466" s="1"/>
      <c r="B466" s="12" t="s">
        <v>28</v>
      </c>
      <c r="C466" s="16">
        <v>22149.866239999999</v>
      </c>
      <c r="D466" s="16">
        <v>22217.70938</v>
      </c>
      <c r="E466" s="16">
        <v>22524.391090000001</v>
      </c>
      <c r="F466" s="16">
        <v>23170.845669999999</v>
      </c>
      <c r="G466" s="16">
        <v>24003.721809999999</v>
      </c>
      <c r="H466" s="16">
        <v>24683.661619999999</v>
      </c>
      <c r="I466" s="16">
        <v>25392.07547</v>
      </c>
      <c r="J466" s="16">
        <v>26139.683519999999</v>
      </c>
      <c r="K466" s="16">
        <v>26943.045030000001</v>
      </c>
      <c r="L466" s="16">
        <v>27640.0949</v>
      </c>
      <c r="M466" s="16">
        <v>28297.552680000001</v>
      </c>
      <c r="N466" s="16">
        <v>28998.362400000002</v>
      </c>
      <c r="O466" s="16">
        <v>29708.192019999999</v>
      </c>
      <c r="P466" s="16">
        <v>30373.323469999999</v>
      </c>
      <c r="Q466" s="16">
        <v>31025.536380000001</v>
      </c>
      <c r="R466" s="16">
        <v>31774.132229999999</v>
      </c>
      <c r="S466" s="16">
        <v>32359.406859999999</v>
      </c>
      <c r="T466" s="16">
        <v>32983.995280000003</v>
      </c>
      <c r="U466" s="16">
        <v>33603.867539999999</v>
      </c>
      <c r="V466" s="16">
        <v>33930.12588</v>
      </c>
      <c r="W466" s="16">
        <v>34243.178269999997</v>
      </c>
      <c r="X466" s="16">
        <v>34549.223669999999</v>
      </c>
      <c r="Y466" s="16">
        <v>34852.534849999996</v>
      </c>
      <c r="Z466" s="16">
        <v>35147.620470000002</v>
      </c>
      <c r="AA466" s="16">
        <v>35288.9015</v>
      </c>
      <c r="AB466" s="16">
        <v>35422.093889999996</v>
      </c>
      <c r="AC466" s="16">
        <v>35547.796000000002</v>
      </c>
      <c r="AD466" s="16">
        <v>35656.092239999998</v>
      </c>
      <c r="AE466" s="16">
        <v>35773.924870000003</v>
      </c>
      <c r="AX466" s="3"/>
    </row>
    <row r="467" spans="1:50" s="2" customFormat="1" ht="12.75" x14ac:dyDescent="0.2">
      <c r="A467" s="1"/>
      <c r="B467" s="12" t="s">
        <v>29</v>
      </c>
      <c r="C467" s="16">
        <v>974.77120090000005</v>
      </c>
      <c r="D467" s="16">
        <v>976.93927140000005</v>
      </c>
      <c r="E467" s="16">
        <v>990.43450340000004</v>
      </c>
      <c r="F467" s="16">
        <v>1019.269962</v>
      </c>
      <c r="G467" s="16">
        <v>1056.2704309999999</v>
      </c>
      <c r="H467" s="16">
        <v>1086.3456120000001</v>
      </c>
      <c r="I467" s="16">
        <v>1117.5079129999999</v>
      </c>
      <c r="J467" s="16">
        <v>1150.3467539999999</v>
      </c>
      <c r="K467" s="16">
        <v>1185.6015930000001</v>
      </c>
      <c r="L467" s="16">
        <v>1216.6157470000001</v>
      </c>
      <c r="M467" s="16">
        <v>1246.0519830000001</v>
      </c>
      <c r="N467" s="16">
        <v>1277.3645180000001</v>
      </c>
      <c r="O467" s="16">
        <v>1309.049229</v>
      </c>
      <c r="P467" s="16">
        <v>1338.8936679999999</v>
      </c>
      <c r="Q467" s="16">
        <v>1367.7524209999999</v>
      </c>
      <c r="R467" s="16">
        <v>1401.1311720000001</v>
      </c>
      <c r="S467" s="16">
        <v>1426.9691250000001</v>
      </c>
      <c r="T467" s="16">
        <v>1454.6825630000001</v>
      </c>
      <c r="U467" s="16">
        <v>1482.1722500000001</v>
      </c>
      <c r="V467" s="16">
        <v>1495.712358</v>
      </c>
      <c r="W467" s="16">
        <v>1508.4709069999999</v>
      </c>
      <c r="X467" s="16">
        <v>1520.771414</v>
      </c>
      <c r="Y467" s="16">
        <v>1532.9334309999999</v>
      </c>
      <c r="Z467" s="16">
        <v>1544.6775520000001</v>
      </c>
      <c r="AA467" s="16">
        <v>1549.8054400000001</v>
      </c>
      <c r="AB467" s="16">
        <v>1554.5711859999999</v>
      </c>
      <c r="AC467" s="16">
        <v>1558.9741570000001</v>
      </c>
      <c r="AD467" s="16">
        <v>1562.5308769999999</v>
      </c>
      <c r="AE467" s="16">
        <v>1566.514846</v>
      </c>
      <c r="AX467" s="3"/>
    </row>
    <row r="468" spans="1:50" s="2" customFormat="1" ht="12.75" x14ac:dyDescent="0.2">
      <c r="A468" s="1"/>
      <c r="B468" s="12" t="s">
        <v>30</v>
      </c>
      <c r="C468" s="16">
        <v>121.8488184</v>
      </c>
      <c r="D468" s="16">
        <v>122.1198756</v>
      </c>
      <c r="E468" s="16">
        <v>123.8068019</v>
      </c>
      <c r="F468" s="16">
        <v>127.4112567</v>
      </c>
      <c r="G468" s="16">
        <v>132.03632039999999</v>
      </c>
      <c r="H468" s="16">
        <v>135.7957337</v>
      </c>
      <c r="I468" s="16">
        <v>139.6910412</v>
      </c>
      <c r="J468" s="16">
        <v>143.7959166</v>
      </c>
      <c r="K468" s="16">
        <v>148.20279600000001</v>
      </c>
      <c r="L468" s="16">
        <v>152.07957999999999</v>
      </c>
      <c r="M468" s="16">
        <v>155.75912260000001</v>
      </c>
      <c r="N468" s="16">
        <v>159.67321010000001</v>
      </c>
      <c r="O468" s="16">
        <v>163.63381820000001</v>
      </c>
      <c r="P468" s="16">
        <v>167.36438720000001</v>
      </c>
      <c r="Q468" s="16">
        <v>170.97176049999999</v>
      </c>
      <c r="R468" s="16">
        <v>175.14413139999999</v>
      </c>
      <c r="S468" s="16">
        <v>178.3739042</v>
      </c>
      <c r="T468" s="16">
        <v>181.83811230000001</v>
      </c>
      <c r="U468" s="16">
        <v>185.27434769999999</v>
      </c>
      <c r="V468" s="16">
        <v>186.9668916</v>
      </c>
      <c r="W468" s="16">
        <v>188.5617479</v>
      </c>
      <c r="X468" s="16">
        <v>190.09934870000001</v>
      </c>
      <c r="Y468" s="16">
        <v>191.61963900000001</v>
      </c>
      <c r="Z468" s="16">
        <v>193.08769219999999</v>
      </c>
      <c r="AA468" s="16">
        <v>193.7287145</v>
      </c>
      <c r="AB468" s="16">
        <v>194.3244684</v>
      </c>
      <c r="AC468" s="16">
        <v>194.87487580000001</v>
      </c>
      <c r="AD468" s="16">
        <v>195.31950230000001</v>
      </c>
      <c r="AE468" s="16">
        <v>195.81753670000001</v>
      </c>
      <c r="AX468" s="3"/>
    </row>
    <row r="469" spans="1:50" s="2" customFormat="1" ht="12.75" x14ac:dyDescent="0.2">
      <c r="A469" s="1"/>
      <c r="B469" s="12" t="s">
        <v>31</v>
      </c>
      <c r="C469" s="16">
        <v>360.66534430000002</v>
      </c>
      <c r="D469" s="16">
        <v>361.46753039999999</v>
      </c>
      <c r="E469" s="16">
        <v>366.46076629999999</v>
      </c>
      <c r="F469" s="16">
        <v>377.12988589999998</v>
      </c>
      <c r="G469" s="16">
        <v>390.82005950000001</v>
      </c>
      <c r="H469" s="16">
        <v>401.94787639999998</v>
      </c>
      <c r="I469" s="16">
        <v>413.4779279</v>
      </c>
      <c r="J469" s="16">
        <v>425.62829909999999</v>
      </c>
      <c r="K469" s="16">
        <v>438.67258930000003</v>
      </c>
      <c r="L469" s="16">
        <v>450.14782639999999</v>
      </c>
      <c r="M469" s="16">
        <v>461.03923370000001</v>
      </c>
      <c r="N469" s="16">
        <v>472.62487179999999</v>
      </c>
      <c r="O469" s="16">
        <v>484.34821460000001</v>
      </c>
      <c r="P469" s="16">
        <v>495.39065729999999</v>
      </c>
      <c r="Q469" s="16">
        <v>506.06839559999997</v>
      </c>
      <c r="R469" s="16">
        <v>518.41853370000001</v>
      </c>
      <c r="S469" s="16">
        <v>527.97857629999999</v>
      </c>
      <c r="T469" s="16">
        <v>538.23254840000004</v>
      </c>
      <c r="U469" s="16">
        <v>548.40373260000001</v>
      </c>
      <c r="V469" s="16">
        <v>553.41357259999995</v>
      </c>
      <c r="W469" s="16">
        <v>558.13423569999998</v>
      </c>
      <c r="X469" s="16">
        <v>562.68542330000002</v>
      </c>
      <c r="Y469" s="16">
        <v>567.18536940000001</v>
      </c>
      <c r="Z469" s="16">
        <v>571.53069410000001</v>
      </c>
      <c r="AA469" s="16">
        <v>573.42801299999996</v>
      </c>
      <c r="AB469" s="16">
        <v>575.19133890000001</v>
      </c>
      <c r="AC469" s="16">
        <v>576.82043820000001</v>
      </c>
      <c r="AD469" s="16">
        <v>578.13642449999998</v>
      </c>
      <c r="AE469" s="16">
        <v>579.61049309999999</v>
      </c>
      <c r="AX469" s="3"/>
    </row>
    <row r="470" spans="1:50" s="2" customFormat="1" ht="12.75" x14ac:dyDescent="0.2">
      <c r="A470" s="1"/>
      <c r="B470" s="12" t="s">
        <v>32</v>
      </c>
      <c r="C470" s="16">
        <v>121.8464001</v>
      </c>
      <c r="D470" s="16">
        <v>122.1174089</v>
      </c>
      <c r="E470" s="16">
        <v>123.8043129</v>
      </c>
      <c r="F470" s="16">
        <v>127.4087452</v>
      </c>
      <c r="G470" s="16">
        <v>132.03380390000001</v>
      </c>
      <c r="H470" s="16">
        <v>135.79320150000001</v>
      </c>
      <c r="I470" s="16">
        <v>139.68848919999999</v>
      </c>
      <c r="J470" s="16">
        <v>143.7933443</v>
      </c>
      <c r="K470" s="16">
        <v>148.20019909999999</v>
      </c>
      <c r="L470" s="16">
        <v>152.0769684</v>
      </c>
      <c r="M470" s="16">
        <v>155.7564979</v>
      </c>
      <c r="N470" s="16">
        <v>159.67056479999999</v>
      </c>
      <c r="O470" s="16">
        <v>163.6311536</v>
      </c>
      <c r="P470" s="16">
        <v>167.36170849999999</v>
      </c>
      <c r="Q470" s="16">
        <v>170.9690526</v>
      </c>
      <c r="R470" s="16">
        <v>175.14139650000001</v>
      </c>
      <c r="S470" s="16">
        <v>178.37114059999999</v>
      </c>
      <c r="T470" s="16">
        <v>181.8353204</v>
      </c>
      <c r="U470" s="16">
        <v>185.27153129999999</v>
      </c>
      <c r="V470" s="16">
        <v>186.96404480000001</v>
      </c>
      <c r="W470" s="16">
        <v>188.55886340000001</v>
      </c>
      <c r="X470" s="16">
        <v>190.09642679999999</v>
      </c>
      <c r="Y470" s="16">
        <v>191.61667890000001</v>
      </c>
      <c r="Z470" s="16">
        <v>193.08469400000001</v>
      </c>
      <c r="AA470" s="16">
        <v>193.72568010000001</v>
      </c>
      <c r="AB470" s="16">
        <v>194.3213983</v>
      </c>
      <c r="AC470" s="16">
        <v>194.87176969999999</v>
      </c>
      <c r="AD470" s="16">
        <v>195.3163596</v>
      </c>
      <c r="AE470" s="16">
        <v>195.81435579999999</v>
      </c>
      <c r="AX470" s="3"/>
    </row>
    <row r="471" spans="1:50" s="2" customFormat="1" ht="12.75" x14ac:dyDescent="0.2">
      <c r="A471" s="1"/>
      <c r="B471" s="12" t="s">
        <v>33</v>
      </c>
      <c r="C471" s="16">
        <v>243.69280019999999</v>
      </c>
      <c r="D471" s="16">
        <v>244.2348178</v>
      </c>
      <c r="E471" s="16">
        <v>247.6086258</v>
      </c>
      <c r="F471" s="16">
        <v>254.81749049999999</v>
      </c>
      <c r="G471" s="16">
        <v>264.06760780000002</v>
      </c>
      <c r="H471" s="16">
        <v>271.5864029</v>
      </c>
      <c r="I471" s="16">
        <v>279.37697830000002</v>
      </c>
      <c r="J471" s="16">
        <v>287.5866886</v>
      </c>
      <c r="K471" s="16">
        <v>296.40039819999998</v>
      </c>
      <c r="L471" s="16">
        <v>304.1539368</v>
      </c>
      <c r="M471" s="16">
        <v>311.51299569999998</v>
      </c>
      <c r="N471" s="16">
        <v>319.34112959999999</v>
      </c>
      <c r="O471" s="16">
        <v>327.26230709999999</v>
      </c>
      <c r="P471" s="16">
        <v>334.72341710000001</v>
      </c>
      <c r="Q471" s="16">
        <v>341.9381052</v>
      </c>
      <c r="R471" s="16">
        <v>350.28279309999999</v>
      </c>
      <c r="S471" s="16">
        <v>356.7422813</v>
      </c>
      <c r="T471" s="16">
        <v>363.6706408</v>
      </c>
      <c r="U471" s="16">
        <v>370.54306259999998</v>
      </c>
      <c r="V471" s="16">
        <v>373.92808960000002</v>
      </c>
      <c r="W471" s="16">
        <v>377.11772680000001</v>
      </c>
      <c r="X471" s="16">
        <v>380.19285359999998</v>
      </c>
      <c r="Y471" s="16">
        <v>383.2333577</v>
      </c>
      <c r="Z471" s="16">
        <v>386.1693879</v>
      </c>
      <c r="AA471" s="16">
        <v>387.45136009999999</v>
      </c>
      <c r="AB471" s="16">
        <v>388.64279649999997</v>
      </c>
      <c r="AC471" s="16">
        <v>389.74353930000001</v>
      </c>
      <c r="AD471" s="16">
        <v>390.6327192</v>
      </c>
      <c r="AE471" s="16">
        <v>391.62871159999997</v>
      </c>
      <c r="AX471" s="3"/>
    </row>
    <row r="472" spans="1:50" s="2" customFormat="1" ht="12.75" x14ac:dyDescent="0.2">
      <c r="A472" s="1"/>
      <c r="AX472" s="3"/>
    </row>
    <row r="473" spans="1:50" s="2" customFormat="1" ht="12.75" x14ac:dyDescent="0.2">
      <c r="A473" s="1"/>
      <c r="C473" s="19">
        <v>2022</v>
      </c>
      <c r="D473" s="19">
        <v>2023</v>
      </c>
      <c r="E473" s="19">
        <v>2024</v>
      </c>
      <c r="F473" s="19">
        <v>2025</v>
      </c>
      <c r="G473" s="19">
        <v>2026</v>
      </c>
      <c r="H473" s="19">
        <v>2027</v>
      </c>
      <c r="I473" s="19">
        <v>2028</v>
      </c>
      <c r="J473" s="19">
        <v>2029</v>
      </c>
      <c r="K473" s="19">
        <v>2030</v>
      </c>
      <c r="L473" s="19">
        <v>2031</v>
      </c>
      <c r="M473" s="19">
        <v>2032</v>
      </c>
      <c r="N473" s="19">
        <v>2033</v>
      </c>
      <c r="O473" s="19">
        <v>2034</v>
      </c>
      <c r="P473" s="19">
        <v>2035</v>
      </c>
      <c r="Q473" s="19">
        <v>2036</v>
      </c>
      <c r="R473" s="19">
        <v>2037</v>
      </c>
      <c r="S473" s="19">
        <v>2038</v>
      </c>
      <c r="T473" s="19">
        <v>2039</v>
      </c>
      <c r="U473" s="19">
        <v>2040</v>
      </c>
      <c r="V473" s="19">
        <v>2041</v>
      </c>
      <c r="W473" s="19">
        <v>2042</v>
      </c>
      <c r="X473" s="19">
        <v>2043</v>
      </c>
      <c r="Y473" s="19">
        <v>2044</v>
      </c>
      <c r="Z473" s="19">
        <v>2045</v>
      </c>
      <c r="AA473" s="19">
        <v>2046</v>
      </c>
      <c r="AB473" s="19">
        <v>2047</v>
      </c>
      <c r="AC473" s="19">
        <v>2048</v>
      </c>
      <c r="AD473" s="19">
        <v>2049</v>
      </c>
      <c r="AE473" s="19">
        <v>2050</v>
      </c>
      <c r="AX473" s="3"/>
    </row>
    <row r="474" spans="1:50" s="2" customFormat="1" x14ac:dyDescent="0.25">
      <c r="A474" s="1"/>
      <c r="B474" s="20" t="s">
        <v>34</v>
      </c>
      <c r="C474" s="21">
        <v>132956.11610000001</v>
      </c>
      <c r="D474" s="21">
        <v>135416.7383</v>
      </c>
      <c r="E474" s="21">
        <v>136763.1367</v>
      </c>
      <c r="F474" s="21">
        <v>138068.6807</v>
      </c>
      <c r="G474" s="21">
        <v>139082.50820000001</v>
      </c>
      <c r="H474" s="21">
        <v>140094.80170000001</v>
      </c>
      <c r="I474" s="21">
        <v>141143.2409</v>
      </c>
      <c r="J474" s="21">
        <v>142229.2029</v>
      </c>
      <c r="K474" s="21">
        <v>143368.44380000001</v>
      </c>
      <c r="L474" s="21">
        <v>144484.3064</v>
      </c>
      <c r="M474" s="21">
        <v>145522.6084</v>
      </c>
      <c r="N474" s="21">
        <v>146608.45670000001</v>
      </c>
      <c r="O474" s="21">
        <v>147729.9565</v>
      </c>
      <c r="P474" s="21">
        <v>148810.1207</v>
      </c>
      <c r="Q474" s="21">
        <v>150412.2959</v>
      </c>
      <c r="R474" s="21">
        <v>151972.95129999999</v>
      </c>
      <c r="S474" s="21">
        <v>153565.73490000001</v>
      </c>
      <c r="T474" s="21">
        <v>155188.9541</v>
      </c>
      <c r="U474" s="21">
        <v>156779.9105</v>
      </c>
      <c r="V474" s="21">
        <v>158910.25589999999</v>
      </c>
      <c r="W474" s="21">
        <v>161080.53200000001</v>
      </c>
      <c r="X474" s="21">
        <v>163313.8389</v>
      </c>
      <c r="Y474" s="21">
        <v>165592.6409</v>
      </c>
      <c r="Z474" s="21">
        <v>167885.0055</v>
      </c>
      <c r="AA474" s="21">
        <v>170025.8327</v>
      </c>
      <c r="AB474" s="21">
        <v>172182.35860000001</v>
      </c>
      <c r="AC474" s="21">
        <v>174356.28580000001</v>
      </c>
      <c r="AD474" s="21">
        <v>176552.44459999999</v>
      </c>
      <c r="AE474" s="21">
        <v>178781.0019</v>
      </c>
      <c r="AX474" s="3"/>
    </row>
    <row r="475" spans="1:50" s="2" customFormat="1" x14ac:dyDescent="0.25">
      <c r="A475" s="1"/>
      <c r="B475" s="20" t="s">
        <v>35</v>
      </c>
      <c r="C475" s="21">
        <v>121347.00019999999</v>
      </c>
      <c r="D475" s="21">
        <v>124894.9746</v>
      </c>
      <c r="E475" s="21">
        <v>124813.6988</v>
      </c>
      <c r="F475" s="21">
        <v>124951.742</v>
      </c>
      <c r="G475" s="21">
        <v>127058.7384</v>
      </c>
      <c r="H475" s="21">
        <v>128965.3578</v>
      </c>
      <c r="I475" s="21">
        <v>130534.9023</v>
      </c>
      <c r="J475" s="21">
        <v>132095.11379999999</v>
      </c>
      <c r="K475" s="21">
        <v>133982.288</v>
      </c>
      <c r="L475" s="21">
        <v>135103.04920000001</v>
      </c>
      <c r="M475" s="21">
        <v>132534.12880000001</v>
      </c>
      <c r="N475" s="21">
        <v>132436.41450000001</v>
      </c>
      <c r="O475" s="21">
        <v>132896.27660000001</v>
      </c>
      <c r="P475" s="21">
        <v>129801.3121</v>
      </c>
      <c r="Q475" s="21">
        <v>132654.1778</v>
      </c>
      <c r="R475" s="21">
        <v>134569.33259999999</v>
      </c>
      <c r="S475" s="21">
        <v>136152.90340000001</v>
      </c>
      <c r="T475" s="21">
        <v>137330.4173</v>
      </c>
      <c r="U475" s="21">
        <v>137873.67540000001</v>
      </c>
      <c r="V475" s="21">
        <v>138506.6685</v>
      </c>
      <c r="W475" s="21">
        <v>139885.65400000001</v>
      </c>
      <c r="X475" s="21">
        <v>141340.1311</v>
      </c>
      <c r="Y475" s="21">
        <v>142750.88879999999</v>
      </c>
      <c r="Z475" s="21">
        <v>144137.7512</v>
      </c>
      <c r="AA475" s="21">
        <v>144885.63649999999</v>
      </c>
      <c r="AB475" s="21">
        <v>145894.6397</v>
      </c>
      <c r="AC475" s="21">
        <v>147003.47229999999</v>
      </c>
      <c r="AD475" s="21">
        <v>148382.18160000001</v>
      </c>
      <c r="AE475" s="21">
        <v>149859.53880000001</v>
      </c>
      <c r="AX475" s="3"/>
    </row>
    <row r="476" spans="1:50" s="2" customFormat="1" x14ac:dyDescent="0.25">
      <c r="A476" s="1"/>
      <c r="B476" s="20" t="s">
        <v>36</v>
      </c>
      <c r="C476" s="21">
        <v>6538.1171860000004</v>
      </c>
      <c r="D476" s="21">
        <v>6667.1924479999998</v>
      </c>
      <c r="E476" s="21">
        <v>7205.7475029999996</v>
      </c>
      <c r="F476" s="21">
        <v>7832.9754419999999</v>
      </c>
      <c r="G476" s="21">
        <v>8543.2615260000002</v>
      </c>
      <c r="H476" s="21">
        <v>9382.7922600000002</v>
      </c>
      <c r="I476" s="21">
        <v>10367.625889999999</v>
      </c>
      <c r="J476" s="21">
        <v>11520.08684</v>
      </c>
      <c r="K476" s="21">
        <v>12876.18038</v>
      </c>
      <c r="L476" s="21">
        <v>12971.31581</v>
      </c>
      <c r="M476" s="21">
        <v>13000.45033</v>
      </c>
      <c r="N476" s="21">
        <v>13075.825999999999</v>
      </c>
      <c r="O476" s="21">
        <v>13161.551799999999</v>
      </c>
      <c r="P476" s="21">
        <v>13184.222610000001</v>
      </c>
      <c r="Q476" s="21">
        <v>13345.735199999999</v>
      </c>
      <c r="R476" s="21">
        <v>13488.16784</v>
      </c>
      <c r="S476" s="21">
        <v>13628.71823</v>
      </c>
      <c r="T476" s="21">
        <v>13763.391449999999</v>
      </c>
      <c r="U476" s="21">
        <v>13883.933059999999</v>
      </c>
      <c r="V476" s="21">
        <v>14037.88428</v>
      </c>
      <c r="W476" s="21">
        <v>14212.130649999999</v>
      </c>
      <c r="X476" s="21">
        <v>14390.948829999999</v>
      </c>
      <c r="Y476" s="21">
        <v>14573.356760000001</v>
      </c>
      <c r="Z476" s="21">
        <v>14755.340850000001</v>
      </c>
      <c r="AA476" s="21">
        <v>14918.220139999999</v>
      </c>
      <c r="AB476" s="21">
        <v>15085.51071</v>
      </c>
      <c r="AC476" s="21">
        <v>15255.140369999999</v>
      </c>
      <c r="AD476" s="21">
        <v>15430.82098</v>
      </c>
      <c r="AE476" s="21">
        <v>15617.06702</v>
      </c>
      <c r="AX476" s="3"/>
    </row>
    <row r="477" spans="1:50" s="2" customFormat="1" x14ac:dyDescent="0.25">
      <c r="A477" s="1"/>
      <c r="B477" s="20" t="s">
        <v>37</v>
      </c>
      <c r="C477" s="21">
        <v>19533.66286</v>
      </c>
      <c r="D477" s="21">
        <v>20032.043559999998</v>
      </c>
      <c r="E477" s="21">
        <v>20030.154340000001</v>
      </c>
      <c r="F477" s="21">
        <v>20027.355360000001</v>
      </c>
      <c r="G477" s="21">
        <v>19746.23847</v>
      </c>
      <c r="H477" s="21">
        <v>19517.583920000001</v>
      </c>
      <c r="I477" s="21">
        <v>19452.04653</v>
      </c>
      <c r="J477" s="21">
        <v>19452.859469999999</v>
      </c>
      <c r="K477" s="21">
        <v>19530.344410000002</v>
      </c>
      <c r="L477" s="21">
        <v>19583.44729</v>
      </c>
      <c r="M477" s="21">
        <v>19619.112959999999</v>
      </c>
      <c r="N477" s="21">
        <v>19697.584299999999</v>
      </c>
      <c r="O477" s="21">
        <v>19770.096659999999</v>
      </c>
      <c r="P477" s="21">
        <v>19831.17713</v>
      </c>
      <c r="Q477" s="21">
        <v>19947.682840000001</v>
      </c>
      <c r="R477" s="21">
        <v>20048.76856</v>
      </c>
      <c r="S477" s="21">
        <v>20183.536889999999</v>
      </c>
      <c r="T477" s="21">
        <v>20310.31366</v>
      </c>
      <c r="U477" s="21">
        <v>20400.68475</v>
      </c>
      <c r="V477" s="21">
        <v>20479.091400000001</v>
      </c>
      <c r="W477" s="21">
        <v>20597.128929999999</v>
      </c>
      <c r="X477" s="21">
        <v>20712.722730000001</v>
      </c>
      <c r="Y477" s="21">
        <v>20852.628530000002</v>
      </c>
      <c r="Z477" s="21">
        <v>20972.547409999999</v>
      </c>
      <c r="AA477" s="21">
        <v>21083.793900000001</v>
      </c>
      <c r="AB477" s="21">
        <v>21200.215899999999</v>
      </c>
      <c r="AC477" s="21">
        <v>21308.634180000001</v>
      </c>
      <c r="AD477" s="21">
        <v>21416.777770000001</v>
      </c>
      <c r="AE477" s="21">
        <v>21640.731189999999</v>
      </c>
      <c r="AX477" s="3"/>
    </row>
    <row r="478" spans="1:50" s="2" customFormat="1" x14ac:dyDescent="0.25">
      <c r="A478" s="1"/>
      <c r="B478" s="20" t="s">
        <v>38</v>
      </c>
      <c r="C478" s="21">
        <v>17636.348290000002</v>
      </c>
      <c r="D478" s="21">
        <v>17968.618259999999</v>
      </c>
      <c r="E478" s="21">
        <v>19185.945830000001</v>
      </c>
      <c r="F478" s="21">
        <v>20529.956289999998</v>
      </c>
      <c r="G478" s="21">
        <v>21928.008409999999</v>
      </c>
      <c r="H478" s="21">
        <v>23582.971710000002</v>
      </c>
      <c r="I478" s="21">
        <v>25515.223559999999</v>
      </c>
      <c r="J478" s="21">
        <v>27786.689060000001</v>
      </c>
      <c r="K478" s="21">
        <v>30507.307110000002</v>
      </c>
      <c r="L478" s="21">
        <v>30590.345870000001</v>
      </c>
      <c r="M478" s="21">
        <v>30629.742389999999</v>
      </c>
      <c r="N478" s="21">
        <v>30721.54091</v>
      </c>
      <c r="O478" s="21">
        <v>30822.294300000001</v>
      </c>
      <c r="P478" s="21">
        <v>30870.005880000001</v>
      </c>
      <c r="Q478" s="21">
        <v>31092.347000000002</v>
      </c>
      <c r="R478" s="21">
        <v>31295.616109999999</v>
      </c>
      <c r="S478" s="21">
        <v>31506.032019999999</v>
      </c>
      <c r="T478" s="21">
        <v>31711.27851</v>
      </c>
      <c r="U478" s="21">
        <v>31893.821220000002</v>
      </c>
      <c r="V478" s="21">
        <v>32148.240440000001</v>
      </c>
      <c r="W478" s="21">
        <v>32444.833030000002</v>
      </c>
      <c r="X478" s="21">
        <v>32747.027590000002</v>
      </c>
      <c r="Y478" s="21">
        <v>33057.037729999996</v>
      </c>
      <c r="Z478" s="21">
        <v>33364.444640000002</v>
      </c>
      <c r="AA478" s="21">
        <v>33645.929989999997</v>
      </c>
      <c r="AB478" s="21">
        <v>33925.311730000001</v>
      </c>
      <c r="AC478" s="21">
        <v>34206.805339999999</v>
      </c>
      <c r="AD478" s="21">
        <v>34495.297129999999</v>
      </c>
      <c r="AE478" s="21">
        <v>34807.276539999999</v>
      </c>
      <c r="AX478" s="3"/>
    </row>
    <row r="479" spans="1:50" s="2" customFormat="1" x14ac:dyDescent="0.25">
      <c r="A479" s="1"/>
      <c r="B479" s="20" t="s">
        <v>39</v>
      </c>
      <c r="C479" s="21">
        <v>6813.2772370000002</v>
      </c>
      <c r="D479" s="21">
        <v>6934.2880869999999</v>
      </c>
      <c r="E479" s="21">
        <v>7020.6638380000004</v>
      </c>
      <c r="F479" s="21">
        <v>7124.4691570000005</v>
      </c>
      <c r="G479" s="21">
        <v>7206.13148</v>
      </c>
      <c r="H479" s="21">
        <v>7331.5597809999999</v>
      </c>
      <c r="I479" s="21">
        <v>7490.1362399999998</v>
      </c>
      <c r="J479" s="21">
        <v>7685.0232930000002</v>
      </c>
      <c r="K479" s="21">
        <v>7924.2730670000001</v>
      </c>
      <c r="L479" s="21">
        <v>8010.2772809999997</v>
      </c>
      <c r="M479" s="21">
        <v>8069.9761070000004</v>
      </c>
      <c r="N479" s="21">
        <v>8147.9191080000001</v>
      </c>
      <c r="O479" s="21">
        <v>8231.6236090000002</v>
      </c>
      <c r="P479" s="21">
        <v>8290.0073310000007</v>
      </c>
      <c r="Q479" s="21">
        <v>8419.2340540000005</v>
      </c>
      <c r="R479" s="21">
        <v>8539.3291219999901</v>
      </c>
      <c r="S479" s="21">
        <v>8659.9117150000002</v>
      </c>
      <c r="T479" s="21">
        <v>8778.9656809999997</v>
      </c>
      <c r="U479" s="21">
        <v>8894.3115679999901</v>
      </c>
      <c r="V479" s="21">
        <v>9027.8378470000007</v>
      </c>
      <c r="W479" s="21">
        <v>9173.8331109999999</v>
      </c>
      <c r="X479" s="21">
        <v>9325.9295020000009</v>
      </c>
      <c r="Y479" s="21">
        <v>9481.9397229999995</v>
      </c>
      <c r="Z479" s="21">
        <v>9638.8607460000003</v>
      </c>
      <c r="AA479" s="21">
        <v>9789.5785680000008</v>
      </c>
      <c r="AB479" s="21">
        <v>9942.1439160000009</v>
      </c>
      <c r="AC479" s="21">
        <v>10097.14302</v>
      </c>
      <c r="AD479" s="21">
        <v>10256.68398</v>
      </c>
      <c r="AE479" s="21">
        <v>10426.34842</v>
      </c>
      <c r="AX479" s="3"/>
    </row>
    <row r="480" spans="1:50" s="2" customFormat="1" x14ac:dyDescent="0.25">
      <c r="A480" s="1"/>
      <c r="B480" s="20" t="s">
        <v>40</v>
      </c>
      <c r="C480" s="21">
        <v>28993.50461</v>
      </c>
      <c r="D480" s="21">
        <v>29478.583600000002</v>
      </c>
      <c r="E480" s="21">
        <v>29786.45765</v>
      </c>
      <c r="F480" s="21">
        <v>30113.650529999999</v>
      </c>
      <c r="G480" s="21">
        <v>30391.452740000001</v>
      </c>
      <c r="H480" s="21">
        <v>30803.39588</v>
      </c>
      <c r="I480" s="21">
        <v>31302.365829999999</v>
      </c>
      <c r="J480" s="21">
        <v>31879.993709999999</v>
      </c>
      <c r="K480" s="21">
        <v>32546.348460000001</v>
      </c>
      <c r="L480" s="21">
        <v>32760.574820000002</v>
      </c>
      <c r="M480" s="21">
        <v>32867.681140000001</v>
      </c>
      <c r="N480" s="21">
        <v>33034.400999999998</v>
      </c>
      <c r="O480" s="21">
        <v>33219.548179999998</v>
      </c>
      <c r="P480" s="21">
        <v>33309.830990000002</v>
      </c>
      <c r="Q480" s="21">
        <v>33672.278890000001</v>
      </c>
      <c r="R480" s="21">
        <v>34000.1486</v>
      </c>
      <c r="S480" s="21">
        <v>34318.982730000003</v>
      </c>
      <c r="T480" s="21">
        <v>34626.642480000002</v>
      </c>
      <c r="U480" s="21">
        <v>34922.25045</v>
      </c>
      <c r="V480" s="21">
        <v>35330.317490000001</v>
      </c>
      <c r="W480" s="21">
        <v>35794.012390000004</v>
      </c>
      <c r="X480" s="21">
        <v>36297.91603</v>
      </c>
      <c r="Y480" s="21">
        <v>36808.395020000004</v>
      </c>
      <c r="Z480" s="21">
        <v>37322.704760000001</v>
      </c>
      <c r="AA480" s="21">
        <v>37804.772859999997</v>
      </c>
      <c r="AB480" s="21">
        <v>38291.755949999999</v>
      </c>
      <c r="AC480" s="21">
        <v>38783.058949999999</v>
      </c>
      <c r="AD480" s="21">
        <v>39281.640930000001</v>
      </c>
      <c r="AE480" s="21">
        <v>39787.383900000001</v>
      </c>
      <c r="AX480" s="3"/>
    </row>
    <row r="481" spans="1:50" s="2" customFormat="1" x14ac:dyDescent="0.25">
      <c r="A481" s="1"/>
      <c r="B481" s="20" t="s">
        <v>41</v>
      </c>
      <c r="C481" s="21">
        <v>24380.522120000001</v>
      </c>
      <c r="D481" s="21">
        <v>24901.225760000001</v>
      </c>
      <c r="E481" s="21">
        <v>25211.894530000001</v>
      </c>
      <c r="F481" s="21">
        <v>25578.35426</v>
      </c>
      <c r="G481" s="21">
        <v>25923.04522</v>
      </c>
      <c r="H481" s="21">
        <v>26401.227459999998</v>
      </c>
      <c r="I481" s="21">
        <v>27009.367170000001</v>
      </c>
      <c r="J481" s="21">
        <v>27750.377850000001</v>
      </c>
      <c r="K481" s="21">
        <v>28650.765889999999</v>
      </c>
      <c r="L481" s="21">
        <v>28839.853510000001</v>
      </c>
      <c r="M481" s="21">
        <v>28773.570179999999</v>
      </c>
      <c r="N481" s="21">
        <v>28869.110799999999</v>
      </c>
      <c r="O481" s="21">
        <v>29009.139159999999</v>
      </c>
      <c r="P481" s="21">
        <v>28913.521809999998</v>
      </c>
      <c r="Q481" s="21">
        <v>29284.23806</v>
      </c>
      <c r="R481" s="21">
        <v>29575.983850000001</v>
      </c>
      <c r="S481" s="21">
        <v>29850.794910000001</v>
      </c>
      <c r="T481" s="21">
        <v>30099.345929999999</v>
      </c>
      <c r="U481" s="21">
        <v>30305.46659</v>
      </c>
      <c r="V481" s="21">
        <v>30561.132720000001</v>
      </c>
      <c r="W481" s="21">
        <v>30870.448199999999</v>
      </c>
      <c r="X481" s="21">
        <v>31193.186799999999</v>
      </c>
      <c r="Y481" s="21">
        <v>31524.9221</v>
      </c>
      <c r="Z481" s="21">
        <v>31850.54911</v>
      </c>
      <c r="AA481" s="21">
        <v>32120.317449999999</v>
      </c>
      <c r="AB481" s="21">
        <v>32405.699270000001</v>
      </c>
      <c r="AC481" s="21">
        <v>32696.268510000002</v>
      </c>
      <c r="AD481" s="21">
        <v>33009.551229999997</v>
      </c>
      <c r="AE481" s="21">
        <v>33370.15178</v>
      </c>
      <c r="AX481" s="3"/>
    </row>
    <row r="482" spans="1:50" s="2" customFormat="1" x14ac:dyDescent="0.25">
      <c r="A482" s="1"/>
      <c r="B482" s="20" t="s">
        <v>42</v>
      </c>
      <c r="C482" s="21">
        <v>20837.06337</v>
      </c>
      <c r="D482" s="21">
        <v>21268.882710000002</v>
      </c>
      <c r="E482" s="21">
        <v>21402.62599</v>
      </c>
      <c r="F482" s="21">
        <v>21541.773270000002</v>
      </c>
      <c r="G482" s="21">
        <v>21592.838110000001</v>
      </c>
      <c r="H482" s="21">
        <v>21706.854380000001</v>
      </c>
      <c r="I482" s="21">
        <v>21849.537270000001</v>
      </c>
      <c r="J482" s="21">
        <v>22010.718990000001</v>
      </c>
      <c r="K482" s="21">
        <v>22200.794150000002</v>
      </c>
      <c r="L482" s="21">
        <v>22160.783220000001</v>
      </c>
      <c r="M482" s="21">
        <v>22009.949280000001</v>
      </c>
      <c r="N482" s="21">
        <v>21941.42067</v>
      </c>
      <c r="O482" s="21">
        <v>21890.431970000001</v>
      </c>
      <c r="P482" s="21">
        <v>21727.645769999999</v>
      </c>
      <c r="Q482" s="21">
        <v>21814.838820000001</v>
      </c>
      <c r="R482" s="21">
        <v>21864.175179999998</v>
      </c>
      <c r="S482" s="21">
        <v>21911.307860000001</v>
      </c>
      <c r="T482" s="21">
        <v>21944.711050000002</v>
      </c>
      <c r="U482" s="21">
        <v>21953.573950000002</v>
      </c>
      <c r="V482" s="21">
        <v>21998.931550000001</v>
      </c>
      <c r="W482" s="21">
        <v>22082.46168</v>
      </c>
      <c r="X482" s="21">
        <v>22170.35672</v>
      </c>
      <c r="Y482" s="21">
        <v>22265.159909999998</v>
      </c>
      <c r="Z482" s="21">
        <v>22354.95709</v>
      </c>
      <c r="AA482" s="21">
        <v>22415.714540000001</v>
      </c>
      <c r="AB482" s="21">
        <v>22482.916700000002</v>
      </c>
      <c r="AC482" s="21">
        <v>22552.67784</v>
      </c>
      <c r="AD482" s="21">
        <v>22633.953710000002</v>
      </c>
      <c r="AE482" s="21">
        <v>22750.611069999999</v>
      </c>
      <c r="AX482" s="3"/>
    </row>
    <row r="483" spans="1:50" s="2" customFormat="1" x14ac:dyDescent="0.25">
      <c r="A483" s="1"/>
      <c r="B483" s="20" t="s">
        <v>43</v>
      </c>
      <c r="C483" s="21">
        <v>9938.1594100000002</v>
      </c>
      <c r="D483" s="21">
        <v>10146.393620000001</v>
      </c>
      <c r="E483" s="21">
        <v>10516.907139999999</v>
      </c>
      <c r="F483" s="21">
        <v>10922.19829</v>
      </c>
      <c r="G483" s="21">
        <v>11285.069879999999</v>
      </c>
      <c r="H483" s="21">
        <v>11764.101500000001</v>
      </c>
      <c r="I483" s="21">
        <v>12333.71343</v>
      </c>
      <c r="J483" s="21">
        <v>13000.58677</v>
      </c>
      <c r="K483" s="21">
        <v>13785.90582</v>
      </c>
      <c r="L483" s="21">
        <v>13843.847970000001</v>
      </c>
      <c r="M483" s="21">
        <v>13817.84201</v>
      </c>
      <c r="N483" s="21">
        <v>13848.02295</v>
      </c>
      <c r="O483" s="21">
        <v>13892.981180000001</v>
      </c>
      <c r="P483" s="21">
        <v>13856.885130000001</v>
      </c>
      <c r="Q483" s="21">
        <v>13997.626689999999</v>
      </c>
      <c r="R483" s="21">
        <v>14106.944649999999</v>
      </c>
      <c r="S483" s="21">
        <v>14212.232980000001</v>
      </c>
      <c r="T483" s="21">
        <v>14307.49675</v>
      </c>
      <c r="U483" s="21">
        <v>14387.43478</v>
      </c>
      <c r="V483" s="21">
        <v>14483.606589999999</v>
      </c>
      <c r="W483" s="21">
        <v>14607.916719999999</v>
      </c>
      <c r="X483" s="21">
        <v>14737.052170000001</v>
      </c>
      <c r="Y483" s="21">
        <v>14871.651229999999</v>
      </c>
      <c r="Z483" s="21">
        <v>15002.59852</v>
      </c>
      <c r="AA483" s="21">
        <v>15117.683429999999</v>
      </c>
      <c r="AB483" s="21">
        <v>15233.9005</v>
      </c>
      <c r="AC483" s="21">
        <v>15351.060289999999</v>
      </c>
      <c r="AD483" s="21">
        <v>15475.21413</v>
      </c>
      <c r="AE483" s="21">
        <v>15624.41317</v>
      </c>
      <c r="AX483" s="3"/>
    </row>
    <row r="484" spans="1:50" s="2" customFormat="1" x14ac:dyDescent="0.25">
      <c r="A484" s="1"/>
      <c r="B484" s="20" t="s">
        <v>44</v>
      </c>
      <c r="C484" s="21">
        <v>499781.55570000003</v>
      </c>
      <c r="D484" s="21">
        <v>509534.32809999998</v>
      </c>
      <c r="E484" s="21">
        <v>514682.65169999999</v>
      </c>
      <c r="F484" s="21">
        <v>519393.18459999998</v>
      </c>
      <c r="G484" s="21">
        <v>520686.7671</v>
      </c>
      <c r="H484" s="21">
        <v>523881.26929999999</v>
      </c>
      <c r="I484" s="21">
        <v>528061.554</v>
      </c>
      <c r="J484" s="21">
        <v>532401.2047</v>
      </c>
      <c r="K484" s="21">
        <v>537690.16830000002</v>
      </c>
      <c r="L484" s="21">
        <v>540821.88890000002</v>
      </c>
      <c r="M484" s="21">
        <v>543530.37379999994</v>
      </c>
      <c r="N484" s="21">
        <v>547566.05020000006</v>
      </c>
      <c r="O484" s="21">
        <v>551427.43059999996</v>
      </c>
      <c r="P484" s="21">
        <v>554315.2243</v>
      </c>
      <c r="Q484" s="21">
        <v>559924.92310000001</v>
      </c>
      <c r="R484" s="21">
        <v>565381.06350000005</v>
      </c>
      <c r="S484" s="21">
        <v>571227.50340000005</v>
      </c>
      <c r="T484" s="21">
        <v>576987.14139999996</v>
      </c>
      <c r="U484" s="21">
        <v>581967.24129999999</v>
      </c>
      <c r="V484" s="21">
        <v>588005.7452</v>
      </c>
      <c r="W484" s="21">
        <v>595614.5906</v>
      </c>
      <c r="X484" s="21">
        <v>603212.18160000001</v>
      </c>
      <c r="Y484" s="21">
        <v>610988.70979999995</v>
      </c>
      <c r="Z484" s="21">
        <v>618747.50580000004</v>
      </c>
      <c r="AA484" s="21">
        <v>626161.46129999997</v>
      </c>
      <c r="AB484" s="21">
        <v>633435.51300000004</v>
      </c>
      <c r="AC484" s="21">
        <v>640754.16859999998</v>
      </c>
      <c r="AD484" s="21">
        <v>648191.67619999999</v>
      </c>
      <c r="AE484" s="21">
        <v>656006.90670000005</v>
      </c>
      <c r="AX484" s="3"/>
    </row>
  </sheetData>
  <conditionalFormatting sqref="AY1:AY84">
    <cfRule type="cellIs" dxfId="3" priority="5" stopIfTrue="1" operator="lessThan">
      <formula>0</formula>
    </cfRule>
    <cfRule type="cellIs" dxfId="2" priority="6" stopIfTrue="1" operator="greaterThan">
      <formula>0</formula>
    </cfRule>
  </conditionalFormatting>
  <conditionalFormatting sqref="AY401:AY484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BIORET Lucie</dc:creator>
  <cp:lastModifiedBy>BIORET Lucie</cp:lastModifiedBy>
  <dcterms:created xsi:type="dcterms:W3CDTF">2025-05-27T08:23:32Z</dcterms:created>
  <dcterms:modified xsi:type="dcterms:W3CDTF">2025-05-28T09:34:59Z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ce3bfb-fff1-481a-835b-0a342757958d_Enabled">
    <vt:lpwstr>true</vt:lpwstr>
  </property>
  <property fmtid="{D5CDD505-2E9C-101B-9397-08002B2CF9AE}" pid="3" name="MSIP_Label_98ce3bfb-fff1-481a-835b-0a342757958d_SetDate">
    <vt:lpwstr>2025-05-27T08:30:18Z</vt:lpwstr>
  </property>
  <property fmtid="{D5CDD505-2E9C-101B-9397-08002B2CF9AE}" pid="4" name="MSIP_Label_98ce3bfb-fff1-481a-835b-0a342757958d_Method">
    <vt:lpwstr>Standard</vt:lpwstr>
  </property>
  <property fmtid="{D5CDD505-2E9C-101B-9397-08002B2CF9AE}" pid="5" name="MSIP_Label_98ce3bfb-fff1-481a-835b-0a342757958d_Name">
    <vt:lpwstr>C0 - Public</vt:lpwstr>
  </property>
  <property fmtid="{D5CDD505-2E9C-101B-9397-08002B2CF9AE}" pid="6" name="MSIP_Label_98ce3bfb-fff1-481a-835b-0a342757958d_SiteId">
    <vt:lpwstr>cb6c2492-4a85-4b15-85a1-ed94d47e5849</vt:lpwstr>
  </property>
  <property fmtid="{D5CDD505-2E9C-101B-9397-08002B2CF9AE}" pid="7" name="MSIP_Label_98ce3bfb-fff1-481a-835b-0a342757958d_ActionId">
    <vt:lpwstr>0d72078a-4b3b-464c-813d-2348291b9f2f</vt:lpwstr>
  </property>
  <property fmtid="{D5CDD505-2E9C-101B-9397-08002B2CF9AE}" pid="8" name="MSIP_Label_98ce3bfb-fff1-481a-835b-0a342757958d_ContentBits">
    <vt:lpwstr>0</vt:lpwstr>
  </property>
  <property fmtid="{D5CDD505-2E9C-101B-9397-08002B2CF9AE}" pid="9" name="MSIP_Label_98ce3bfb-fff1-481a-835b-0a342757958d_Tag">
    <vt:lpwstr>10, 3, 0, 1</vt:lpwstr>
  </property>
</Properties>
</file>