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DEME - Trajectoires 2020\09_ResultsAnalysis\Fichiers de sortie\Envoi - 202111\"/>
    </mc:Choice>
  </mc:AlternateContent>
  <bookViews>
    <workbookView xWindow="19095" yWindow="-105" windowWidth="19425" windowHeight="10425" tabRatio="894" activeTab="4"/>
  </bookViews>
  <sheets>
    <sheet name="Confidentialité" sheetId="41" r:id="rId1"/>
    <sheet name="Investissements" sheetId="12" r:id="rId2"/>
    <sheet name="Production" sheetId="44" r:id="rId3"/>
    <sheet name="Taux de charge" sheetId="46" r:id="rId4"/>
    <sheet name="Consommation" sheetId="45" r:id="rId5"/>
    <sheet name="Echanges européens" sheetId="17" r:id="rId6"/>
    <sheet name="Ecrêtement" sheetId="23" r:id="rId7"/>
    <sheet name="CO2_Emissions" sheetId="33" r:id="rId8"/>
    <sheet name="Coûts marginaux" sheetId="47" r:id="rId9"/>
    <sheet name="Prod_TWh" sheetId="14" state="hidden" r:id="rId10"/>
    <sheet name="Installé_CAPA_MW" sheetId="2" state="hidden" r:id="rId11"/>
  </sheets>
  <externalReferences>
    <externalReference r:id="rId12"/>
  </externalReferences>
  <definedNames>
    <definedName name="_xlnm._FilterDatabase" localSheetId="10" hidden="1">Installé_CAPA_MW!$A$1:$B$19</definedName>
    <definedName name="MWtoGW" localSheetId="8">[1]Annexe!$G$3</definedName>
    <definedName name="MWtoGW">#REF!</definedName>
    <definedName name="WtoMW" localSheetId="8">[1]Annexe!$G$2</definedName>
    <definedName name="WtoMW">#REF!</definedName>
    <definedName name="WtoTW" localSheetId="8">[1]Annexe!$G$4</definedName>
    <definedName name="WtoT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4" l="1"/>
  <c r="K30" i="2" l="1"/>
  <c r="J30" i="2"/>
  <c r="I30" i="2"/>
  <c r="H30" i="2"/>
  <c r="G30" i="2"/>
  <c r="F30" i="2"/>
  <c r="E30" i="2"/>
  <c r="D30" i="2"/>
  <c r="C30" i="2"/>
  <c r="K29" i="2"/>
  <c r="J29" i="2"/>
  <c r="I29" i="2"/>
  <c r="H29" i="2"/>
  <c r="G29" i="2"/>
  <c r="F29" i="2"/>
  <c r="E29" i="2"/>
  <c r="D29" i="2"/>
  <c r="C29" i="2"/>
  <c r="K28" i="2"/>
  <c r="J28" i="2"/>
  <c r="I28" i="2"/>
  <c r="H28" i="2"/>
  <c r="G28" i="2"/>
  <c r="F28" i="2"/>
  <c r="E28" i="2"/>
  <c r="D28" i="2"/>
  <c r="C28" i="2"/>
  <c r="K27" i="2"/>
  <c r="J27" i="2"/>
  <c r="I27" i="2"/>
  <c r="H27" i="2"/>
  <c r="G27" i="2"/>
  <c r="F27" i="2"/>
  <c r="E27" i="2"/>
  <c r="D27" i="2"/>
  <c r="C27" i="2"/>
  <c r="K26" i="2"/>
  <c r="J26" i="2"/>
  <c r="I26" i="2"/>
  <c r="H26" i="2"/>
  <c r="G26" i="2"/>
  <c r="F26" i="2"/>
  <c r="E26" i="2"/>
  <c r="D26" i="2"/>
  <c r="C26" i="2"/>
  <c r="K25" i="2"/>
  <c r="J25" i="2"/>
  <c r="I25" i="2"/>
  <c r="H25" i="2"/>
  <c r="G25" i="2"/>
  <c r="F25" i="2"/>
  <c r="E25" i="2"/>
  <c r="D25" i="2"/>
  <c r="C25" i="2"/>
  <c r="K24" i="2"/>
  <c r="J24" i="2"/>
  <c r="I24" i="2"/>
  <c r="H24" i="2"/>
  <c r="G24" i="2"/>
  <c r="F24" i="2"/>
  <c r="E24" i="2"/>
  <c r="D24" i="2"/>
  <c r="C24" i="2"/>
  <c r="K23" i="2"/>
  <c r="J23" i="2"/>
  <c r="I23" i="2"/>
  <c r="H23" i="2"/>
  <c r="G23" i="2"/>
  <c r="F23" i="2"/>
  <c r="E23" i="2"/>
  <c r="D23" i="2"/>
  <c r="C23" i="2"/>
  <c r="K22" i="2"/>
  <c r="J22" i="2"/>
  <c r="I22" i="2"/>
  <c r="H22" i="2"/>
  <c r="G22" i="2"/>
  <c r="F22" i="2"/>
  <c r="E22" i="2"/>
  <c r="D22" i="2"/>
  <c r="C22" i="2"/>
  <c r="K21" i="2"/>
  <c r="J21" i="2"/>
  <c r="I21" i="2"/>
  <c r="H21" i="2"/>
  <c r="G21" i="2"/>
  <c r="F21" i="2"/>
  <c r="E21" i="2"/>
  <c r="D21" i="2"/>
  <c r="C21" i="2"/>
  <c r="K20" i="2"/>
  <c r="J20" i="2"/>
  <c r="I20" i="2"/>
  <c r="H20" i="2"/>
  <c r="G20" i="2"/>
  <c r="F20" i="2"/>
  <c r="E20" i="2"/>
  <c r="D20" i="2"/>
  <c r="C20" i="2"/>
  <c r="K19" i="2"/>
  <c r="J19" i="2"/>
  <c r="I19" i="2"/>
  <c r="H19" i="2"/>
  <c r="G19" i="2"/>
  <c r="F19" i="2"/>
  <c r="E19" i="2"/>
  <c r="D19" i="2"/>
  <c r="C19" i="2"/>
  <c r="K18" i="2"/>
  <c r="J18" i="2"/>
  <c r="I18" i="2"/>
  <c r="H18" i="2"/>
  <c r="G18" i="2"/>
  <c r="F18" i="2"/>
  <c r="E18" i="2"/>
  <c r="D18" i="2"/>
  <c r="C18" i="2"/>
  <c r="K17" i="2"/>
  <c r="J17" i="2"/>
  <c r="I17" i="2"/>
  <c r="H17" i="2"/>
  <c r="G17" i="2"/>
  <c r="F17" i="2"/>
  <c r="E17" i="2"/>
  <c r="D17" i="2"/>
  <c r="C17" i="2"/>
  <c r="K16" i="2"/>
  <c r="J16" i="2"/>
  <c r="I16" i="2"/>
  <c r="H16" i="2"/>
  <c r="G16" i="2"/>
  <c r="F16" i="2"/>
  <c r="E16" i="2"/>
  <c r="D16" i="2"/>
  <c r="C16" i="2"/>
  <c r="K15" i="2"/>
  <c r="J15" i="2"/>
  <c r="I15" i="2"/>
  <c r="H15" i="2"/>
  <c r="G15" i="2"/>
  <c r="F15" i="2"/>
  <c r="E15" i="2"/>
  <c r="D15" i="2"/>
  <c r="C15" i="2"/>
  <c r="K14" i="2"/>
  <c r="J14" i="2"/>
  <c r="I14" i="2"/>
  <c r="H14" i="2"/>
  <c r="G14" i="2"/>
  <c r="F14" i="2"/>
  <c r="E14" i="2"/>
  <c r="D14" i="2"/>
  <c r="C14" i="2"/>
  <c r="K13" i="2"/>
  <c r="J13" i="2"/>
  <c r="I13" i="2"/>
  <c r="H13" i="2"/>
  <c r="G13" i="2"/>
  <c r="F13" i="2"/>
  <c r="E13" i="2"/>
  <c r="D13" i="2"/>
  <c r="C13" i="2"/>
  <c r="K12" i="2"/>
  <c r="J12" i="2"/>
  <c r="I12" i="2"/>
  <c r="H12" i="2"/>
  <c r="G12" i="2"/>
  <c r="F12" i="2"/>
  <c r="E12" i="2"/>
  <c r="D12" i="2"/>
  <c r="C12" i="2"/>
  <c r="K11" i="2"/>
  <c r="J11" i="2"/>
  <c r="I11" i="2"/>
  <c r="H11" i="2"/>
  <c r="G11" i="2"/>
  <c r="F11" i="2"/>
  <c r="E11" i="2"/>
  <c r="D11" i="2"/>
  <c r="C11" i="2"/>
  <c r="K10" i="2"/>
  <c r="J10" i="2"/>
  <c r="I10" i="2"/>
  <c r="H10" i="2"/>
  <c r="G10" i="2"/>
  <c r="F10" i="2"/>
  <c r="E10" i="2"/>
  <c r="D10" i="2"/>
  <c r="C10" i="2"/>
  <c r="K9" i="2"/>
  <c r="J9" i="2"/>
  <c r="I9" i="2"/>
  <c r="H9" i="2"/>
  <c r="G9" i="2"/>
  <c r="F9" i="2"/>
  <c r="E9" i="2"/>
  <c r="D9" i="2"/>
  <c r="C9" i="2"/>
  <c r="K8" i="2"/>
  <c r="J8" i="2"/>
  <c r="I8" i="2"/>
  <c r="H8" i="2"/>
  <c r="G8" i="2"/>
  <c r="F8" i="2"/>
  <c r="E8" i="2"/>
  <c r="D8" i="2"/>
  <c r="C8" i="2"/>
  <c r="K7" i="2"/>
  <c r="J7" i="2"/>
  <c r="I7" i="2"/>
  <c r="H7" i="2"/>
  <c r="G7" i="2"/>
  <c r="F7" i="2"/>
  <c r="E7" i="2"/>
  <c r="D7" i="2"/>
  <c r="C7" i="2"/>
  <c r="K6" i="2"/>
  <c r="J6" i="2"/>
  <c r="I6" i="2"/>
  <c r="H6" i="2"/>
  <c r="G6" i="2"/>
  <c r="F6" i="2"/>
  <c r="E6" i="2"/>
  <c r="D6" i="2"/>
  <c r="C6" i="2"/>
  <c r="K5" i="2"/>
  <c r="J5" i="2"/>
  <c r="I5" i="2"/>
  <c r="H5" i="2"/>
  <c r="G5" i="2"/>
  <c r="F5" i="2"/>
  <c r="E5" i="2"/>
  <c r="D5" i="2"/>
  <c r="C5" i="2"/>
  <c r="K4" i="2"/>
  <c r="J4" i="2"/>
  <c r="I4" i="2"/>
  <c r="H4" i="2"/>
  <c r="G4" i="2"/>
  <c r="F4" i="2"/>
  <c r="E4" i="2"/>
  <c r="D4" i="2"/>
  <c r="C4" i="2"/>
  <c r="K3" i="2"/>
  <c r="J3" i="2"/>
  <c r="I3" i="2"/>
  <c r="H3" i="2"/>
  <c r="G3" i="2"/>
  <c r="F3" i="2"/>
  <c r="E3" i="2"/>
  <c r="D3" i="2"/>
  <c r="C3" i="2"/>
  <c r="K2" i="2"/>
  <c r="J2" i="2"/>
  <c r="I2" i="2"/>
  <c r="H2" i="2"/>
  <c r="G2" i="2"/>
  <c r="F2" i="2"/>
  <c r="E2" i="2"/>
  <c r="D2" i="2"/>
  <c r="C2" i="2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AB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C2" i="14"/>
</calcChain>
</file>

<file path=xl/sharedStrings.xml><?xml version="1.0" encoding="utf-8"?>
<sst xmlns="http://schemas.openxmlformats.org/spreadsheetml/2006/main" count="738" uniqueCount="174">
  <si>
    <t>CCGT fleet</t>
  </si>
  <si>
    <t>Lithium ion battery fleet</t>
  </si>
  <si>
    <t>OCGT fleet</t>
  </si>
  <si>
    <t>France</t>
  </si>
  <si>
    <t>Zone</t>
  </si>
  <si>
    <t>Techno</t>
  </si>
  <si>
    <t>CAES fleet</t>
  </si>
  <si>
    <t>Coal fleet</t>
  </si>
  <si>
    <t>Hydro fleet</t>
  </si>
  <si>
    <t>Nuclear fleet</t>
  </si>
  <si>
    <t>Oil fleet</t>
  </si>
  <si>
    <t>Other renewable fleet</t>
  </si>
  <si>
    <t>Other thermal fleet</t>
  </si>
  <si>
    <t>Pumped storage fleet</t>
  </si>
  <si>
    <t>Solar fleet</t>
  </si>
  <si>
    <t>Solar roof fleet</t>
  </si>
  <si>
    <t>Wind floating fleet</t>
  </si>
  <si>
    <t>Wind offshore fleet</t>
  </si>
  <si>
    <t>Wind onshore fleet</t>
  </si>
  <si>
    <t>Wind onshore new fleet</t>
  </si>
  <si>
    <t>Technologie</t>
  </si>
  <si>
    <t>Nucléaire</t>
  </si>
  <si>
    <t>Autres thermiques</t>
  </si>
  <si>
    <t>Electric Vehicles</t>
  </si>
  <si>
    <t>ademe_france_v0/C2020</t>
  </si>
  <si>
    <t>Test case 0</t>
  </si>
  <si>
    <t>ademe_france_v0/C2025</t>
  </si>
  <si>
    <t>ademe_france_v0/C2030</t>
  </si>
  <si>
    <t>ademe_france_v0/C2035</t>
  </si>
  <si>
    <t>ademe_france_v0/C2040</t>
  </si>
  <si>
    <t>ademe_france_v0/C2045</t>
  </si>
  <si>
    <t>ademe_france_v0/C2050</t>
  </si>
  <si>
    <t>ademe_france_v0/C2055</t>
  </si>
  <si>
    <t>ademe_france_v0/C2060</t>
  </si>
  <si>
    <t>EPR</t>
  </si>
  <si>
    <t>Autres renouvelables</t>
  </si>
  <si>
    <t>Total</t>
  </si>
  <si>
    <t>Hydro</t>
  </si>
  <si>
    <t>Détail EnR (GW)</t>
  </si>
  <si>
    <t>Biomass fleet</t>
  </si>
  <si>
    <t>Bioplant storage fleet</t>
  </si>
  <si>
    <t>Geothermal fleet</t>
  </si>
  <si>
    <t>Lignite fleet</t>
  </si>
  <si>
    <t>Marine fleet</t>
  </si>
  <si>
    <t>Ocean tidal fleet</t>
  </si>
  <si>
    <t>Ocean Wave fleet</t>
  </si>
  <si>
    <t>Renewable thermal fleet</t>
  </si>
  <si>
    <t>P2Heat</t>
  </si>
  <si>
    <t>Imports</t>
  </si>
  <si>
    <t>Exports</t>
  </si>
  <si>
    <t>Bilan exportateur net</t>
  </si>
  <si>
    <t>CentralEurope</t>
  </si>
  <si>
    <t>Iberia</t>
  </si>
  <si>
    <t>UKIreland</t>
  </si>
  <si>
    <t>PV Grandes Toitures</t>
  </si>
  <si>
    <t>Solar small roof fleet</t>
  </si>
  <si>
    <t>OCGT</t>
  </si>
  <si>
    <t>CCGT</t>
  </si>
  <si>
    <t>Charbon</t>
  </si>
  <si>
    <t>Détail Nucléaire (GW)</t>
  </si>
  <si>
    <t>P2H2 industrie</t>
  </si>
  <si>
    <t>P2H2 mobilités et autres industries</t>
  </si>
  <si>
    <t>Chauffage pilotable</t>
  </si>
  <si>
    <t>Batteries</t>
  </si>
  <si>
    <t>STEP</t>
  </si>
  <si>
    <t>Confidentialité</t>
  </si>
  <si>
    <t>Ces résultats sont confidentiels et restreints au membres du Comité de pilotage de l'étude Trajectoire.</t>
  </si>
  <si>
    <t xml:space="preserve">Toute diffusion plus large des résultats est à valider avec Artelys. </t>
  </si>
  <si>
    <t>Emissions de CO2 en ktonnes en France</t>
  </si>
  <si>
    <t>PV</t>
  </si>
  <si>
    <t>Eolien Terrestre</t>
  </si>
  <si>
    <t>Nucléaire historique résiduel</t>
  </si>
  <si>
    <t>Nucléaire historique prolongé</t>
  </si>
  <si>
    <t>PV  Grandes Toitures</t>
  </si>
  <si>
    <t>PV Petites Toitures</t>
  </si>
  <si>
    <t>PV Toitures total</t>
  </si>
  <si>
    <t>PV Sol total</t>
  </si>
  <si>
    <t>Capacités régionales en MW</t>
  </si>
  <si>
    <t>Détail Eolien Terrestre</t>
  </si>
  <si>
    <t>PV Sol fixe</t>
  </si>
  <si>
    <t>PV Sol tracker</t>
  </si>
  <si>
    <t>Eolien en mer Flottant</t>
  </si>
  <si>
    <t>Eolien en mer Posé</t>
  </si>
  <si>
    <t>Auvergne-Rhone-Alpes</t>
  </si>
  <si>
    <t>Bourgogne-Franche-Comte</t>
  </si>
  <si>
    <t>Bretagne</t>
  </si>
  <si>
    <t>Centre-Val-de-Loire</t>
  </si>
  <si>
    <t>Grand-Est</t>
  </si>
  <si>
    <t>Hauts-de-France</t>
  </si>
  <si>
    <t>Ile-de-France</t>
  </si>
  <si>
    <t>Normandie</t>
  </si>
  <si>
    <t>Nouvelle-Aquitaine</t>
  </si>
  <si>
    <t>Occitanie</t>
  </si>
  <si>
    <t>Pays-de-la-Loire</t>
  </si>
  <si>
    <t>Provence-Alpes-Cote-d'Azur</t>
  </si>
  <si>
    <t>Nucléaire historique</t>
  </si>
  <si>
    <t>Nucléaire prolongé</t>
  </si>
  <si>
    <t>Nucléaire EPR</t>
  </si>
  <si>
    <t>PV  Sol</t>
  </si>
  <si>
    <t>PV Toitures</t>
  </si>
  <si>
    <t>Géothermie</t>
  </si>
  <si>
    <t>CHP Biogaz</t>
  </si>
  <si>
    <t>CHP Biomasse</t>
  </si>
  <si>
    <t>Autres thermiques (CHP fioul, gaz)</t>
  </si>
  <si>
    <t>CHP UIOM</t>
  </si>
  <si>
    <t>Capacités installées en GW</t>
  </si>
  <si>
    <t>Energies Marines Renouvelables</t>
  </si>
  <si>
    <t>Production en TWh</t>
  </si>
  <si>
    <t>Détail EnR</t>
  </si>
  <si>
    <t>Turbines Gaz</t>
  </si>
  <si>
    <t>Résumé Production Electricité</t>
  </si>
  <si>
    <t>Eolien en mer</t>
  </si>
  <si>
    <t>Consommation domestique</t>
  </si>
  <si>
    <t>Consommation en TWh</t>
  </si>
  <si>
    <t>Capacités en GW</t>
  </si>
  <si>
    <t>Italy</t>
  </si>
  <si>
    <t>SouthEastEurope</t>
  </si>
  <si>
    <t>Taux de charge en %</t>
  </si>
  <si>
    <t>P2H2 (TWh_H2)</t>
  </si>
  <si>
    <t>Renouvelables</t>
  </si>
  <si>
    <t>Catégories</t>
  </si>
  <si>
    <t>Part renouvelable</t>
  </si>
  <si>
    <t>Part nucléaire</t>
  </si>
  <si>
    <t>Chauffage Joule pilotable</t>
  </si>
  <si>
    <t>Chauffage Joule non-pilotable</t>
  </si>
  <si>
    <t>ECS pilotable</t>
  </si>
  <si>
    <t>ECS non-pilotable</t>
  </si>
  <si>
    <t>Produits blancs pilotables</t>
  </si>
  <si>
    <t>Produits blancs non-pilotables</t>
  </si>
  <si>
    <t>VE pilotables</t>
  </si>
  <si>
    <t>VE non-pilotables</t>
  </si>
  <si>
    <t>Chauffage PAC pilotable</t>
  </si>
  <si>
    <t>Chauffage PAC non-pilotable</t>
  </si>
  <si>
    <t>Climatisation pilotable</t>
  </si>
  <si>
    <t>Climatisation non-pilotable</t>
  </si>
  <si>
    <t>Industrie pilotable</t>
  </si>
  <si>
    <t>Industrie non-pilotable</t>
  </si>
  <si>
    <t>Autres (non-pilotable)</t>
  </si>
  <si>
    <t>Composante</t>
  </si>
  <si>
    <t>Electrolyseurs optimisés</t>
  </si>
  <si>
    <t>Chauffage Joule</t>
  </si>
  <si>
    <t>Chauffage PAC</t>
  </si>
  <si>
    <t>ECS et produits blancs</t>
  </si>
  <si>
    <t>Climatisation</t>
  </si>
  <si>
    <t>Véhicules électriques</t>
  </si>
  <si>
    <t>Industrie</t>
  </si>
  <si>
    <t>Electrolyseurs</t>
  </si>
  <si>
    <t>Autres</t>
  </si>
  <si>
    <t>Résumé Consommation par usage</t>
  </si>
  <si>
    <t>Résumé Consommation pilotable</t>
  </si>
  <si>
    <t>ECS et produits blancs pilotables</t>
  </si>
  <si>
    <t>Véhicules électriques pilotables</t>
  </si>
  <si>
    <t>Consommations non-pilotables</t>
  </si>
  <si>
    <t>Electrolyseurs quasi-base</t>
  </si>
  <si>
    <t>P2H2 (GW_H2)</t>
  </si>
  <si>
    <t>Ecrêtement en TWh</t>
  </si>
  <si>
    <t>Volumes en TWh</t>
  </si>
  <si>
    <t>Moyenne temporelle</t>
  </si>
  <si>
    <t>Coûts marginaux (€/MWh)</t>
  </si>
  <si>
    <t>P2H2</t>
  </si>
  <si>
    <t>Evitées par P2H2</t>
  </si>
  <si>
    <t>Bilan</t>
  </si>
  <si>
    <t>Emissions de CO2 en ktonnes en Europe sauf France</t>
  </si>
  <si>
    <t>Production électrique</t>
  </si>
  <si>
    <t>Bilan net toute Europe</t>
  </si>
  <si>
    <t>Emissions de CO2 en ktonnes en Europe</t>
  </si>
  <si>
    <t>Moyenne énergie</t>
  </si>
  <si>
    <t>NA</t>
  </si>
  <si>
    <t>Baisse France/Baisse Europe</t>
  </si>
  <si>
    <t>Production du stockage (TWh)</t>
  </si>
  <si>
    <t>Consommation du stockage (TWh)</t>
  </si>
  <si>
    <t>Prolongement nucléaire</t>
  </si>
  <si>
    <t>Consommation gaz PAC hybrides</t>
  </si>
  <si>
    <t>Capacités nouvelles en GW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</si>
</sst>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€_-;\-* #,##0.00\ _€_-;_-* &quot;-&quot;??\ _€_-;_-@_-"/>
    <numFmt numFmtId="164" formatCode="0.0"/>
    <numFmt numFmtId="165" formatCode="_-* #,##0.0\ _€_-;\-* #,##0.0\ _€_-;_-* &quot;-&quot;??\ _€_-;_-@_-"/>
    <numFmt numFmtId="166" formatCode="_-* #,##0\ _€_-;\-* #,##0\ _€_-;_-* &quot;-&quot;??\ _€_-;_-@_-"/>
  </numFmts>
  <fonts count="1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9"/>
      <name val="Calibri"/>
      <family val="2"/>
    </font>
    <font>
      <sz val="11"/>
      <color indexed="8"/>
      <name val="Calibri"/>
      <family val="2"/>
      <scheme val="minor"/>
    </font>
    <font>
      <sz val="11"/>
      <color indexed="9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indexed="8"/>
      <name val="Calibri"/>
      <family val="2"/>
      <scheme val="minor"/>
    </font>
    <font>
      <sz val="11"/>
      <color indexed="9"/>
      <name val="Calibri"/>
      <family val="2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63"/>
      </patternFill>
    </fill>
    <fill>
      <patternFill patternType="solid">
        <fgColor indexed="5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9" fillId="0" borderId="0" applyFont="0" applyFill="0" applyBorder="0" applyAlignment="0" applyProtection="0"/>
    <xf numFmtId="0" fontId="7" fillId="0" borderId="0"/>
    <xf numFmtId="0" fontId="5" fillId="0" borderId="0"/>
    <xf numFmtId="43" fontId="9" fillId="0" borderId="0" applyFont="0" applyFill="0" applyBorder="0" applyAlignment="0" applyProtection="0"/>
  </cellStyleXfs>
  <cellXfs count="171">
    <xf numFmtId="0" fontId="0" fillId="0" borderId="0" xfId="0"/>
    <xf numFmtId="0" fontId="8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4" borderId="2" xfId="0" applyFill="1" applyBorder="1"/>
    <xf numFmtId="0" fontId="8" fillId="2" borderId="2" xfId="0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right" wrapText="1"/>
    </xf>
    <xf numFmtId="0" fontId="10" fillId="3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right" wrapText="1"/>
    </xf>
    <xf numFmtId="0" fontId="13" fillId="0" borderId="0" xfId="0" applyFont="1"/>
    <xf numFmtId="1" fontId="0" fillId="0" borderId="0" xfId="0" applyNumberFormat="1"/>
    <xf numFmtId="11" fontId="0" fillId="0" borderId="0" xfId="0" applyNumberFormat="1" applyFill="1"/>
    <xf numFmtId="1" fontId="0" fillId="0" borderId="0" xfId="0" applyNumberFormat="1" applyFill="1" applyBorder="1"/>
    <xf numFmtId="1" fontId="0" fillId="0" borderId="0" xfId="0" applyNumberFormat="1" applyBorder="1" applyAlignment="1">
      <alignment horizontal="right" wrapText="1"/>
    </xf>
    <xf numFmtId="0" fontId="10" fillId="0" borderId="0" xfId="0" applyFont="1" applyFill="1" applyBorder="1" applyAlignment="1">
      <alignment horizontal="center" vertical="center"/>
    </xf>
    <xf numFmtId="0" fontId="0" fillId="0" borderId="0" xfId="0" applyBorder="1"/>
    <xf numFmtId="9" fontId="0" fillId="5" borderId="0" xfId="1" applyFont="1" applyFill="1" applyBorder="1"/>
    <xf numFmtId="9" fontId="0" fillId="5" borderId="8" xfId="1" applyFont="1" applyFill="1" applyBorder="1"/>
    <xf numFmtId="9" fontId="0" fillId="5" borderId="9" xfId="1" applyFont="1" applyFill="1" applyBorder="1"/>
    <xf numFmtId="9" fontId="0" fillId="5" borderId="11" xfId="1" applyFont="1" applyFill="1" applyBorder="1"/>
    <xf numFmtId="9" fontId="0" fillId="5" borderId="12" xfId="1" applyFont="1" applyFill="1" applyBorder="1"/>
    <xf numFmtId="9" fontId="0" fillId="5" borderId="13" xfId="1" applyFont="1" applyFill="1" applyBorder="1"/>
    <xf numFmtId="9" fontId="0" fillId="5" borderId="7" xfId="1" applyFont="1" applyFill="1" applyBorder="1"/>
    <xf numFmtId="9" fontId="0" fillId="5" borderId="14" xfId="1" applyFont="1" applyFill="1" applyBorder="1"/>
    <xf numFmtId="0" fontId="0" fillId="6" borderId="11" xfId="0" applyFill="1" applyBorder="1" applyAlignment="1">
      <alignment horizontal="center"/>
    </xf>
    <xf numFmtId="0" fontId="0" fillId="6" borderId="8" xfId="0" applyFill="1" applyBorder="1"/>
    <xf numFmtId="0" fontId="0" fillId="6" borderId="11" xfId="0" applyFill="1" applyBorder="1"/>
    <xf numFmtId="0" fontId="0" fillId="6" borderId="13" xfId="0" applyFill="1" applyBorder="1"/>
    <xf numFmtId="0" fontId="0" fillId="6" borderId="16" xfId="0" applyFill="1" applyBorder="1"/>
    <xf numFmtId="0" fontId="11" fillId="6" borderId="4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1" fontId="0" fillId="5" borderId="13" xfId="0" applyNumberFormat="1" applyFill="1" applyBorder="1"/>
    <xf numFmtId="1" fontId="0" fillId="5" borderId="7" xfId="0" applyNumberFormat="1" applyFill="1" applyBorder="1"/>
    <xf numFmtId="1" fontId="0" fillId="5" borderId="14" xfId="0" applyNumberFormat="1" applyFill="1" applyBorder="1"/>
    <xf numFmtId="1" fontId="0" fillId="5" borderId="9" xfId="0" applyNumberFormat="1" applyFill="1" applyBorder="1"/>
    <xf numFmtId="1" fontId="0" fillId="5" borderId="10" xfId="0" applyNumberFormat="1" applyFill="1" applyBorder="1"/>
    <xf numFmtId="1" fontId="0" fillId="5" borderId="0" xfId="0" applyNumberFormat="1" applyFill="1" applyBorder="1"/>
    <xf numFmtId="1" fontId="0" fillId="5" borderId="12" xfId="0" applyNumberFormat="1" applyFill="1" applyBorder="1"/>
    <xf numFmtId="0" fontId="0" fillId="6" borderId="13" xfId="0" applyFill="1" applyBorder="1" applyAlignment="1">
      <alignment horizontal="center"/>
    </xf>
    <xf numFmtId="0" fontId="11" fillId="6" borderId="9" xfId="0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1" fontId="0" fillId="5" borderId="8" xfId="0" applyNumberFormat="1" applyFill="1" applyBorder="1"/>
    <xf numFmtId="1" fontId="0" fillId="5" borderId="11" xfId="0" applyNumberFormat="1" applyFill="1" applyBorder="1"/>
    <xf numFmtId="0" fontId="11" fillId="6" borderId="8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6" borderId="15" xfId="0" applyFill="1" applyBorder="1"/>
    <xf numFmtId="0" fontId="12" fillId="6" borderId="2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1" fontId="15" fillId="5" borderId="8" xfId="0" applyNumberFormat="1" applyFont="1" applyFill="1" applyBorder="1"/>
    <xf numFmtId="1" fontId="15" fillId="5" borderId="9" xfId="0" applyNumberFormat="1" applyFont="1" applyFill="1" applyBorder="1"/>
    <xf numFmtId="1" fontId="15" fillId="5" borderId="10" xfId="0" applyNumberFormat="1" applyFont="1" applyFill="1" applyBorder="1"/>
    <xf numFmtId="1" fontId="15" fillId="5" borderId="13" xfId="0" applyNumberFormat="1" applyFont="1" applyFill="1" applyBorder="1"/>
    <xf numFmtId="1" fontId="15" fillId="5" borderId="7" xfId="0" applyNumberFormat="1" applyFont="1" applyFill="1" applyBorder="1"/>
    <xf numFmtId="1" fontId="15" fillId="5" borderId="14" xfId="0" applyNumberFormat="1" applyFont="1" applyFill="1" applyBorder="1"/>
    <xf numFmtId="0" fontId="14" fillId="3" borderId="1" xfId="0" applyFont="1" applyFill="1" applyBorder="1" applyAlignment="1">
      <alignment horizontal="center" vertical="center"/>
    </xf>
    <xf numFmtId="9" fontId="0" fillId="5" borderId="10" xfId="1" applyFont="1" applyFill="1" applyBorder="1"/>
    <xf numFmtId="0" fontId="0" fillId="6" borderId="3" xfId="0" applyFill="1" applyBorder="1"/>
    <xf numFmtId="0" fontId="0" fillId="6" borderId="2" xfId="0" applyFill="1" applyBorder="1" applyAlignment="1"/>
    <xf numFmtId="0" fontId="4" fillId="6" borderId="4" xfId="0" applyFont="1" applyFill="1" applyBorder="1" applyAlignment="1">
      <alignment horizontal="left"/>
    </xf>
    <xf numFmtId="164" fontId="6" fillId="5" borderId="8" xfId="0" applyNumberFormat="1" applyFont="1" applyFill="1" applyBorder="1"/>
    <xf numFmtId="164" fontId="6" fillId="5" borderId="13" xfId="0" applyNumberFormat="1" applyFont="1" applyFill="1" applyBorder="1"/>
    <xf numFmtId="0" fontId="0" fillId="6" borderId="4" xfId="0" applyFill="1" applyBorder="1" applyAlignment="1"/>
    <xf numFmtId="164" fontId="0" fillId="5" borderId="11" xfId="0" applyNumberFormat="1" applyFill="1" applyBorder="1"/>
    <xf numFmtId="164" fontId="0" fillId="5" borderId="8" xfId="0" applyNumberFormat="1" applyFill="1" applyBorder="1"/>
    <xf numFmtId="164" fontId="0" fillId="5" borderId="9" xfId="0" applyNumberFormat="1" applyFill="1" applyBorder="1"/>
    <xf numFmtId="164" fontId="0" fillId="5" borderId="0" xfId="0" applyNumberFormat="1" applyFill="1" applyBorder="1"/>
    <xf numFmtId="164" fontId="0" fillId="5" borderId="12" xfId="0" applyNumberFormat="1" applyFill="1" applyBorder="1"/>
    <xf numFmtId="164" fontId="0" fillId="5" borderId="13" xfId="0" applyNumberFormat="1" applyFill="1" applyBorder="1"/>
    <xf numFmtId="164" fontId="0" fillId="5" borderId="7" xfId="0" applyNumberFormat="1" applyFill="1" applyBorder="1"/>
    <xf numFmtId="164" fontId="0" fillId="5" borderId="14" xfId="0" applyNumberFormat="1" applyFill="1" applyBorder="1"/>
    <xf numFmtId="164" fontId="6" fillId="5" borderId="0" xfId="0" applyNumberFormat="1" applyFont="1" applyFill="1" applyBorder="1"/>
    <xf numFmtId="164" fontId="6" fillId="5" borderId="9" xfId="0" applyNumberFormat="1" applyFont="1" applyFill="1" applyBorder="1"/>
    <xf numFmtId="164" fontId="6" fillId="5" borderId="10" xfId="0" applyNumberFormat="1" applyFont="1" applyFill="1" applyBorder="1"/>
    <xf numFmtId="164" fontId="6" fillId="5" borderId="11" xfId="0" applyNumberFormat="1" applyFont="1" applyFill="1" applyBorder="1"/>
    <xf numFmtId="164" fontId="6" fillId="5" borderId="12" xfId="0" applyNumberFormat="1" applyFont="1" applyFill="1" applyBorder="1"/>
    <xf numFmtId="164" fontId="6" fillId="5" borderId="9" xfId="4" applyNumberFormat="1" applyFont="1" applyFill="1" applyBorder="1"/>
    <xf numFmtId="164" fontId="6" fillId="5" borderId="10" xfId="4" applyNumberFormat="1" applyFont="1" applyFill="1" applyBorder="1"/>
    <xf numFmtId="164" fontId="6" fillId="5" borderId="0" xfId="4" applyNumberFormat="1" applyFont="1" applyFill="1" applyBorder="1"/>
    <xf numFmtId="164" fontId="6" fillId="5" borderId="12" xfId="4" applyNumberFormat="1" applyFont="1" applyFill="1" applyBorder="1"/>
    <xf numFmtId="164" fontId="13" fillId="5" borderId="0" xfId="4" applyNumberFormat="1" applyFont="1" applyFill="1" applyBorder="1"/>
    <xf numFmtId="164" fontId="13" fillId="5" borderId="12" xfId="4" applyNumberFormat="1" applyFont="1" applyFill="1" applyBorder="1"/>
    <xf numFmtId="164" fontId="15" fillId="5" borderId="0" xfId="4" applyNumberFormat="1" applyFont="1" applyFill="1" applyBorder="1"/>
    <xf numFmtId="164" fontId="15" fillId="5" borderId="12" xfId="4" applyNumberFormat="1" applyFont="1" applyFill="1" applyBorder="1"/>
    <xf numFmtId="164" fontId="15" fillId="5" borderId="7" xfId="4" applyNumberFormat="1" applyFont="1" applyFill="1" applyBorder="1"/>
    <xf numFmtId="164" fontId="15" fillId="5" borderId="14" xfId="4" applyNumberFormat="1" applyFont="1" applyFill="1" applyBorder="1"/>
    <xf numFmtId="164" fontId="6" fillId="5" borderId="7" xfId="0" applyNumberFormat="1" applyFont="1" applyFill="1" applyBorder="1"/>
    <xf numFmtId="164" fontId="6" fillId="5" borderId="14" xfId="0" applyNumberFormat="1" applyFont="1" applyFill="1" applyBorder="1"/>
    <xf numFmtId="165" fontId="0" fillId="5" borderId="11" xfId="4" applyNumberFormat="1" applyFont="1" applyFill="1" applyBorder="1"/>
    <xf numFmtId="165" fontId="0" fillId="5" borderId="0" xfId="4" applyNumberFormat="1" applyFont="1" applyFill="1" applyBorder="1"/>
    <xf numFmtId="165" fontId="0" fillId="5" borderId="12" xfId="4" applyNumberFormat="1" applyFont="1" applyFill="1" applyBorder="1"/>
    <xf numFmtId="165" fontId="0" fillId="5" borderId="13" xfId="4" applyNumberFormat="1" applyFont="1" applyFill="1" applyBorder="1"/>
    <xf numFmtId="165" fontId="0" fillId="5" borderId="7" xfId="4" applyNumberFormat="1" applyFont="1" applyFill="1" applyBorder="1"/>
    <xf numFmtId="165" fontId="0" fillId="5" borderId="14" xfId="4" applyNumberFormat="1" applyFont="1" applyFill="1" applyBorder="1"/>
    <xf numFmtId="166" fontId="0" fillId="5" borderId="11" xfId="4" applyNumberFormat="1" applyFont="1" applyFill="1" applyBorder="1"/>
    <xf numFmtId="166" fontId="0" fillId="5" borderId="0" xfId="4" applyNumberFormat="1" applyFont="1" applyFill="1" applyBorder="1"/>
    <xf numFmtId="166" fontId="0" fillId="5" borderId="12" xfId="4" applyNumberFormat="1" applyFont="1" applyFill="1" applyBorder="1"/>
    <xf numFmtId="166" fontId="0" fillId="5" borderId="13" xfId="4" applyNumberFormat="1" applyFont="1" applyFill="1" applyBorder="1"/>
    <xf numFmtId="166" fontId="0" fillId="5" borderId="7" xfId="4" applyNumberFormat="1" applyFont="1" applyFill="1" applyBorder="1"/>
    <xf numFmtId="166" fontId="0" fillId="5" borderId="14" xfId="4" applyNumberFormat="1" applyFont="1" applyFill="1" applyBorder="1"/>
    <xf numFmtId="0" fontId="0" fillId="6" borderId="15" xfId="0" applyFill="1" applyBorder="1" applyAlignment="1"/>
    <xf numFmtId="0" fontId="13" fillId="6" borderId="3" xfId="0" applyFont="1" applyFill="1" applyBorder="1"/>
    <xf numFmtId="0" fontId="0" fillId="6" borderId="2" xfId="0" applyFill="1" applyBorder="1"/>
    <xf numFmtId="164" fontId="0" fillId="5" borderId="10" xfId="0" applyNumberFormat="1" applyFill="1" applyBorder="1"/>
    <xf numFmtId="0" fontId="0" fillId="6" borderId="15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4" fillId="6" borderId="8" xfId="0" applyFont="1" applyFill="1" applyBorder="1" applyAlignment="1">
      <alignment horizontal="left"/>
    </xf>
    <xf numFmtId="164" fontId="0" fillId="5" borderId="5" xfId="0" applyNumberFormat="1" applyFill="1" applyBorder="1"/>
    <xf numFmtId="164" fontId="0" fillId="5" borderId="6" xfId="0" applyNumberFormat="1" applyFill="1" applyBorder="1"/>
    <xf numFmtId="165" fontId="0" fillId="5" borderId="8" xfId="4" applyNumberFormat="1" applyFont="1" applyFill="1" applyBorder="1"/>
    <xf numFmtId="165" fontId="0" fillId="5" borderId="9" xfId="4" applyNumberFormat="1" applyFont="1" applyFill="1" applyBorder="1"/>
    <xf numFmtId="165" fontId="0" fillId="5" borderId="10" xfId="4" applyNumberFormat="1" applyFont="1" applyFill="1" applyBorder="1"/>
    <xf numFmtId="166" fontId="6" fillId="5" borderId="8" xfId="4" applyNumberFormat="1" applyFont="1" applyFill="1" applyBorder="1"/>
    <xf numFmtId="166" fontId="6" fillId="5" borderId="9" xfId="4" applyNumberFormat="1" applyFont="1" applyFill="1" applyBorder="1"/>
    <xf numFmtId="166" fontId="6" fillId="5" borderId="10" xfId="4" applyNumberFormat="1" applyFont="1" applyFill="1" applyBorder="1"/>
    <xf numFmtId="166" fontId="6" fillId="5" borderId="11" xfId="4" applyNumberFormat="1" applyFont="1" applyFill="1" applyBorder="1"/>
    <xf numFmtId="166" fontId="6" fillId="5" borderId="0" xfId="4" applyNumberFormat="1" applyFont="1" applyFill="1" applyBorder="1"/>
    <xf numFmtId="166" fontId="6" fillId="5" borderId="12" xfId="4" applyNumberFormat="1" applyFont="1" applyFill="1" applyBorder="1"/>
    <xf numFmtId="9" fontId="0" fillId="5" borderId="4" xfId="1" applyFont="1" applyFill="1" applyBorder="1"/>
    <xf numFmtId="9" fontId="0" fillId="5" borderId="5" xfId="1" applyFont="1" applyFill="1" applyBorder="1"/>
    <xf numFmtId="9" fontId="0" fillId="5" borderId="6" xfId="1" applyFont="1" applyFill="1" applyBorder="1"/>
    <xf numFmtId="166" fontId="0" fillId="5" borderId="4" xfId="4" applyNumberFormat="1" applyFont="1" applyFill="1" applyBorder="1"/>
    <xf numFmtId="166" fontId="0" fillId="5" borderId="5" xfId="4" applyNumberFormat="1" applyFont="1" applyFill="1" applyBorder="1"/>
    <xf numFmtId="166" fontId="0" fillId="5" borderId="6" xfId="4" applyNumberFormat="1" applyFont="1" applyFill="1" applyBorder="1"/>
    <xf numFmtId="9" fontId="0" fillId="5" borderId="11" xfId="1" applyNumberFormat="1" applyFont="1" applyFill="1" applyBorder="1"/>
    <xf numFmtId="9" fontId="0" fillId="5" borderId="0" xfId="1" applyNumberFormat="1" applyFont="1" applyFill="1" applyBorder="1"/>
    <xf numFmtId="9" fontId="0" fillId="5" borderId="12" xfId="1" applyNumberFormat="1" applyFont="1" applyFill="1" applyBorder="1"/>
    <xf numFmtId="0" fontId="3" fillId="6" borderId="8" xfId="0" applyFont="1" applyFill="1" applyBorder="1" applyAlignment="1">
      <alignment horizontal="left"/>
    </xf>
    <xf numFmtId="0" fontId="16" fillId="0" borderId="0" xfId="0" applyFont="1"/>
    <xf numFmtId="0" fontId="2" fillId="6" borderId="8" xfId="0" applyFont="1" applyFill="1" applyBorder="1" applyAlignment="1">
      <alignment horizontal="left"/>
    </xf>
    <xf numFmtId="164" fontId="0" fillId="5" borderId="4" xfId="0" applyNumberFormat="1" applyFill="1" applyBorder="1"/>
    <xf numFmtId="0" fontId="0" fillId="6" borderId="2" xfId="0" applyFill="1" applyBorder="1" applyAlignment="1">
      <alignment horizontal="center"/>
    </xf>
    <xf numFmtId="0" fontId="0" fillId="6" borderId="11" xfId="0" applyFont="1" applyFill="1" applyBorder="1"/>
    <xf numFmtId="164" fontId="6" fillId="5" borderId="8" xfId="4" applyNumberFormat="1" applyFont="1" applyFill="1" applyBorder="1"/>
    <xf numFmtId="164" fontId="6" fillId="5" borderId="11" xfId="4" applyNumberFormat="1" applyFont="1" applyFill="1" applyBorder="1"/>
    <xf numFmtId="164" fontId="6" fillId="5" borderId="13" xfId="4" applyNumberFormat="1" applyFont="1" applyFill="1" applyBorder="1"/>
    <xf numFmtId="164" fontId="6" fillId="5" borderId="7" xfId="4" applyNumberFormat="1" applyFont="1" applyFill="1" applyBorder="1"/>
    <xf numFmtId="164" fontId="6" fillId="5" borderId="14" xfId="4" applyNumberFormat="1" applyFont="1" applyFill="1" applyBorder="1"/>
    <xf numFmtId="0" fontId="6" fillId="5" borderId="0" xfId="4" applyNumberFormat="1" applyFont="1" applyFill="1" applyBorder="1"/>
    <xf numFmtId="166" fontId="6" fillId="5" borderId="4" xfId="4" applyNumberFormat="1" applyFont="1" applyFill="1" applyBorder="1"/>
    <xf numFmtId="166" fontId="6" fillId="5" borderId="5" xfId="4" applyNumberFormat="1" applyFont="1" applyFill="1" applyBorder="1"/>
    <xf numFmtId="166" fontId="6" fillId="5" borderId="6" xfId="4" applyNumberFormat="1" applyFont="1" applyFill="1" applyBorder="1"/>
    <xf numFmtId="166" fontId="6" fillId="5" borderId="13" xfId="4" applyNumberFormat="1" applyFont="1" applyFill="1" applyBorder="1"/>
    <xf numFmtId="166" fontId="6" fillId="5" borderId="7" xfId="4" applyNumberFormat="1" applyFont="1" applyFill="1" applyBorder="1"/>
    <xf numFmtId="166" fontId="6" fillId="5" borderId="14" xfId="4" applyNumberFormat="1" applyFont="1" applyFill="1" applyBorder="1"/>
    <xf numFmtId="0" fontId="0" fillId="5" borderId="4" xfId="0" applyFill="1" applyBorder="1"/>
    <xf numFmtId="0" fontId="0" fillId="6" borderId="4" xfId="0" applyFill="1" applyBorder="1" applyAlignment="1">
      <alignment horizontal="center"/>
    </xf>
    <xf numFmtId="0" fontId="1" fillId="6" borderId="4" xfId="0" applyFont="1" applyFill="1" applyBorder="1" applyAlignment="1">
      <alignment horizontal="left"/>
    </xf>
    <xf numFmtId="164" fontId="0" fillId="5" borderId="8" xfId="0" quotePrefix="1" applyNumberFormat="1" applyFill="1" applyBorder="1"/>
    <xf numFmtId="0" fontId="0" fillId="0" borderId="0" xfId="0" quotePrefix="1"/>
    <xf numFmtId="164" fontId="0" fillId="5" borderId="0" xfId="0" quotePrefix="1" applyNumberFormat="1" applyFill="1" applyBorder="1"/>
    <xf numFmtId="164" fontId="0" fillId="5" borderId="9" xfId="0" quotePrefix="1" applyNumberFormat="1" applyFill="1" applyBorder="1"/>
    <xf numFmtId="164" fontId="0" fillId="5" borderId="10" xfId="0" quotePrefix="1" applyNumberFormat="1" applyFill="1" applyBorder="1"/>
    <xf numFmtId="164" fontId="0" fillId="5" borderId="11" xfId="0" quotePrefix="1" applyNumberFormat="1" applyFill="1" applyBorder="1"/>
    <xf numFmtId="164" fontId="0" fillId="5" borderId="12" xfId="0" quotePrefix="1" applyNumberFormat="1" applyFill="1" applyBorder="1"/>
    <xf numFmtId="164" fontId="0" fillId="5" borderId="13" xfId="0" quotePrefix="1" applyNumberFormat="1" applyFill="1" applyBorder="1"/>
    <xf numFmtId="164" fontId="0" fillId="5" borderId="7" xfId="0" quotePrefix="1" applyNumberFormat="1" applyFill="1" applyBorder="1"/>
    <xf numFmtId="164" fontId="0" fillId="5" borderId="14" xfId="0" quotePrefix="1" applyNumberFormat="1" applyFill="1" applyBorder="1"/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6" fontId="0" fillId="6" borderId="4" xfId="4" applyNumberFormat="1" applyFont="1" applyFill="1" applyBorder="1" applyAlignment="1">
      <alignment horizontal="center"/>
    </xf>
    <xf numFmtId="166" fontId="0" fillId="6" borderId="5" xfId="4" applyNumberFormat="1" applyFont="1" applyFill="1" applyBorder="1" applyAlignment="1">
      <alignment horizontal="center"/>
    </xf>
    <xf numFmtId="166" fontId="0" fillId="6" borderId="6" xfId="4" applyNumberFormat="1" applyFont="1" applyFill="1" applyBorder="1" applyAlignment="1">
      <alignment horizontal="center"/>
    </xf>
  </cellXfs>
  <cellStyles count="5">
    <cellStyle name="Milliers" xfId="4" builtinId="3"/>
    <cellStyle name="Normal" xfId="0" builtinId="0"/>
    <cellStyle name="Normal 2" xfId="2"/>
    <cellStyle name="Normal 2 2" xfId="3"/>
    <cellStyle name="Pourcentage" xfId="1" builtinId="5"/>
  </cellStyles>
  <dxfs count="0"/>
  <tableStyles count="0" defaultTableStyle="TableStyleMedium2" defaultPivotStyle="PivotStyleLight16"/>
  <colors>
    <mruColors>
      <color rgb="FFEEDD82"/>
      <color rgb="FFFF99FF"/>
      <color rgb="FF9370DB"/>
      <color rgb="FFFFDB69"/>
      <color rgb="FFFA4F32"/>
      <color rgb="FF98222B"/>
      <color rgb="FF5C2EB8"/>
      <color rgb="FF87A54F"/>
      <color rgb="FFFCDF3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Capacités installées -</a:t>
            </a:r>
            <a:r>
              <a:rPr lang="fr-FR" baseline="0"/>
              <a:t> Nucléaire </a:t>
            </a:r>
            <a:endParaRPr lang="fr-FR"/>
          </a:p>
        </c:rich>
      </c:tx>
      <c:layout>
        <c:manualLayout>
          <c:xMode val="edge"/>
          <c:yMode val="edge"/>
          <c:x val="0.35161004706077098"/>
          <c:y val="2.931314919886595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3429044066527968E-2"/>
          <c:y val="8.9739318889461045E-2"/>
          <c:w val="0.92006761173218843"/>
          <c:h val="0.698078534529103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Investissements!$B$29</c:f>
              <c:strCache>
                <c:ptCount val="1"/>
                <c:pt idx="0">
                  <c:v>Nucléaire historique résiduel</c:v>
                </c:pt>
              </c:strCache>
            </c:strRef>
          </c:tx>
          <c:spPr>
            <a:solidFill>
              <a:srgbClr val="EEDD82"/>
            </a:solidFill>
          </c:spPr>
          <c:invertIfNegative val="0"/>
          <c:dLbls>
            <c:dLbl>
              <c:idx val="4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8FC-4168-8C07-375613A11964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8FC-4168-8C07-375613A11964}"/>
                </c:ext>
                <c:ext xmlns:c15="http://schemas.microsoft.com/office/drawing/2012/chart" uri="{CE6537A1-D6FC-4f65-9D91-7224C49458BB}"/>
              </c:extLst>
            </c:dLbl>
            <c:dLbl>
              <c:idx val="6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8FC-4168-8C07-375613A11964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8FC-4168-8C07-375613A11964}"/>
                </c:ext>
                <c:ext xmlns:c15="http://schemas.microsoft.com/office/drawing/2012/chart" uri="{CE6537A1-D6FC-4f65-9D91-7224C49458BB}"/>
              </c:extLst>
            </c:dLbl>
            <c:dLbl>
              <c:idx val="8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8FC-4168-8C07-375613A1196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Investissements!$C$28:$K$28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Investissements!$C$29:$K$29</c:f>
              <c:numCache>
                <c:formatCode>0.0</c:formatCode>
                <c:ptCount val="9"/>
                <c:pt idx="0">
                  <c:v>61.370000000000005</c:v>
                </c:pt>
                <c:pt idx="1">
                  <c:v>61.370000000000005</c:v>
                </c:pt>
                <c:pt idx="2">
                  <c:v>46.365000000000002</c:v>
                </c:pt>
                <c:pt idx="3">
                  <c:v>12.36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8FC-4168-8C07-375613A11964}"/>
            </c:ext>
          </c:extLst>
        </c:ser>
        <c:ser>
          <c:idx val="1"/>
          <c:order val="1"/>
          <c:tx>
            <c:strRef>
              <c:f>Investissements!$B$30</c:f>
              <c:strCache>
                <c:ptCount val="1"/>
                <c:pt idx="0">
                  <c:v>Nucléaire historique prolongé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dLbls>
            <c:dLbl>
              <c:idx val="0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68FC-4168-8C07-375613A1196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68FC-4168-8C07-375613A11964}"/>
                </c:ext>
                <c:ext xmlns:c15="http://schemas.microsoft.com/office/drawing/2012/chart" uri="{CE6537A1-D6FC-4f65-9D91-7224C49458BB}"/>
              </c:extLst>
            </c:dLbl>
            <c:dLbl>
              <c:idx val="8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68FC-4168-8C07-375613A1196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Investissements!$C$28:$K$28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Investissements!$C$30:$K$30</c:f>
              <c:numCache>
                <c:formatCode>0.0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11.384999928313183</c:v>
                </c:pt>
                <c:pt idx="3">
                  <c:v>35.112425961284117</c:v>
                </c:pt>
                <c:pt idx="4">
                  <c:v>37.852500003773542</c:v>
                </c:pt>
                <c:pt idx="5">
                  <c:v>25.235000002278696</c:v>
                </c:pt>
                <c:pt idx="6">
                  <c:v>10.350000000224833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68FC-4168-8C07-375613A11964}"/>
            </c:ext>
          </c:extLst>
        </c:ser>
        <c:ser>
          <c:idx val="3"/>
          <c:order val="2"/>
          <c:tx>
            <c:strRef>
              <c:f>Investissements!$B$31</c:f>
              <c:strCache>
                <c:ptCount val="1"/>
                <c:pt idx="0">
                  <c:v>EPR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dLbls>
            <c:dLbl>
              <c:idx val="0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68FC-4168-8C07-375613A1196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2881671790667887E-17"/>
                  <c:y val="-1.51515151515151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68FC-4168-8C07-375613A1196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Investissements!$C$28:$K$28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Investissements!$C$31:$K$31</c:f>
              <c:numCache>
                <c:formatCode>0.0</c:formatCode>
                <c:ptCount val="9"/>
                <c:pt idx="0">
                  <c:v>0</c:v>
                </c:pt>
                <c:pt idx="1">
                  <c:v>1.6</c:v>
                </c:pt>
                <c:pt idx="2">
                  <c:v>1.6</c:v>
                </c:pt>
                <c:pt idx="3">
                  <c:v>1.6</c:v>
                </c:pt>
                <c:pt idx="4">
                  <c:v>1.6</c:v>
                </c:pt>
                <c:pt idx="5">
                  <c:v>1.6</c:v>
                </c:pt>
                <c:pt idx="6">
                  <c:v>1.6</c:v>
                </c:pt>
                <c:pt idx="7">
                  <c:v>1.6</c:v>
                </c:pt>
                <c:pt idx="8">
                  <c:v>1.6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68FC-4168-8C07-375613A11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4561128"/>
        <c:axId val="424555248"/>
      </c:barChart>
      <c:catAx>
        <c:axId val="424561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24555248"/>
        <c:crosses val="autoZero"/>
        <c:auto val="1"/>
        <c:lblAlgn val="ctr"/>
        <c:lblOffset val="100"/>
        <c:noMultiLvlLbl val="0"/>
      </c:catAx>
      <c:valAx>
        <c:axId val="42455524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fr-FR"/>
                  <a:t>GW</a:t>
                </a:r>
                <a:r>
                  <a:rPr lang="fr-FR" baseline="0"/>
                  <a:t> installés</a:t>
                </a:r>
                <a:endParaRPr lang="fr-FR"/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42456112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Capacités </a:t>
            </a:r>
            <a:r>
              <a:rPr lang="fr-FR" baseline="0"/>
              <a:t>installées - Moyens de flexibilité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Investissements!$C$3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6">
                <a:tint val="44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Investissements!$B$4:$B$21</c15:sqref>
                  </c15:fullRef>
                </c:ext>
              </c:extLst>
              <c:f>(Investissements!$B$5:$B$6,Investissements!$B$19:$B$20)</c:f>
              <c:strCache>
                <c:ptCount val="4"/>
                <c:pt idx="0">
                  <c:v>CCGT</c:v>
                </c:pt>
                <c:pt idx="1">
                  <c:v>OCGT</c:v>
                </c:pt>
                <c:pt idx="2">
                  <c:v>STEP</c:v>
                </c:pt>
                <c:pt idx="3">
                  <c:v>Batteries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Investissements!$C$4:$C$21</c15:sqref>
                  </c15:fullRef>
                </c:ext>
              </c:extLst>
              <c:f>(Investissements!$C$5:$C$6,Investissements!$C$19:$C$20)</c:f>
              <c:numCache>
                <c:formatCode>0.0</c:formatCode>
                <c:ptCount val="4"/>
                <c:pt idx="0">
                  <c:v>6.1640002706981551</c:v>
                </c:pt>
                <c:pt idx="1">
                  <c:v>1.8500001452782728</c:v>
                </c:pt>
                <c:pt idx="2">
                  <c:v>5.1800000000000006</c:v>
                </c:pt>
                <c:pt idx="3">
                  <c:v>4.11224892653E-7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5C-4984-97A1-1FA4FF0A536D}"/>
            </c:ext>
          </c:extLst>
        </c:ser>
        <c:ser>
          <c:idx val="1"/>
          <c:order val="1"/>
          <c:tx>
            <c:strRef>
              <c:f>Investissements!$D$3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6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Investissements!$B$4:$B$21</c15:sqref>
                  </c15:fullRef>
                </c:ext>
              </c:extLst>
              <c:f>(Investissements!$B$5:$B$6,Investissements!$B$19:$B$20)</c:f>
              <c:strCache>
                <c:ptCount val="4"/>
                <c:pt idx="0">
                  <c:v>CCGT</c:v>
                </c:pt>
                <c:pt idx="1">
                  <c:v>OCGT</c:v>
                </c:pt>
                <c:pt idx="2">
                  <c:v>STEP</c:v>
                </c:pt>
                <c:pt idx="3">
                  <c:v>Batteries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Investissements!$D$4:$D$21</c15:sqref>
                  </c15:fullRef>
                </c:ext>
              </c:extLst>
              <c:f>(Investissements!$D$5:$D$6,Investissements!$D$19:$D$20)</c:f>
              <c:numCache>
                <c:formatCode>0.0</c:formatCode>
                <c:ptCount val="4"/>
                <c:pt idx="0">
                  <c:v>6.1640005659265498</c:v>
                </c:pt>
                <c:pt idx="1">
                  <c:v>1.300000233465666</c:v>
                </c:pt>
                <c:pt idx="2">
                  <c:v>5.1800000000000006</c:v>
                </c:pt>
                <c:pt idx="3">
                  <c:v>8.1130696045799994E-7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5C-4984-97A1-1FA4FF0A536D}"/>
            </c:ext>
          </c:extLst>
        </c:ser>
        <c:ser>
          <c:idx val="2"/>
          <c:order val="2"/>
          <c:tx>
            <c:strRef>
              <c:f>Investissements!$E$3</c:f>
              <c:strCache>
                <c:ptCount val="1"/>
                <c:pt idx="0">
                  <c:v>2030</c:v>
                </c:pt>
              </c:strCache>
            </c:strRef>
          </c:tx>
          <c:spPr>
            <a:solidFill>
              <a:schemeClr val="accent6">
                <a:tint val="72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Investissements!$B$4:$B$21</c15:sqref>
                  </c15:fullRef>
                </c:ext>
              </c:extLst>
              <c:f>(Investissements!$B$5:$B$6,Investissements!$B$19:$B$20)</c:f>
              <c:strCache>
                <c:ptCount val="4"/>
                <c:pt idx="0">
                  <c:v>CCGT</c:v>
                </c:pt>
                <c:pt idx="1">
                  <c:v>OCGT</c:v>
                </c:pt>
                <c:pt idx="2">
                  <c:v>STEP</c:v>
                </c:pt>
                <c:pt idx="3">
                  <c:v>Batteries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Investissements!$E$4:$E$21</c15:sqref>
                  </c15:fullRef>
                </c:ext>
              </c:extLst>
              <c:f>(Investissements!$E$5:$E$6,Investissements!$E$19:$E$20)</c:f>
              <c:numCache>
                <c:formatCode>0.0</c:formatCode>
                <c:ptCount val="4"/>
                <c:pt idx="0">
                  <c:v>6.5498213948288937</c:v>
                </c:pt>
                <c:pt idx="1">
                  <c:v>2.0495908775259335</c:v>
                </c:pt>
                <c:pt idx="2">
                  <c:v>5.1800000000000006</c:v>
                </c:pt>
                <c:pt idx="3">
                  <c:v>1.4413728045000003E-6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E5C-4984-97A1-1FA4FF0A536D}"/>
            </c:ext>
          </c:extLst>
        </c:ser>
        <c:ser>
          <c:idx val="3"/>
          <c:order val="3"/>
          <c:tx>
            <c:strRef>
              <c:f>Investissements!$F$3</c:f>
              <c:strCache>
                <c:ptCount val="1"/>
                <c:pt idx="0">
                  <c:v>2035</c:v>
                </c:pt>
              </c:strCache>
            </c:strRef>
          </c:tx>
          <c:spPr>
            <a:solidFill>
              <a:schemeClr val="accent6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Investissements!$B$4:$B$21</c15:sqref>
                  </c15:fullRef>
                </c:ext>
              </c:extLst>
              <c:f>(Investissements!$B$5:$B$6,Investissements!$B$19:$B$20)</c:f>
              <c:strCache>
                <c:ptCount val="4"/>
                <c:pt idx="0">
                  <c:v>CCGT</c:v>
                </c:pt>
                <c:pt idx="1">
                  <c:v>OCGT</c:v>
                </c:pt>
                <c:pt idx="2">
                  <c:v>STEP</c:v>
                </c:pt>
                <c:pt idx="3">
                  <c:v>Batteries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Investissements!$F$4:$F$21</c15:sqref>
                  </c15:fullRef>
                </c:ext>
              </c:extLst>
              <c:f>(Investissements!$F$5:$F$6,Investissements!$F$19:$F$20)</c:f>
              <c:numCache>
                <c:formatCode>0.0</c:formatCode>
                <c:ptCount val="4"/>
                <c:pt idx="0">
                  <c:v>5.7618214218632744</c:v>
                </c:pt>
                <c:pt idx="1">
                  <c:v>2.0495909094037845</c:v>
                </c:pt>
                <c:pt idx="2">
                  <c:v>5.1800001979973791</c:v>
                </c:pt>
                <c:pt idx="3">
                  <c:v>0.21040230769474819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E5C-4984-97A1-1FA4FF0A536D}"/>
            </c:ext>
          </c:extLst>
        </c:ser>
        <c:ser>
          <c:idx val="4"/>
          <c:order val="4"/>
          <c:tx>
            <c:strRef>
              <c:f>Investissements!$G$3</c:f>
              <c:strCache>
                <c:ptCount val="1"/>
                <c:pt idx="0">
                  <c:v>2040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Investissements!$B$4:$B$21</c15:sqref>
                  </c15:fullRef>
                </c:ext>
              </c:extLst>
              <c:f>(Investissements!$B$5:$B$6,Investissements!$B$19:$B$20)</c:f>
              <c:strCache>
                <c:ptCount val="4"/>
                <c:pt idx="0">
                  <c:v>CCGT</c:v>
                </c:pt>
                <c:pt idx="1">
                  <c:v>OCGT</c:v>
                </c:pt>
                <c:pt idx="2">
                  <c:v>STEP</c:v>
                </c:pt>
                <c:pt idx="3">
                  <c:v>Batteries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Investissements!$G$4:$G$21</c15:sqref>
                  </c15:fullRef>
                </c:ext>
              </c:extLst>
              <c:f>(Investissements!$G$5:$G$6,Investissements!$G$19:$G$20)</c:f>
              <c:numCache>
                <c:formatCode>0.0</c:formatCode>
                <c:ptCount val="4"/>
                <c:pt idx="0">
                  <c:v>3.5768214221202452</c:v>
                </c:pt>
                <c:pt idx="1">
                  <c:v>0.99959090939561557</c:v>
                </c:pt>
                <c:pt idx="2">
                  <c:v>5.1800001981719355</c:v>
                </c:pt>
                <c:pt idx="3">
                  <c:v>0.21040235354440281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E5C-4984-97A1-1FA4FF0A536D}"/>
            </c:ext>
          </c:extLst>
        </c:ser>
        <c:ser>
          <c:idx val="5"/>
          <c:order val="5"/>
          <c:tx>
            <c:strRef>
              <c:f>Investissements!$H$3</c:f>
              <c:strCache>
                <c:ptCount val="1"/>
                <c:pt idx="0">
                  <c:v>2045</c:v>
                </c:pt>
              </c:strCache>
            </c:strRef>
          </c:tx>
          <c:spPr>
            <a:solidFill>
              <a:schemeClr val="accent6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Investissements!$B$4:$B$21</c15:sqref>
                  </c15:fullRef>
                </c:ext>
              </c:extLst>
              <c:f>(Investissements!$B$5:$B$6,Investissements!$B$19:$B$20)</c:f>
              <c:strCache>
                <c:ptCount val="4"/>
                <c:pt idx="0">
                  <c:v>CCGT</c:v>
                </c:pt>
                <c:pt idx="1">
                  <c:v>OCGT</c:v>
                </c:pt>
                <c:pt idx="2">
                  <c:v>STEP</c:v>
                </c:pt>
                <c:pt idx="3">
                  <c:v>Batteries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Investissements!$H$4:$H$21</c15:sqref>
                  </c15:fullRef>
                </c:ext>
              </c:extLst>
              <c:f>(Investissements!$H$5:$H$6,Investissements!$H$19:$H$20)</c:f>
              <c:numCache>
                <c:formatCode>0.0</c:formatCode>
                <c:ptCount val="4"/>
                <c:pt idx="0">
                  <c:v>0.96082142239987212</c:v>
                </c:pt>
                <c:pt idx="1">
                  <c:v>0.99959078624200315</c:v>
                </c:pt>
                <c:pt idx="2">
                  <c:v>5.1800001984636701</c:v>
                </c:pt>
                <c:pt idx="3">
                  <c:v>0.21040196962776603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CE5C-4984-97A1-1FA4FF0A536D}"/>
            </c:ext>
          </c:extLst>
        </c:ser>
        <c:ser>
          <c:idx val="6"/>
          <c:order val="6"/>
          <c:tx>
            <c:strRef>
              <c:f>Investissements!$I$3</c:f>
              <c:strCache>
                <c:ptCount val="1"/>
                <c:pt idx="0">
                  <c:v>2050</c:v>
                </c:pt>
              </c:strCache>
            </c:strRef>
          </c:tx>
          <c:spPr>
            <a:solidFill>
              <a:schemeClr val="accent6">
                <a:shade val="72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Investissements!$B$4:$B$21</c15:sqref>
                  </c15:fullRef>
                </c:ext>
              </c:extLst>
              <c:f>(Investissements!$B$5:$B$6,Investissements!$B$19:$B$20)</c:f>
              <c:strCache>
                <c:ptCount val="4"/>
                <c:pt idx="0">
                  <c:v>CCGT</c:v>
                </c:pt>
                <c:pt idx="1">
                  <c:v>OCGT</c:v>
                </c:pt>
                <c:pt idx="2">
                  <c:v>STEP</c:v>
                </c:pt>
                <c:pt idx="3">
                  <c:v>Batteries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Investissements!$I$4:$I$21</c15:sqref>
                  </c15:fullRef>
                </c:ext>
              </c:extLst>
              <c:f>(Investissements!$I$5:$I$6,Investissements!$I$19:$I$20)</c:f>
              <c:numCache>
                <c:formatCode>0.0</c:formatCode>
                <c:ptCount val="4"/>
                <c:pt idx="0">
                  <c:v>0.38582119574972762</c:v>
                </c:pt>
                <c:pt idx="1">
                  <c:v>0.99959083040344587</c:v>
                </c:pt>
                <c:pt idx="2">
                  <c:v>5.1800001985901494</c:v>
                </c:pt>
                <c:pt idx="3">
                  <c:v>0.21040135790046022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CE5C-4984-97A1-1FA4FF0A536D}"/>
            </c:ext>
          </c:extLst>
        </c:ser>
        <c:ser>
          <c:idx val="7"/>
          <c:order val="7"/>
          <c:tx>
            <c:strRef>
              <c:f>Investissements!$J$3</c:f>
              <c:strCache>
                <c:ptCount val="1"/>
                <c:pt idx="0">
                  <c:v>2055</c:v>
                </c:pt>
              </c:strCache>
            </c:strRef>
          </c:tx>
          <c:spPr>
            <a:solidFill>
              <a:schemeClr val="accent6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Investissements!$B$4:$B$21</c15:sqref>
                  </c15:fullRef>
                </c:ext>
              </c:extLst>
              <c:f>(Investissements!$B$5:$B$6,Investissements!$B$19:$B$20)</c:f>
              <c:strCache>
                <c:ptCount val="4"/>
                <c:pt idx="0">
                  <c:v>CCGT</c:v>
                </c:pt>
                <c:pt idx="1">
                  <c:v>OCGT</c:v>
                </c:pt>
                <c:pt idx="2">
                  <c:v>STEP</c:v>
                </c:pt>
                <c:pt idx="3">
                  <c:v>Batteries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Investissements!$J$4:$J$21</c15:sqref>
                  </c15:fullRef>
                </c:ext>
              </c:extLst>
              <c:f>(Investissements!$J$5:$J$6,Investissements!$J$19:$J$20)</c:f>
              <c:numCache>
                <c:formatCode>0.0</c:formatCode>
                <c:ptCount val="4"/>
                <c:pt idx="0">
                  <c:v>0.38582092193303258</c:v>
                </c:pt>
                <c:pt idx="1">
                  <c:v>3.0187361529900001E-7</c:v>
                </c:pt>
                <c:pt idx="2">
                  <c:v>5.1800005941465876</c:v>
                </c:pt>
                <c:pt idx="3">
                  <c:v>3.355956111064E-6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CE5C-4984-97A1-1FA4FF0A536D}"/>
            </c:ext>
          </c:extLst>
        </c:ser>
        <c:ser>
          <c:idx val="8"/>
          <c:order val="8"/>
          <c:tx>
            <c:strRef>
              <c:f>Investissements!$K$3</c:f>
              <c:strCache>
                <c:ptCount val="1"/>
                <c:pt idx="0">
                  <c:v>2060</c:v>
                </c:pt>
              </c:strCache>
            </c:strRef>
          </c:tx>
          <c:spPr>
            <a:solidFill>
              <a:schemeClr val="accent6">
                <a:shade val="44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Investissements!$B$4:$B$21</c15:sqref>
                  </c15:fullRef>
                </c:ext>
              </c:extLst>
              <c:f>(Investissements!$B$5:$B$6,Investissements!$B$19:$B$20)</c:f>
              <c:strCache>
                <c:ptCount val="4"/>
                <c:pt idx="0">
                  <c:v>CCGT</c:v>
                </c:pt>
                <c:pt idx="1">
                  <c:v>OCGT</c:v>
                </c:pt>
                <c:pt idx="2">
                  <c:v>STEP</c:v>
                </c:pt>
                <c:pt idx="3">
                  <c:v>Batteries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Investissements!$K$4:$K$21</c15:sqref>
                  </c15:fullRef>
                </c:ext>
              </c:extLst>
              <c:f>(Investissements!$K$5:$K$6,Investissements!$K$19:$K$20)</c:f>
              <c:numCache>
                <c:formatCode>0.0</c:formatCode>
                <c:ptCount val="4"/>
                <c:pt idx="0">
                  <c:v>3.3596473525100003E-7</c:v>
                </c:pt>
                <c:pt idx="1">
                  <c:v>2.8991032298200001E-7</c:v>
                </c:pt>
                <c:pt idx="2">
                  <c:v>7.1799999999799198</c:v>
                </c:pt>
                <c:pt idx="3">
                  <c:v>3.9788436702710007E-6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CE5C-4984-97A1-1FA4FF0A5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4558776"/>
        <c:axId val="424560344"/>
      </c:barChart>
      <c:catAx>
        <c:axId val="4245587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560344"/>
        <c:crosses val="autoZero"/>
        <c:auto val="1"/>
        <c:lblAlgn val="ctr"/>
        <c:lblOffset val="100"/>
        <c:noMultiLvlLbl val="0"/>
      </c:catAx>
      <c:valAx>
        <c:axId val="4245603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GW installés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558776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Capacités </a:t>
            </a:r>
            <a:r>
              <a:rPr lang="fr-FR" baseline="0"/>
              <a:t>installées - EnR variables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Investissements!$C$3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4">
                <a:shade val="44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Investissements!$B$4:$B$21</c15:sqref>
                  </c15:fullRef>
                </c:ext>
              </c:extLst>
              <c:f>Investissements!$B$9:$B$13</c:f>
              <c:strCache>
                <c:ptCount val="5"/>
                <c:pt idx="0">
                  <c:v>PV  Sol</c:v>
                </c:pt>
                <c:pt idx="1">
                  <c:v>PV Toitures</c:v>
                </c:pt>
                <c:pt idx="2">
                  <c:v>Eolien en mer Posé</c:v>
                </c:pt>
                <c:pt idx="3">
                  <c:v>Eolien en mer Flottant</c:v>
                </c:pt>
                <c:pt idx="4">
                  <c:v>Eolien Terrestre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Investissements!$C$4:$C$21</c15:sqref>
                  </c15:fullRef>
                </c:ext>
              </c:extLst>
              <c:f>Investissements!$C$9:$C$13</c:f>
              <c:numCache>
                <c:formatCode>0.0</c:formatCode>
                <c:ptCount val="5"/>
                <c:pt idx="0">
                  <c:v>4.6385635000001582</c:v>
                </c:pt>
                <c:pt idx="1">
                  <c:v>5.4624364999996411</c:v>
                </c:pt>
                <c:pt idx="2">
                  <c:v>0</c:v>
                </c:pt>
                <c:pt idx="3">
                  <c:v>0</c:v>
                </c:pt>
                <c:pt idx="4">
                  <c:v>17.390999999999458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019-43B0-80A5-A01315EA824F}"/>
            </c:ext>
          </c:extLst>
        </c:ser>
        <c:ser>
          <c:idx val="1"/>
          <c:order val="1"/>
          <c:tx>
            <c:strRef>
              <c:f>Investissements!$D$3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4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Investissements!$B$4:$B$21</c15:sqref>
                  </c15:fullRef>
                </c:ext>
              </c:extLst>
              <c:f>Investissements!$B$9:$B$13</c:f>
              <c:strCache>
                <c:ptCount val="5"/>
                <c:pt idx="0">
                  <c:v>PV  Sol</c:v>
                </c:pt>
                <c:pt idx="1">
                  <c:v>PV Toitures</c:v>
                </c:pt>
                <c:pt idx="2">
                  <c:v>Eolien en mer Posé</c:v>
                </c:pt>
                <c:pt idx="3">
                  <c:v>Eolien en mer Flottant</c:v>
                </c:pt>
                <c:pt idx="4">
                  <c:v>Eolien Terrestre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Investissements!$D$4:$D$21</c15:sqref>
                  </c15:fullRef>
                </c:ext>
              </c:extLst>
              <c:f>Investissements!$D$9:$D$13</c:f>
              <c:numCache>
                <c:formatCode>0.0</c:formatCode>
                <c:ptCount val="5"/>
                <c:pt idx="0">
                  <c:v>15.600000000003027</c:v>
                </c:pt>
                <c:pt idx="1">
                  <c:v>7.7327181997097121</c:v>
                </c:pt>
                <c:pt idx="2">
                  <c:v>2.1000000000030754</c:v>
                </c:pt>
                <c:pt idx="3">
                  <c:v>0.75</c:v>
                </c:pt>
                <c:pt idx="4">
                  <c:v>23.695499999963712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019-43B0-80A5-A01315EA824F}"/>
            </c:ext>
          </c:extLst>
        </c:ser>
        <c:ser>
          <c:idx val="2"/>
          <c:order val="2"/>
          <c:tx>
            <c:strRef>
              <c:f>Investissements!$E$3</c:f>
              <c:strCache>
                <c:ptCount val="1"/>
                <c:pt idx="0">
                  <c:v>2030</c:v>
                </c:pt>
              </c:strCache>
            </c:strRef>
          </c:tx>
          <c:spPr>
            <a:solidFill>
              <a:schemeClr val="accent4">
                <a:shade val="72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Investissements!$B$4:$B$21</c15:sqref>
                  </c15:fullRef>
                </c:ext>
              </c:extLst>
              <c:f>Investissements!$B$9:$B$13</c:f>
              <c:strCache>
                <c:ptCount val="5"/>
                <c:pt idx="0">
                  <c:v>PV  Sol</c:v>
                </c:pt>
                <c:pt idx="1">
                  <c:v>PV Toitures</c:v>
                </c:pt>
                <c:pt idx="2">
                  <c:v>Eolien en mer Posé</c:v>
                </c:pt>
                <c:pt idx="3">
                  <c:v>Eolien en mer Flottant</c:v>
                </c:pt>
                <c:pt idx="4">
                  <c:v>Eolien Terrestre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Investissements!$E$4:$E$21</c15:sqref>
                  </c15:fullRef>
                </c:ext>
              </c:extLst>
              <c:f>Investissements!$E$9:$E$13</c:f>
              <c:numCache>
                <c:formatCode>0.0</c:formatCode>
                <c:ptCount val="5"/>
                <c:pt idx="0">
                  <c:v>20.000000000018925</c:v>
                </c:pt>
                <c:pt idx="1">
                  <c:v>10.001999999407273</c:v>
                </c:pt>
                <c:pt idx="2">
                  <c:v>5.000000002025593</c:v>
                </c:pt>
                <c:pt idx="3">
                  <c:v>0.99999999983423016</c:v>
                </c:pt>
                <c:pt idx="4">
                  <c:v>29.999999899940189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019-43B0-80A5-A01315EA824F}"/>
            </c:ext>
          </c:extLst>
        </c:ser>
        <c:ser>
          <c:idx val="3"/>
          <c:order val="3"/>
          <c:tx>
            <c:strRef>
              <c:f>Investissements!$F$3</c:f>
              <c:strCache>
                <c:ptCount val="1"/>
                <c:pt idx="0">
                  <c:v>2035</c:v>
                </c:pt>
              </c:strCache>
            </c:strRef>
          </c:tx>
          <c:spPr>
            <a:solidFill>
              <a:schemeClr val="accent4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Investissements!$B$4:$B$21</c15:sqref>
                  </c15:fullRef>
                </c:ext>
              </c:extLst>
              <c:f>Investissements!$B$9:$B$13</c:f>
              <c:strCache>
                <c:ptCount val="5"/>
                <c:pt idx="0">
                  <c:v>PV  Sol</c:v>
                </c:pt>
                <c:pt idx="1">
                  <c:v>PV Toitures</c:v>
                </c:pt>
                <c:pt idx="2">
                  <c:v>Eolien en mer Posé</c:v>
                </c:pt>
                <c:pt idx="3">
                  <c:v>Eolien en mer Flottant</c:v>
                </c:pt>
                <c:pt idx="4">
                  <c:v>Eolien Terrestre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Investissements!$F$4:$F$21</c15:sqref>
                  </c15:fullRef>
                </c:ext>
              </c:extLst>
              <c:f>Investissements!$F$9:$F$13</c:f>
              <c:numCache>
                <c:formatCode>0.0</c:formatCode>
                <c:ptCount val="5"/>
                <c:pt idx="0">
                  <c:v>28.750000000480206</c:v>
                </c:pt>
                <c:pt idx="1">
                  <c:v>13.501999999629149</c:v>
                </c:pt>
                <c:pt idx="2">
                  <c:v>8.5000000004167937</c:v>
                </c:pt>
                <c:pt idx="3">
                  <c:v>1.9374999997842333</c:v>
                </c:pt>
                <c:pt idx="4">
                  <c:v>36.749999898383948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019-43B0-80A5-A01315EA824F}"/>
            </c:ext>
          </c:extLst>
        </c:ser>
        <c:ser>
          <c:idx val="4"/>
          <c:order val="4"/>
          <c:tx>
            <c:strRef>
              <c:f>Investissements!$G$3</c:f>
              <c:strCache>
                <c:ptCount val="1"/>
                <c:pt idx="0">
                  <c:v>2040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Investissements!$B$4:$B$21</c15:sqref>
                  </c15:fullRef>
                </c:ext>
              </c:extLst>
              <c:f>Investissements!$B$9:$B$13</c:f>
              <c:strCache>
                <c:ptCount val="5"/>
                <c:pt idx="0">
                  <c:v>PV  Sol</c:v>
                </c:pt>
                <c:pt idx="1">
                  <c:v>PV Toitures</c:v>
                </c:pt>
                <c:pt idx="2">
                  <c:v>Eolien en mer Posé</c:v>
                </c:pt>
                <c:pt idx="3">
                  <c:v>Eolien en mer Flottant</c:v>
                </c:pt>
                <c:pt idx="4">
                  <c:v>Eolien Terrestre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Investissements!$G$4:$G$21</c15:sqref>
                  </c15:fullRef>
                </c:ext>
              </c:extLst>
              <c:f>Investissements!$G$9:$G$13</c:f>
              <c:numCache>
                <c:formatCode>0.0</c:formatCode>
                <c:ptCount val="5"/>
                <c:pt idx="0">
                  <c:v>37.500000002109303</c:v>
                </c:pt>
                <c:pt idx="1">
                  <c:v>17.001999999069</c:v>
                </c:pt>
                <c:pt idx="2">
                  <c:v>12.000000000403542</c:v>
                </c:pt>
                <c:pt idx="3">
                  <c:v>2.8749999997405329</c:v>
                </c:pt>
                <c:pt idx="4">
                  <c:v>43.499999899842713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4019-43B0-80A5-A01315EA824F}"/>
            </c:ext>
          </c:extLst>
        </c:ser>
        <c:ser>
          <c:idx val="5"/>
          <c:order val="5"/>
          <c:tx>
            <c:strRef>
              <c:f>Investissements!$H$3</c:f>
              <c:strCache>
                <c:ptCount val="1"/>
                <c:pt idx="0">
                  <c:v>2045</c:v>
                </c:pt>
              </c:strCache>
            </c:strRef>
          </c:tx>
          <c:spPr>
            <a:solidFill>
              <a:schemeClr val="accent4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Investissements!$B$4:$B$21</c15:sqref>
                  </c15:fullRef>
                </c:ext>
              </c:extLst>
              <c:f>Investissements!$B$9:$B$13</c:f>
              <c:strCache>
                <c:ptCount val="5"/>
                <c:pt idx="0">
                  <c:v>PV  Sol</c:v>
                </c:pt>
                <c:pt idx="1">
                  <c:v>PV Toitures</c:v>
                </c:pt>
                <c:pt idx="2">
                  <c:v>Eolien en mer Posé</c:v>
                </c:pt>
                <c:pt idx="3">
                  <c:v>Eolien en mer Flottant</c:v>
                </c:pt>
                <c:pt idx="4">
                  <c:v>Eolien Terrestre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Investissements!$H$4:$H$21</c15:sqref>
                  </c15:fullRef>
                </c:ext>
              </c:extLst>
              <c:f>Investissements!$H$9:$H$13</c:f>
              <c:numCache>
                <c:formatCode>0.0</c:formatCode>
                <c:ptCount val="5"/>
                <c:pt idx="0">
                  <c:v>46.250000001496062</c:v>
                </c:pt>
                <c:pt idx="1">
                  <c:v>20.501999999534409</c:v>
                </c:pt>
                <c:pt idx="2">
                  <c:v>15.49999999995711</c:v>
                </c:pt>
                <c:pt idx="3">
                  <c:v>3.8124999995779314</c:v>
                </c:pt>
                <c:pt idx="4">
                  <c:v>51.02855722519061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4019-43B0-80A5-A01315EA824F}"/>
            </c:ext>
          </c:extLst>
        </c:ser>
        <c:ser>
          <c:idx val="6"/>
          <c:order val="6"/>
          <c:tx>
            <c:strRef>
              <c:f>Investissements!$I$3</c:f>
              <c:strCache>
                <c:ptCount val="1"/>
                <c:pt idx="0">
                  <c:v>2050</c:v>
                </c:pt>
              </c:strCache>
            </c:strRef>
          </c:tx>
          <c:spPr>
            <a:solidFill>
              <a:schemeClr val="accent4">
                <a:tint val="72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Investissements!$B$4:$B$21</c15:sqref>
                  </c15:fullRef>
                </c:ext>
              </c:extLst>
              <c:f>Investissements!$B$9:$B$13</c:f>
              <c:strCache>
                <c:ptCount val="5"/>
                <c:pt idx="0">
                  <c:v>PV  Sol</c:v>
                </c:pt>
                <c:pt idx="1">
                  <c:v>PV Toitures</c:v>
                </c:pt>
                <c:pt idx="2">
                  <c:v>Eolien en mer Posé</c:v>
                </c:pt>
                <c:pt idx="3">
                  <c:v>Eolien en mer Flottant</c:v>
                </c:pt>
                <c:pt idx="4">
                  <c:v>Eolien Terrestre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Investissements!$I$4:$I$21</c15:sqref>
                  </c15:fullRef>
                </c:ext>
              </c:extLst>
              <c:f>Investissements!$I$9:$I$13</c:f>
              <c:numCache>
                <c:formatCode>0.0</c:formatCode>
                <c:ptCount val="5"/>
                <c:pt idx="0">
                  <c:v>66.000000000018645</c:v>
                </c:pt>
                <c:pt idx="1">
                  <c:v>26.00199999939192</c:v>
                </c:pt>
                <c:pt idx="2">
                  <c:v>19.000000000013038</c:v>
                </c:pt>
                <c:pt idx="3">
                  <c:v>4.7500000000099982</c:v>
                </c:pt>
                <c:pt idx="4">
                  <c:v>62.999999999670116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4019-43B0-80A5-A01315EA824F}"/>
            </c:ext>
          </c:extLst>
        </c:ser>
        <c:ser>
          <c:idx val="7"/>
          <c:order val="7"/>
          <c:tx>
            <c:strRef>
              <c:f>Investissements!$J$3</c:f>
              <c:strCache>
                <c:ptCount val="1"/>
                <c:pt idx="0">
                  <c:v>2055</c:v>
                </c:pt>
              </c:strCache>
            </c:strRef>
          </c:tx>
          <c:spPr>
            <a:solidFill>
              <a:schemeClr val="accent4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Investissements!$B$4:$B$21</c15:sqref>
                  </c15:fullRef>
                </c:ext>
              </c:extLst>
              <c:f>Investissements!$B$9:$B$13</c:f>
              <c:strCache>
                <c:ptCount val="5"/>
                <c:pt idx="0">
                  <c:v>PV  Sol</c:v>
                </c:pt>
                <c:pt idx="1">
                  <c:v>PV Toitures</c:v>
                </c:pt>
                <c:pt idx="2">
                  <c:v>Eolien en mer Posé</c:v>
                </c:pt>
                <c:pt idx="3">
                  <c:v>Eolien en mer Flottant</c:v>
                </c:pt>
                <c:pt idx="4">
                  <c:v>Eolien Terrestre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Investissements!$J$4:$J$21</c15:sqref>
                  </c15:fullRef>
                </c:ext>
              </c:extLst>
              <c:f>Investissements!$J$9:$J$13</c:f>
              <c:numCache>
                <c:formatCode>0.0</c:formatCode>
                <c:ptCount val="5"/>
                <c:pt idx="0">
                  <c:v>79.200000000052867</c:v>
                </c:pt>
                <c:pt idx="1">
                  <c:v>30.201999998990242</c:v>
                </c:pt>
                <c:pt idx="2">
                  <c:v>19.000000000021437</c:v>
                </c:pt>
                <c:pt idx="3">
                  <c:v>4.7500000000072653</c:v>
                </c:pt>
                <c:pt idx="4">
                  <c:v>75.599999994747975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4019-43B0-80A5-A01315EA824F}"/>
            </c:ext>
          </c:extLst>
        </c:ser>
        <c:ser>
          <c:idx val="8"/>
          <c:order val="8"/>
          <c:tx>
            <c:strRef>
              <c:f>Investissements!$K$3</c:f>
              <c:strCache>
                <c:ptCount val="1"/>
                <c:pt idx="0">
                  <c:v>2060</c:v>
                </c:pt>
              </c:strCache>
            </c:strRef>
          </c:tx>
          <c:spPr>
            <a:solidFill>
              <a:schemeClr val="accent4">
                <a:tint val="44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Investissements!$B$4:$B$21</c15:sqref>
                  </c15:fullRef>
                </c:ext>
              </c:extLst>
              <c:f>Investissements!$B$9:$B$13</c:f>
              <c:strCache>
                <c:ptCount val="5"/>
                <c:pt idx="0">
                  <c:v>PV  Sol</c:v>
                </c:pt>
                <c:pt idx="1">
                  <c:v>PV Toitures</c:v>
                </c:pt>
                <c:pt idx="2">
                  <c:v>Eolien en mer Posé</c:v>
                </c:pt>
                <c:pt idx="3">
                  <c:v>Eolien en mer Flottant</c:v>
                </c:pt>
                <c:pt idx="4">
                  <c:v>Eolien Terrestre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Investissements!$K$4:$K$21</c15:sqref>
                  </c15:fullRef>
                </c:ext>
              </c:extLst>
              <c:f>Investissements!$K$9:$K$13</c:f>
              <c:numCache>
                <c:formatCode>0.0</c:formatCode>
                <c:ptCount val="5"/>
                <c:pt idx="0">
                  <c:v>94.399999999732245</c:v>
                </c:pt>
                <c:pt idx="1">
                  <c:v>29.959523024340172</c:v>
                </c:pt>
                <c:pt idx="2">
                  <c:v>19.0000000000014</c:v>
                </c:pt>
                <c:pt idx="3">
                  <c:v>4.7500000004430056</c:v>
                </c:pt>
                <c:pt idx="4">
                  <c:v>90.7199999998424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019-43B0-80A5-A01315EA8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4566616"/>
        <c:axId val="424557208"/>
      </c:barChart>
      <c:catAx>
        <c:axId val="4245666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557208"/>
        <c:crosses val="autoZero"/>
        <c:auto val="1"/>
        <c:lblAlgn val="ctr"/>
        <c:lblOffset val="100"/>
        <c:noMultiLvlLbl val="0"/>
      </c:catAx>
      <c:valAx>
        <c:axId val="4245572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GW installés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566616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Capacités </a:t>
            </a:r>
            <a:r>
              <a:rPr lang="fr-FR" baseline="0"/>
              <a:t>installées - Electrolyseurs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Investissements!$C$23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shade val="44000"/>
              </a:schemeClr>
            </a:solidFill>
            <a:ln>
              <a:noFill/>
            </a:ln>
            <a:effectLst/>
          </c:spPr>
          <c:invertIfNegative val="0"/>
          <c:cat>
            <c:strRef>
              <c:f>Investissements!$B$24:$B$25</c:f>
              <c:strCache>
                <c:ptCount val="2"/>
                <c:pt idx="0">
                  <c:v>Electrolyseurs optimisés</c:v>
                </c:pt>
                <c:pt idx="1">
                  <c:v>Electrolyseurs quasi-base</c:v>
                </c:pt>
              </c:strCache>
            </c:strRef>
          </c:cat>
          <c:val>
            <c:numRef>
              <c:f>Investissements!$C$24:$C$25</c:f>
              <c:numCache>
                <c:formatCode>0.0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0AE-4516-B7F3-04C07D968C49}"/>
            </c:ext>
          </c:extLst>
        </c:ser>
        <c:ser>
          <c:idx val="1"/>
          <c:order val="1"/>
          <c:tx>
            <c:strRef>
              <c:f>Investissements!$D$23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3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Investissements!$B$24:$B$25</c:f>
              <c:strCache>
                <c:ptCount val="2"/>
                <c:pt idx="0">
                  <c:v>Electrolyseurs optimisés</c:v>
                </c:pt>
                <c:pt idx="1">
                  <c:v>Electrolyseurs quasi-base</c:v>
                </c:pt>
              </c:strCache>
            </c:strRef>
          </c:cat>
          <c:val>
            <c:numRef>
              <c:f>Investissements!$D$24:$D$25</c:f>
              <c:numCache>
                <c:formatCode>0.0</c:formatCode>
                <c:ptCount val="2"/>
                <c:pt idx="0">
                  <c:v>0.35555066913469363</c:v>
                </c:pt>
                <c:pt idx="1">
                  <c:v>1.7048103152845118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0AE-4516-B7F3-04C07D968C49}"/>
            </c:ext>
          </c:extLst>
        </c:ser>
        <c:ser>
          <c:idx val="2"/>
          <c:order val="2"/>
          <c:tx>
            <c:strRef>
              <c:f>Investissements!$E$23</c:f>
              <c:strCache>
                <c:ptCount val="1"/>
                <c:pt idx="0">
                  <c:v>2030</c:v>
                </c:pt>
              </c:strCache>
            </c:strRef>
          </c:tx>
          <c:spPr>
            <a:solidFill>
              <a:schemeClr val="accent3">
                <a:shade val="72000"/>
              </a:schemeClr>
            </a:solidFill>
            <a:ln>
              <a:noFill/>
            </a:ln>
            <a:effectLst/>
          </c:spPr>
          <c:invertIfNegative val="0"/>
          <c:cat>
            <c:strRef>
              <c:f>Investissements!$B$24:$B$25</c:f>
              <c:strCache>
                <c:ptCount val="2"/>
                <c:pt idx="0">
                  <c:v>Electrolyseurs optimisés</c:v>
                </c:pt>
                <c:pt idx="1">
                  <c:v>Electrolyseurs quasi-base</c:v>
                </c:pt>
              </c:strCache>
            </c:strRef>
          </c:cat>
          <c:val>
            <c:numRef>
              <c:f>Investissements!$E$24:$E$25</c:f>
              <c:numCache>
                <c:formatCode>0.0</c:formatCode>
                <c:ptCount val="2"/>
                <c:pt idx="0">
                  <c:v>3.9049230999309068</c:v>
                </c:pt>
                <c:pt idx="1">
                  <c:v>3.4096220013711549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0AE-4516-B7F3-04C07D968C49}"/>
            </c:ext>
          </c:extLst>
        </c:ser>
        <c:ser>
          <c:idx val="3"/>
          <c:order val="3"/>
          <c:tx>
            <c:strRef>
              <c:f>Investissements!$F$23</c:f>
              <c:strCache>
                <c:ptCount val="1"/>
                <c:pt idx="0">
                  <c:v>2035</c:v>
                </c:pt>
              </c:strCache>
            </c:strRef>
          </c:tx>
          <c:spPr>
            <a:solidFill>
              <a:schemeClr val="accent3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Investissements!$B$24:$B$25</c:f>
              <c:strCache>
                <c:ptCount val="2"/>
                <c:pt idx="0">
                  <c:v>Electrolyseurs optimisés</c:v>
                </c:pt>
                <c:pt idx="1">
                  <c:v>Electrolyseurs quasi-base</c:v>
                </c:pt>
              </c:strCache>
            </c:strRef>
          </c:cat>
          <c:val>
            <c:numRef>
              <c:f>Investissements!$F$24:$F$25</c:f>
              <c:numCache>
                <c:formatCode>0.0</c:formatCode>
                <c:ptCount val="2"/>
                <c:pt idx="0">
                  <c:v>10.543004499903294</c:v>
                </c:pt>
                <c:pt idx="1">
                  <c:v>4.9958732008227633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30AE-4516-B7F3-04C07D968C49}"/>
            </c:ext>
          </c:extLst>
        </c:ser>
        <c:ser>
          <c:idx val="4"/>
          <c:order val="4"/>
          <c:tx>
            <c:strRef>
              <c:f>Investissements!$G$23</c:f>
              <c:strCache>
                <c:ptCount val="1"/>
                <c:pt idx="0">
                  <c:v>2040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Investissements!$B$24:$B$25</c:f>
              <c:strCache>
                <c:ptCount val="2"/>
                <c:pt idx="0">
                  <c:v>Electrolyseurs optimisés</c:v>
                </c:pt>
                <c:pt idx="1">
                  <c:v>Electrolyseurs quasi-base</c:v>
                </c:pt>
              </c:strCache>
            </c:strRef>
          </c:cat>
          <c:val>
            <c:numRef>
              <c:f>Investissements!$G$24:$G$25</c:f>
              <c:numCache>
                <c:formatCode>0.0</c:formatCode>
                <c:ptCount val="2"/>
                <c:pt idx="0">
                  <c:v>16.266090617170399</c:v>
                </c:pt>
                <c:pt idx="1">
                  <c:v>6.5821237148727079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30AE-4516-B7F3-04C07D968C49}"/>
            </c:ext>
          </c:extLst>
        </c:ser>
        <c:ser>
          <c:idx val="5"/>
          <c:order val="5"/>
          <c:tx>
            <c:strRef>
              <c:f>Investissements!$H$23</c:f>
              <c:strCache>
                <c:ptCount val="1"/>
                <c:pt idx="0">
                  <c:v>2045</c:v>
                </c:pt>
              </c:strCache>
            </c:strRef>
          </c:tx>
          <c:spPr>
            <a:solidFill>
              <a:schemeClr val="accent3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Investissements!$B$24:$B$25</c:f>
              <c:strCache>
                <c:ptCount val="2"/>
                <c:pt idx="0">
                  <c:v>Electrolyseurs optimisés</c:v>
                </c:pt>
                <c:pt idx="1">
                  <c:v>Electrolyseurs quasi-base</c:v>
                </c:pt>
              </c:strCache>
            </c:strRef>
          </c:cat>
          <c:val>
            <c:numRef>
              <c:f>Investissements!$H$24:$H$25</c:f>
              <c:numCache>
                <c:formatCode>0.0</c:formatCode>
                <c:ptCount val="2"/>
                <c:pt idx="0">
                  <c:v>17.5803574997278</c:v>
                </c:pt>
                <c:pt idx="1">
                  <c:v>8.1683749143249234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30AE-4516-B7F3-04C07D968C49}"/>
            </c:ext>
          </c:extLst>
        </c:ser>
        <c:ser>
          <c:idx val="6"/>
          <c:order val="6"/>
          <c:tx>
            <c:strRef>
              <c:f>Investissements!$I$23</c:f>
              <c:strCache>
                <c:ptCount val="1"/>
                <c:pt idx="0">
                  <c:v>2050</c:v>
                </c:pt>
              </c:strCache>
            </c:strRef>
          </c:tx>
          <c:spPr>
            <a:solidFill>
              <a:schemeClr val="accent3">
                <a:tint val="72000"/>
              </a:schemeClr>
            </a:solidFill>
            <a:ln>
              <a:noFill/>
            </a:ln>
            <a:effectLst/>
          </c:spPr>
          <c:invertIfNegative val="0"/>
          <c:cat>
            <c:strRef>
              <c:f>Investissements!$B$24:$B$25</c:f>
              <c:strCache>
                <c:ptCount val="2"/>
                <c:pt idx="0">
                  <c:v>Electrolyseurs optimisés</c:v>
                </c:pt>
                <c:pt idx="1">
                  <c:v>Electrolyseurs quasi-base</c:v>
                </c:pt>
              </c:strCache>
            </c:strRef>
          </c:cat>
          <c:val>
            <c:numRef>
              <c:f>Investissements!$I$24:$I$25</c:f>
              <c:numCache>
                <c:formatCode>0.0</c:formatCode>
                <c:ptCount val="2"/>
                <c:pt idx="0">
                  <c:v>30.457248899957968</c:v>
                </c:pt>
                <c:pt idx="1">
                  <c:v>9.7546254283755651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30AE-4516-B7F3-04C07D968C49}"/>
            </c:ext>
          </c:extLst>
        </c:ser>
        <c:ser>
          <c:idx val="7"/>
          <c:order val="7"/>
          <c:tx>
            <c:strRef>
              <c:f>Investissements!$J$23</c:f>
              <c:strCache>
                <c:ptCount val="1"/>
                <c:pt idx="0">
                  <c:v>2055</c:v>
                </c:pt>
              </c:strCache>
            </c:strRef>
          </c:tx>
          <c:spPr>
            <a:solidFill>
              <a:schemeClr val="accent3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Investissements!$B$24:$B$25</c:f>
              <c:strCache>
                <c:ptCount val="2"/>
                <c:pt idx="0">
                  <c:v>Electrolyseurs optimisés</c:v>
                </c:pt>
                <c:pt idx="1">
                  <c:v>Electrolyseurs quasi-base</c:v>
                </c:pt>
              </c:strCache>
            </c:strRef>
          </c:cat>
          <c:val>
            <c:numRef>
              <c:f>Investissements!$J$24:$J$25</c:f>
              <c:numCache>
                <c:formatCode>0.0</c:formatCode>
                <c:ptCount val="2"/>
                <c:pt idx="0">
                  <c:v>30.457248899969017</c:v>
                </c:pt>
                <c:pt idx="1">
                  <c:v>9.7546252570264631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30AE-4516-B7F3-04C07D968C49}"/>
            </c:ext>
          </c:extLst>
        </c:ser>
        <c:ser>
          <c:idx val="8"/>
          <c:order val="8"/>
          <c:tx>
            <c:strRef>
              <c:f>Investissements!$K$23</c:f>
              <c:strCache>
                <c:ptCount val="1"/>
                <c:pt idx="0">
                  <c:v>2060</c:v>
                </c:pt>
              </c:strCache>
            </c:strRef>
          </c:tx>
          <c:spPr>
            <a:solidFill>
              <a:schemeClr val="accent3">
                <a:tint val="44000"/>
              </a:schemeClr>
            </a:solidFill>
            <a:ln>
              <a:noFill/>
            </a:ln>
            <a:effectLst/>
          </c:spPr>
          <c:invertIfNegative val="0"/>
          <c:cat>
            <c:strRef>
              <c:f>Investissements!$B$24:$B$25</c:f>
              <c:strCache>
                <c:ptCount val="2"/>
                <c:pt idx="0">
                  <c:v>Electrolyseurs optimisés</c:v>
                </c:pt>
                <c:pt idx="1">
                  <c:v>Electrolyseurs quasi-base</c:v>
                </c:pt>
              </c:strCache>
            </c:strRef>
          </c:cat>
          <c:val>
            <c:numRef>
              <c:f>Investissements!$K$24:$K$25</c:f>
              <c:numCache>
                <c:formatCode>0.0</c:formatCode>
                <c:ptCount val="2"/>
                <c:pt idx="0">
                  <c:v>30.457248899965276</c:v>
                </c:pt>
                <c:pt idx="1">
                  <c:v>9.7546255997264151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30AE-4516-B7F3-04C07D968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4558384"/>
        <c:axId val="424561912"/>
      </c:barChart>
      <c:catAx>
        <c:axId val="4245583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561912"/>
        <c:crosses val="autoZero"/>
        <c:auto val="1"/>
        <c:lblAlgn val="ctr"/>
        <c:lblOffset val="100"/>
        <c:noMultiLvlLbl val="0"/>
      </c:catAx>
      <c:valAx>
        <c:axId val="4245619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GW installés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558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4438751767818463"/>
          <c:y val="0.17925063257695797"/>
          <c:w val="4.6817906982081624E-2"/>
          <c:h val="0.726164268343326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du mix de production (TWh)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Production!$M$4</c:f>
              <c:strCache>
                <c:ptCount val="1"/>
                <c:pt idx="0">
                  <c:v>Nucléaire</c:v>
                </c:pt>
              </c:strCache>
            </c:strRef>
          </c:tx>
          <c:spPr>
            <a:solidFill>
              <a:srgbClr val="EEDD82"/>
            </a:solidFill>
            <a:ln>
              <a:noFill/>
            </a:ln>
            <a:effectLst/>
          </c:spPr>
          <c:invertIfNegative val="0"/>
          <c:cat>
            <c:numRef>
              <c:f>Production!$N$3:$V$3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Production!$N$4:$V$4</c:f>
              <c:numCache>
                <c:formatCode>0.0</c:formatCode>
                <c:ptCount val="9"/>
                <c:pt idx="0">
                  <c:v>408.89148287999041</c:v>
                </c:pt>
                <c:pt idx="1">
                  <c:v>406.43733901501457</c:v>
                </c:pt>
                <c:pt idx="2">
                  <c:v>373.02863911617078</c:v>
                </c:pt>
                <c:pt idx="3">
                  <c:v>304.56437501875331</c:v>
                </c:pt>
                <c:pt idx="4">
                  <c:v>243.49298176204434</c:v>
                </c:pt>
                <c:pt idx="5">
                  <c:v>164.18601790770074</c:v>
                </c:pt>
                <c:pt idx="6">
                  <c:v>74.671917387053895</c:v>
                </c:pt>
                <c:pt idx="7">
                  <c:v>10.232822794431399</c:v>
                </c:pt>
                <c:pt idx="8">
                  <c:v>9.9973103480124301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B2-406B-9F0B-A22585E41F24}"/>
            </c:ext>
          </c:extLst>
        </c:ser>
        <c:ser>
          <c:idx val="2"/>
          <c:order val="2"/>
          <c:tx>
            <c:strRef>
              <c:f>Production!$M$5</c:f>
              <c:strCache>
                <c:ptCount val="1"/>
                <c:pt idx="0">
                  <c:v>Turbines Gaz</c:v>
                </c:pt>
              </c:strCache>
            </c:strRef>
          </c:tx>
          <c:spPr>
            <a:solidFill>
              <a:srgbClr val="9370DB"/>
            </a:solidFill>
            <a:ln>
              <a:noFill/>
            </a:ln>
            <a:effectLst/>
          </c:spPr>
          <c:invertIfNegative val="0"/>
          <c:cat>
            <c:numRef>
              <c:f>Production!$N$3:$V$3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Production!$N$5:$V$5</c:f>
              <c:numCache>
                <c:formatCode>0.0</c:formatCode>
                <c:ptCount val="9"/>
                <c:pt idx="0">
                  <c:v>0.76343185153588389</c:v>
                </c:pt>
                <c:pt idx="1">
                  <c:v>0.16969416836378309</c:v>
                </c:pt>
                <c:pt idx="2">
                  <c:v>0.5817741744980629</c:v>
                </c:pt>
                <c:pt idx="3">
                  <c:v>0.63635716339180848</c:v>
                </c:pt>
                <c:pt idx="4">
                  <c:v>0.59254825679877055</c:v>
                </c:pt>
                <c:pt idx="5">
                  <c:v>0.59908201590052468</c:v>
                </c:pt>
                <c:pt idx="6">
                  <c:v>0.48117620180859311</c:v>
                </c:pt>
                <c:pt idx="7">
                  <c:v>0.48146672280298553</c:v>
                </c:pt>
                <c:pt idx="8">
                  <c:v>4.3188116395359758E-6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0B2-406B-9F0B-A22585E41F24}"/>
            </c:ext>
          </c:extLst>
        </c:ser>
        <c:ser>
          <c:idx val="3"/>
          <c:order val="3"/>
          <c:tx>
            <c:strRef>
              <c:f>Production!$M$6</c:f>
              <c:strCache>
                <c:ptCount val="1"/>
                <c:pt idx="0">
                  <c:v>Autres thermiques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Production!$N$3:$V$3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Production!$N$6:$V$6</c:f>
              <c:numCache>
                <c:formatCode>0.0</c:formatCode>
                <c:ptCount val="9"/>
                <c:pt idx="0">
                  <c:v>21.214986206282859</c:v>
                </c:pt>
                <c:pt idx="1">
                  <c:v>6.8087513218090745</c:v>
                </c:pt>
                <c:pt idx="2">
                  <c:v>4.4222513219809043</c:v>
                </c:pt>
                <c:pt idx="3">
                  <c:v>2.0357513220763637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0B2-406B-9F0B-A22585E41F24}"/>
            </c:ext>
          </c:extLst>
        </c:ser>
        <c:ser>
          <c:idx val="4"/>
          <c:order val="4"/>
          <c:tx>
            <c:strRef>
              <c:f>Production!$M$7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Production!$N$3:$V$3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Production!$N$7:$V$7</c:f>
              <c:numCache>
                <c:formatCode>0.0</c:formatCode>
                <c:ptCount val="9"/>
                <c:pt idx="0">
                  <c:v>13.300290426871463</c:v>
                </c:pt>
                <c:pt idx="1">
                  <c:v>31.202530401003539</c:v>
                </c:pt>
                <c:pt idx="2">
                  <c:v>39.573679584857736</c:v>
                </c:pt>
                <c:pt idx="3">
                  <c:v>55.002571745431496</c:v>
                </c:pt>
                <c:pt idx="4">
                  <c:v>70.526408502639541</c:v>
                </c:pt>
                <c:pt idx="5">
                  <c:v>85.275914114898256</c:v>
                </c:pt>
                <c:pt idx="6">
                  <c:v>123.46409808979702</c:v>
                </c:pt>
                <c:pt idx="7">
                  <c:v>144.7243872315311</c:v>
                </c:pt>
                <c:pt idx="8">
                  <c:v>162.81232035352178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0B2-406B-9F0B-A22585E41F24}"/>
            </c:ext>
          </c:extLst>
        </c:ser>
        <c:ser>
          <c:idx val="6"/>
          <c:order val="5"/>
          <c:tx>
            <c:strRef>
              <c:f>Production!$M$8</c:f>
              <c:strCache>
                <c:ptCount val="1"/>
                <c:pt idx="0">
                  <c:v>Eolien Terrestre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numRef>
              <c:f>Production!$N$3:$V$3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Production!$N$8:$V$8</c:f>
              <c:numCache>
                <c:formatCode>0.0</c:formatCode>
                <c:ptCount val="9"/>
                <c:pt idx="0">
                  <c:v>34.788272598718017</c:v>
                </c:pt>
                <c:pt idx="1">
                  <c:v>52.528131542580311</c:v>
                </c:pt>
                <c:pt idx="2">
                  <c:v>70.355046444793672</c:v>
                </c:pt>
                <c:pt idx="3">
                  <c:v>92.759339784844244</c:v>
                </c:pt>
                <c:pt idx="4">
                  <c:v>115.11804204176454</c:v>
                </c:pt>
                <c:pt idx="5">
                  <c:v>141.51337418169942</c:v>
                </c:pt>
                <c:pt idx="6">
                  <c:v>175.11117102622472</c:v>
                </c:pt>
                <c:pt idx="7">
                  <c:v>209.94613491683947</c:v>
                </c:pt>
                <c:pt idx="8">
                  <c:v>251.35467970822438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00B2-406B-9F0B-A22585E41F24}"/>
            </c:ext>
          </c:extLst>
        </c:ser>
        <c:ser>
          <c:idx val="7"/>
          <c:order val="6"/>
          <c:tx>
            <c:strRef>
              <c:f>Production!$M$9</c:f>
              <c:strCache>
                <c:ptCount val="1"/>
                <c:pt idx="0">
                  <c:v>Eolien en mer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Production!$N$3:$V$3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Production!$N$9:$V$9</c:f>
              <c:numCache>
                <c:formatCode>0.0</c:formatCode>
                <c:ptCount val="9"/>
                <c:pt idx="0">
                  <c:v>0</c:v>
                </c:pt>
                <c:pt idx="1">
                  <c:v>9.6130183583355588</c:v>
                </c:pt>
                <c:pt idx="2">
                  <c:v>19.97776346267052</c:v>
                </c:pt>
                <c:pt idx="3">
                  <c:v>35.26452521234696</c:v>
                </c:pt>
                <c:pt idx="4">
                  <c:v>51.431744166495676</c:v>
                </c:pt>
                <c:pt idx="5">
                  <c:v>67.217512547328425</c:v>
                </c:pt>
                <c:pt idx="6">
                  <c:v>80.622881652983637</c:v>
                </c:pt>
                <c:pt idx="7">
                  <c:v>80.668596670692267</c:v>
                </c:pt>
                <c:pt idx="8">
                  <c:v>80.668596672084561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00B2-406B-9F0B-A22585E41F24}"/>
            </c:ext>
          </c:extLst>
        </c:ser>
        <c:ser>
          <c:idx val="8"/>
          <c:order val="7"/>
          <c:tx>
            <c:strRef>
              <c:f>Production!$M$11</c:f>
              <c:strCache>
                <c:ptCount val="1"/>
                <c:pt idx="0">
                  <c:v>Autres renouvelables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Production!$N$3:$V$3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Production!$N$11:$V$11</c:f>
              <c:numCache>
                <c:formatCode>0.0</c:formatCode>
                <c:ptCount val="9"/>
                <c:pt idx="0">
                  <c:v>7.5937610677679972</c:v>
                </c:pt>
                <c:pt idx="1">
                  <c:v>8.0083513092743956</c:v>
                </c:pt>
                <c:pt idx="2">
                  <c:v>8.0083513092743956</c:v>
                </c:pt>
                <c:pt idx="3">
                  <c:v>8.0083513092743956</c:v>
                </c:pt>
                <c:pt idx="4">
                  <c:v>8.0083513092743956</c:v>
                </c:pt>
                <c:pt idx="5">
                  <c:v>8.0083513092743956</c:v>
                </c:pt>
                <c:pt idx="6">
                  <c:v>8.0083513092743956</c:v>
                </c:pt>
                <c:pt idx="7">
                  <c:v>8.0083513092743956</c:v>
                </c:pt>
                <c:pt idx="8">
                  <c:v>8.0083513092743956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00B2-406B-9F0B-A22585E41F24}"/>
            </c:ext>
          </c:extLst>
        </c:ser>
        <c:ser>
          <c:idx val="9"/>
          <c:order val="8"/>
          <c:tx>
            <c:strRef>
              <c:f>Production!$M$10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numRef>
              <c:f>Production!$N$3:$V$3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Production!$N$10:$V$10</c:f>
              <c:numCache>
                <c:formatCode>0.0</c:formatCode>
                <c:ptCount val="9"/>
                <c:pt idx="0">
                  <c:v>63.525599465424307</c:v>
                </c:pt>
                <c:pt idx="1">
                  <c:v>63.525599412490024</c:v>
                </c:pt>
                <c:pt idx="2">
                  <c:v>63.525599296447801</c:v>
                </c:pt>
                <c:pt idx="3">
                  <c:v>63.525599531050219</c:v>
                </c:pt>
                <c:pt idx="4">
                  <c:v>63.525599759908566</c:v>
                </c:pt>
                <c:pt idx="5">
                  <c:v>63.525597737205786</c:v>
                </c:pt>
                <c:pt idx="6">
                  <c:v>63.525599785437379</c:v>
                </c:pt>
                <c:pt idx="7">
                  <c:v>63.525599336051748</c:v>
                </c:pt>
                <c:pt idx="8">
                  <c:v>63.525584455859246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00B2-406B-9F0B-A22585E41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4564264"/>
        <c:axId val="424564656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Production!$M$3</c15:sqref>
                        </c15:formulaRef>
                      </c:ext>
                    </c:extLst>
                    <c:strCache>
                      <c:ptCount val="1"/>
                      <c:pt idx="0">
                        <c:v>Technologie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Production!$N$3:$V$3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2020</c:v>
                      </c:pt>
                      <c:pt idx="1">
                        <c:v>2025</c:v>
                      </c:pt>
                      <c:pt idx="2">
                        <c:v>2030</c:v>
                      </c:pt>
                      <c:pt idx="3">
                        <c:v>2035</c:v>
                      </c:pt>
                      <c:pt idx="4">
                        <c:v>2040</c:v>
                      </c:pt>
                      <c:pt idx="5">
                        <c:v>2045</c:v>
                      </c:pt>
                      <c:pt idx="6">
                        <c:v>2050</c:v>
                      </c:pt>
                      <c:pt idx="7">
                        <c:v>2055</c:v>
                      </c:pt>
                      <c:pt idx="8">
                        <c:v>2060</c:v>
                      </c:pt>
                    </c:numCache>
                  </c:num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Production!$N$3:$V$3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2020</c:v>
                      </c:pt>
                      <c:pt idx="1">
                        <c:v>2025</c:v>
                      </c:pt>
                      <c:pt idx="2">
                        <c:v>2030</c:v>
                      </c:pt>
                      <c:pt idx="3">
                        <c:v>2035</c:v>
                      </c:pt>
                      <c:pt idx="4">
                        <c:v>2040</c:v>
                      </c:pt>
                      <c:pt idx="5">
                        <c:v>2045</c:v>
                      </c:pt>
                      <c:pt idx="6">
                        <c:v>2050</c:v>
                      </c:pt>
                      <c:pt idx="7">
                        <c:v>2055</c:v>
                      </c:pt>
                      <c:pt idx="8">
                        <c:v>2060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8-00B2-406B-9F0B-A22585E41F24}"/>
                  </c:ext>
                </c:extLst>
              </c15:ser>
            </c15:filteredBarSeries>
          </c:ext>
        </c:extLst>
      </c:barChart>
      <c:catAx>
        <c:axId val="424564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564656"/>
        <c:crosses val="autoZero"/>
        <c:auto val="1"/>
        <c:lblAlgn val="ctr"/>
        <c:lblOffset val="100"/>
        <c:noMultiLvlLbl val="0"/>
      </c:catAx>
      <c:valAx>
        <c:axId val="424564656"/>
        <c:scaling>
          <c:orientation val="minMax"/>
          <c:max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564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du mix de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tx>
            <c:strRef>
              <c:f>Production!$M$15</c:f>
              <c:strCache>
                <c:ptCount val="1"/>
                <c:pt idx="0">
                  <c:v>Nucléaire</c:v>
                </c:pt>
              </c:strCache>
            </c:strRef>
          </c:tx>
          <c:spPr>
            <a:solidFill>
              <a:srgbClr val="EEDD8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D60E045-6149-4415-800C-70DE897D0621}" type="CELLRANGE">
                      <a:rPr lang="en-US"/>
                      <a:pPr/>
                      <a:t>[PLAGECELL]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B576-4833-AABE-5B1F8BF49F1F}"/>
                </c:ext>
                <c:ext xmlns:c15="http://schemas.microsoft.com/office/drawing/2012/chart" uri="{CE6537A1-D6FC-4f65-9D91-7224C49458BB}">
                  <c15:dlblFieldTable/>
                  <c15:showDataLabelsRange val="1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75E47ED-DE1A-483C-983E-AE8AD1995665}" type="CELLRANGE">
                      <a:rPr lang="en-GB"/>
                      <a:pPr/>
                      <a:t>[PLAGECELL]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0C76A18-EDF9-454D-B006-23E553C5D0F7}" type="CELLRANGE">
                      <a:rPr lang="en-GB"/>
                      <a:pPr/>
                      <a:t>[PLAGECELL]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8EF9622-A7C5-4F3C-885F-2FA510D2A9AC}" type="CELLRANGE">
                      <a:rPr lang="en-GB"/>
                      <a:pPr/>
                      <a:t>[PLAGECELL]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5F996B0-4BDF-4A7C-AA7D-EBB0E6FF1297}" type="CELLRANGE">
                      <a:rPr lang="en-GB"/>
                      <a:pPr/>
                      <a:t>[PLAGECELL]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F40D173-82C7-484E-AEDF-A636CD7323F5}" type="CELLRANGE">
                      <a:rPr lang="en-GB"/>
                      <a:pPr/>
                      <a:t>[PLAGECELL]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DD762E6-42CD-4543-BC85-DDE376BA303F}" type="CELLRANGE">
                      <a:rPr lang="en-GB"/>
                      <a:pPr/>
                      <a:t>[PLAGECELL]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BBECCF5-77F4-4C50-B52F-06C5D4DF9B74}" type="CELLRANGE">
                      <a:rPr lang="en-GB"/>
                      <a:pPr/>
                      <a:t>[PLAGECELL]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C0FAAF1-82B6-47C9-91A5-096512A33DFE}" type="CELLRANGE">
                      <a:rPr lang="en-GB"/>
                      <a:pPr/>
                      <a:t>[PLAGECELL]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Production!$N$14:$V$14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Production!$N$15:$V$15</c:f>
              <c:numCache>
                <c:formatCode>0.0</c:formatCode>
                <c:ptCount val="9"/>
                <c:pt idx="0">
                  <c:v>408.89148287999041</c:v>
                </c:pt>
                <c:pt idx="1">
                  <c:v>406.43733901501457</c:v>
                </c:pt>
                <c:pt idx="2">
                  <c:v>373.02863911617078</c:v>
                </c:pt>
                <c:pt idx="3">
                  <c:v>304.56437501875331</c:v>
                </c:pt>
                <c:pt idx="4">
                  <c:v>243.49298176204434</c:v>
                </c:pt>
                <c:pt idx="5">
                  <c:v>164.18601790770074</c:v>
                </c:pt>
                <c:pt idx="6">
                  <c:v>74.671917387053895</c:v>
                </c:pt>
                <c:pt idx="7">
                  <c:v>10.232822794431399</c:v>
                </c:pt>
                <c:pt idx="8">
                  <c:v>9.9973103480124301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B576-4833-AABE-5B1F8BF49F1F}"/>
            </c:ext>
            <c:ext xmlns:c15="http://schemas.microsoft.com/office/drawing/2012/chart" uri="{02D57815-91ED-43cb-92C2-25804820EDAC}">
              <c15:datalabelsRange>
                <c15:f>Production!$N$20:$V$20</c15:f>
                <c15:dlblRangeCache>
                  <c:ptCount val="9"/>
                  <c:pt idx="0">
                    <c:v>74%</c:v>
                  </c:pt>
                  <c:pt idx="1">
                    <c:v>70%</c:v>
                  </c:pt>
                  <c:pt idx="2">
                    <c:v>64%</c:v>
                  </c:pt>
                  <c:pt idx="3">
                    <c:v>54%</c:v>
                  </c:pt>
                  <c:pt idx="4">
                    <c:v>44%</c:v>
                  </c:pt>
                  <c:pt idx="5">
                    <c:v>31%</c:v>
                  </c:pt>
                  <c:pt idx="6">
                    <c:v>14%</c:v>
                  </c:pt>
                  <c:pt idx="7">
                    <c:v>2%</c:v>
                  </c:pt>
                  <c:pt idx="8">
                    <c:v>2%</c:v>
                  </c:pt>
                </c15:dlblRangeCache>
              </c15:datalabelsRange>
            </c:ext>
          </c:extLst>
        </c:ser>
        <c:ser>
          <c:idx val="2"/>
          <c:order val="1"/>
          <c:tx>
            <c:strRef>
              <c:f>Production!$M$16</c:f>
              <c:strCache>
                <c:ptCount val="1"/>
                <c:pt idx="0">
                  <c:v>Turbines Gaz</c:v>
                </c:pt>
              </c:strCache>
            </c:strRef>
          </c:tx>
          <c:spPr>
            <a:solidFill>
              <a:srgbClr val="9370DB"/>
            </a:solidFill>
            <a:ln>
              <a:noFill/>
            </a:ln>
            <a:effectLst/>
          </c:spPr>
          <c:invertIfNegative val="0"/>
          <c:cat>
            <c:numRef>
              <c:f>Production!$N$14:$V$14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Production!$N$16:$V$16</c:f>
              <c:numCache>
                <c:formatCode>0.0</c:formatCode>
                <c:ptCount val="9"/>
                <c:pt idx="0">
                  <c:v>0.76343185153588389</c:v>
                </c:pt>
                <c:pt idx="1">
                  <c:v>0.16969416836378309</c:v>
                </c:pt>
                <c:pt idx="2">
                  <c:v>0.5817741744980629</c:v>
                </c:pt>
                <c:pt idx="3">
                  <c:v>0.63635716339180848</c:v>
                </c:pt>
                <c:pt idx="4">
                  <c:v>0.59254825679877055</c:v>
                </c:pt>
                <c:pt idx="5">
                  <c:v>0.59908201590052468</c:v>
                </c:pt>
                <c:pt idx="6">
                  <c:v>0.48117620180859311</c:v>
                </c:pt>
                <c:pt idx="7">
                  <c:v>0.48146672280298553</c:v>
                </c:pt>
                <c:pt idx="8">
                  <c:v>4.3188116395359758E-6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B576-4833-AABE-5B1F8BF49F1F}"/>
            </c:ext>
          </c:extLst>
        </c:ser>
        <c:ser>
          <c:idx val="3"/>
          <c:order val="2"/>
          <c:tx>
            <c:strRef>
              <c:f>Production!$M$17</c:f>
              <c:strCache>
                <c:ptCount val="1"/>
                <c:pt idx="0">
                  <c:v>Autres thermiques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Production!$N$14:$V$14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Production!$N$17:$V$17</c:f>
              <c:numCache>
                <c:formatCode>0.0</c:formatCode>
                <c:ptCount val="9"/>
                <c:pt idx="0">
                  <c:v>21.214986206282859</c:v>
                </c:pt>
                <c:pt idx="1">
                  <c:v>6.8087513218090745</c:v>
                </c:pt>
                <c:pt idx="2">
                  <c:v>4.4222513219809043</c:v>
                </c:pt>
                <c:pt idx="3">
                  <c:v>2.0357513220763637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B576-4833-AABE-5B1F8BF49F1F}"/>
            </c:ext>
          </c:extLst>
        </c:ser>
        <c:ser>
          <c:idx val="4"/>
          <c:order val="3"/>
          <c:tx>
            <c:strRef>
              <c:f>Production!$M$18</c:f>
              <c:strCache>
                <c:ptCount val="1"/>
                <c:pt idx="0">
                  <c:v>Renouvelables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783580F-1434-4461-80BA-9DE974CAF346}" type="CELLRANGE">
                      <a:rPr lang="en-US"/>
                      <a:pPr/>
                      <a:t>[PLAGECELL]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C-B576-4833-AABE-5B1F8BF49F1F}"/>
                </c:ext>
                <c:ext xmlns:c15="http://schemas.microsoft.com/office/drawing/2012/chart" uri="{CE6537A1-D6FC-4f65-9D91-7224C49458BB}">
                  <c15:dlblFieldTable/>
                  <c15:showDataLabelsRange val="1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C9CC60E-EA81-44C2-A993-383015B34CF9}" type="CELLRANGE">
                      <a:rPr lang="en-GB"/>
                      <a:pPr/>
                      <a:t>[PLAGECELL]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48727B4-54C2-4E2F-83C0-4C2ADB60E6CB}" type="CELLRANGE">
                      <a:rPr lang="en-GB"/>
                      <a:pPr/>
                      <a:t>[PLAGECELL]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C28A2A9-A07A-477B-B1FE-E97810D8B6CC}" type="CELLRANGE">
                      <a:rPr lang="en-GB"/>
                      <a:pPr/>
                      <a:t>[PLAGECELL]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BB60509-1036-4E08-8B97-1FE7C2A69971}" type="CELLRANGE">
                      <a:rPr lang="en-GB"/>
                      <a:pPr/>
                      <a:t>[PLAGECELL]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E1EEC9A-6C1B-4F32-88A0-ED81DD40F212}" type="CELLRANGE">
                      <a:rPr lang="en-GB"/>
                      <a:pPr/>
                      <a:t>[PLAGECELL]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0FCE7BE-316E-4D40-ABFF-8E11FB210D1B}" type="CELLRANGE">
                      <a:rPr lang="en-GB"/>
                      <a:pPr/>
                      <a:t>[PLAGECELL]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3E2F93B-5A13-4645-85EB-1ECB4317A336}" type="CELLRANGE">
                      <a:rPr lang="en-GB"/>
                      <a:pPr/>
                      <a:t>[PLAGECELL]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D665F94-3584-400B-9F14-BDFAB80564ED}" type="CELLRANGE">
                      <a:rPr lang="en-GB"/>
                      <a:pPr/>
                      <a:t>[PLAGECELL]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Production!$N$14:$V$14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Production!$N$18:$V$18</c:f>
              <c:numCache>
                <c:formatCode>0.0</c:formatCode>
                <c:ptCount val="9"/>
                <c:pt idx="0">
                  <c:v>119.20792355878179</c:v>
                </c:pt>
                <c:pt idx="1">
                  <c:v>164.87763102368385</c:v>
                </c:pt>
                <c:pt idx="2">
                  <c:v>201.44044009804412</c:v>
                </c:pt>
                <c:pt idx="3">
                  <c:v>254.5603875829473</c:v>
                </c:pt>
                <c:pt idx="4">
                  <c:v>308.61014578008275</c:v>
                </c:pt>
                <c:pt idx="5">
                  <c:v>365.54074989040629</c:v>
                </c:pt>
                <c:pt idx="6">
                  <c:v>450.73210186371716</c:v>
                </c:pt>
                <c:pt idx="7">
                  <c:v>506.873069464389</c:v>
                </c:pt>
                <c:pt idx="8">
                  <c:v>566.36953249896442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5-B576-4833-AABE-5B1F8BF49F1F}"/>
            </c:ext>
            <c:ext xmlns:c15="http://schemas.microsoft.com/office/drawing/2012/chart" uri="{02D57815-91ED-43cb-92C2-25804820EDAC}">
              <c15:datalabelsRange>
                <c15:f>Production!$N$19:$V$19</c15:f>
                <c15:dlblRangeCache>
                  <c:ptCount val="9"/>
                  <c:pt idx="0">
                    <c:v>22%</c:v>
                  </c:pt>
                  <c:pt idx="1">
                    <c:v>29%</c:v>
                  </c:pt>
                  <c:pt idx="2">
                    <c:v>35%</c:v>
                  </c:pt>
                  <c:pt idx="3">
                    <c:v>45%</c:v>
                  </c:pt>
                  <c:pt idx="4">
                    <c:v>56%</c:v>
                  </c:pt>
                  <c:pt idx="5">
                    <c:v>69%</c:v>
                  </c:pt>
                  <c:pt idx="6">
                    <c:v>86%</c:v>
                  </c:pt>
                  <c:pt idx="7">
                    <c:v>98%</c:v>
                  </c:pt>
                  <c:pt idx="8">
                    <c:v>98%</c:v>
                  </c:pt>
                </c15:dlblRangeCache>
              </c15:datalabelsRang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4570144"/>
        <c:axId val="424567792"/>
        <c:extLst xmlns:c16r2="http://schemas.microsoft.com/office/drawing/2015/06/chart"/>
      </c:barChart>
      <c:catAx>
        <c:axId val="42457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567792"/>
        <c:crosses val="autoZero"/>
        <c:auto val="1"/>
        <c:lblAlgn val="ctr"/>
        <c:lblOffset val="100"/>
        <c:noMultiLvlLbl val="0"/>
      </c:catAx>
      <c:valAx>
        <c:axId val="42456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57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Taux de charge réalisés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'Taux de charge'!$C$3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6">
                <a:tint val="44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'Taux de charge'!$B$4:$B$19</c15:sqref>
                  </c15:fullRef>
                </c:ext>
              </c:extLst>
              <c:f>('Taux de charge'!$B$4:$B$5,'Taux de charge'!$B$10:$B$13)</c:f>
              <c:strCache>
                <c:ptCount val="6"/>
                <c:pt idx="0">
                  <c:v>Nucléaire</c:v>
                </c:pt>
                <c:pt idx="1">
                  <c:v>CCGT</c:v>
                </c:pt>
                <c:pt idx="2">
                  <c:v>PV Toitures</c:v>
                </c:pt>
                <c:pt idx="3">
                  <c:v>Eolien en mer Posé</c:v>
                </c:pt>
                <c:pt idx="4">
                  <c:v>Eolien en mer Flottant</c:v>
                </c:pt>
                <c:pt idx="5">
                  <c:v>Eolien Terrestre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'Taux de charge'!$C$4:$C$19</c15:sqref>
                  </c15:fullRef>
                </c:ext>
              </c:extLst>
              <c:f>('Taux de charge'!$C$4:$C$5,'Taux de charge'!$C$10:$C$13)</c:f>
              <c:numCache>
                <c:formatCode>0%</c:formatCode>
                <c:ptCount val="6"/>
                <c:pt idx="0">
                  <c:v>0.76058513797958482</c:v>
                </c:pt>
                <c:pt idx="1">
                  <c:v>1.4089766390996133E-2</c:v>
                </c:pt>
                <c:pt idx="2">
                  <c:v>0.15314950167124694</c:v>
                </c:pt>
                <c:pt idx="3">
                  <c:v>0</c:v>
                </c:pt>
                <c:pt idx="4">
                  <c:v>0</c:v>
                </c:pt>
                <c:pt idx="5">
                  <c:v>0.22835167588336316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51-43AE-91C3-C72842DEC660}"/>
            </c:ext>
          </c:extLst>
        </c:ser>
        <c:ser>
          <c:idx val="1"/>
          <c:order val="1"/>
          <c:tx>
            <c:strRef>
              <c:f>'Taux de charge'!$D$3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6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'Taux de charge'!$B$4:$B$19</c15:sqref>
                  </c15:fullRef>
                </c:ext>
              </c:extLst>
              <c:f>('Taux de charge'!$B$4:$B$5,'Taux de charge'!$B$10:$B$13)</c:f>
              <c:strCache>
                <c:ptCount val="6"/>
                <c:pt idx="0">
                  <c:v>Nucléaire</c:v>
                </c:pt>
                <c:pt idx="1">
                  <c:v>CCGT</c:v>
                </c:pt>
                <c:pt idx="2">
                  <c:v>PV Toitures</c:v>
                </c:pt>
                <c:pt idx="3">
                  <c:v>Eolien en mer Posé</c:v>
                </c:pt>
                <c:pt idx="4">
                  <c:v>Eolien en mer Flottant</c:v>
                </c:pt>
                <c:pt idx="5">
                  <c:v>Eolien Terrestre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'Taux de charge'!$D$4:$D$19</c15:sqref>
                  </c15:fullRef>
                </c:ext>
              </c:extLst>
              <c:f>('Taux de charge'!$D$4:$D$5,'Taux de charge'!$D$10:$D$13)</c:f>
              <c:numCache>
                <c:formatCode>0%</c:formatCode>
                <c:ptCount val="6"/>
                <c:pt idx="0">
                  <c:v>0.73681048925779424</c:v>
                </c:pt>
                <c:pt idx="1">
                  <c:v>3.0505991803452788E-3</c:v>
                </c:pt>
                <c:pt idx="2">
                  <c:v>0.14732252125449652</c:v>
                </c:pt>
                <c:pt idx="3">
                  <c:v>0.37547738034795602</c:v>
                </c:pt>
                <c:pt idx="4">
                  <c:v>0.4118320349230507</c:v>
                </c:pt>
                <c:pt idx="5">
                  <c:v>0.25305910608549914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851-43AE-91C3-C72842DEC660}"/>
            </c:ext>
          </c:extLst>
        </c:ser>
        <c:ser>
          <c:idx val="2"/>
          <c:order val="2"/>
          <c:tx>
            <c:strRef>
              <c:f>'Taux de charge'!$E$3</c:f>
              <c:strCache>
                <c:ptCount val="1"/>
                <c:pt idx="0">
                  <c:v>2030</c:v>
                </c:pt>
              </c:strCache>
            </c:strRef>
          </c:tx>
          <c:spPr>
            <a:solidFill>
              <a:schemeClr val="accent6">
                <a:tint val="72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'Taux de charge'!$B$4:$B$19</c15:sqref>
                  </c15:fullRef>
                </c:ext>
              </c:extLst>
              <c:f>('Taux de charge'!$B$4:$B$5,'Taux de charge'!$B$10:$B$13)</c:f>
              <c:strCache>
                <c:ptCount val="6"/>
                <c:pt idx="0">
                  <c:v>Nucléaire</c:v>
                </c:pt>
                <c:pt idx="1">
                  <c:v>CCGT</c:v>
                </c:pt>
                <c:pt idx="2">
                  <c:v>PV Toitures</c:v>
                </c:pt>
                <c:pt idx="3">
                  <c:v>Eolien en mer Posé</c:v>
                </c:pt>
                <c:pt idx="4">
                  <c:v>Eolien en mer Flottant</c:v>
                </c:pt>
                <c:pt idx="5">
                  <c:v>Eolien Terrestre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'Taux de charge'!$E$4:$E$19</c15:sqref>
                  </c15:fullRef>
                </c:ext>
              </c:extLst>
              <c:f>('Taux de charge'!$E$4:$E$5,'Taux de charge'!$E$10:$E$13)</c:f>
              <c:numCache>
                <c:formatCode>0%</c:formatCode>
                <c:ptCount val="6"/>
                <c:pt idx="0">
                  <c:v>0.71749246895927177</c:v>
                </c:pt>
                <c:pt idx="1">
                  <c:v>9.9155007130401103E-3</c:v>
                </c:pt>
                <c:pt idx="2">
                  <c:v>0.14873591120986757</c:v>
                </c:pt>
                <c:pt idx="3">
                  <c:v>0.373192027556844</c:v>
                </c:pt>
                <c:pt idx="4">
                  <c:v>0.41460646685625896</c:v>
                </c:pt>
                <c:pt idx="5">
                  <c:v>0.26771326742561175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851-43AE-91C3-C72842DEC660}"/>
            </c:ext>
          </c:extLst>
        </c:ser>
        <c:ser>
          <c:idx val="3"/>
          <c:order val="3"/>
          <c:tx>
            <c:strRef>
              <c:f>'Taux de charge'!$F$3</c:f>
              <c:strCache>
                <c:ptCount val="1"/>
                <c:pt idx="0">
                  <c:v>2035</c:v>
                </c:pt>
              </c:strCache>
            </c:strRef>
          </c:tx>
          <c:spPr>
            <a:solidFill>
              <a:schemeClr val="accent6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'Taux de charge'!$B$4:$B$19</c15:sqref>
                  </c15:fullRef>
                </c:ext>
              </c:extLst>
              <c:f>('Taux de charge'!$B$4:$B$5,'Taux de charge'!$B$10:$B$13)</c:f>
              <c:strCache>
                <c:ptCount val="6"/>
                <c:pt idx="0">
                  <c:v>Nucléaire</c:v>
                </c:pt>
                <c:pt idx="1">
                  <c:v>CCGT</c:v>
                </c:pt>
                <c:pt idx="2">
                  <c:v>PV Toitures</c:v>
                </c:pt>
                <c:pt idx="3">
                  <c:v>Eolien en mer Posé</c:v>
                </c:pt>
                <c:pt idx="4">
                  <c:v>Eolien en mer Flottant</c:v>
                </c:pt>
                <c:pt idx="5">
                  <c:v>Eolien Terrestre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'Taux de charge'!$F$4:$F$19</c15:sqref>
                  </c15:fullRef>
                </c:ext>
              </c:extLst>
              <c:f>('Taux de charge'!$F$4:$F$5,'Taux de charge'!$F$10:$F$13)</c:f>
              <c:numCache>
                <c:formatCode>0%</c:formatCode>
                <c:ptCount val="6"/>
                <c:pt idx="0">
                  <c:v>0.70849610627495407</c:v>
                </c:pt>
                <c:pt idx="1">
                  <c:v>1.2305830468735453E-2</c:v>
                </c:pt>
                <c:pt idx="2">
                  <c:v>0.15195164149906215</c:v>
                </c:pt>
                <c:pt idx="3">
                  <c:v>0.37817971914075593</c:v>
                </c:pt>
                <c:pt idx="4">
                  <c:v>0.4186338679945063</c:v>
                </c:pt>
                <c:pt idx="5">
                  <c:v>0.28813512267054836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851-43AE-91C3-C72842DEC660}"/>
            </c:ext>
          </c:extLst>
        </c:ser>
        <c:ser>
          <c:idx val="4"/>
          <c:order val="4"/>
          <c:tx>
            <c:strRef>
              <c:f>'Taux de charge'!$G$3</c:f>
              <c:strCache>
                <c:ptCount val="1"/>
                <c:pt idx="0">
                  <c:v>2040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'Taux de charge'!$B$4:$B$19</c15:sqref>
                  </c15:fullRef>
                </c:ext>
              </c:extLst>
              <c:f>('Taux de charge'!$B$4:$B$5,'Taux de charge'!$B$10:$B$13)</c:f>
              <c:strCache>
                <c:ptCount val="6"/>
                <c:pt idx="0">
                  <c:v>Nucléaire</c:v>
                </c:pt>
                <c:pt idx="1">
                  <c:v>CCGT</c:v>
                </c:pt>
                <c:pt idx="2">
                  <c:v>PV Toitures</c:v>
                </c:pt>
                <c:pt idx="3">
                  <c:v>Eolien en mer Posé</c:v>
                </c:pt>
                <c:pt idx="4">
                  <c:v>Eolien en mer Flottant</c:v>
                </c:pt>
                <c:pt idx="5">
                  <c:v>Eolien Terrestre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'Taux de charge'!$G$4:$G$19</c15:sqref>
                  </c15:fullRef>
                </c:ext>
              </c:extLst>
              <c:f>('Taux de charge'!$G$4:$G$5,'Taux de charge'!$G$10:$G$13)</c:f>
              <c:numCache>
                <c:formatCode>0%</c:formatCode>
                <c:ptCount val="6"/>
                <c:pt idx="0">
                  <c:v>0.70454350121267384</c:v>
                </c:pt>
                <c:pt idx="1">
                  <c:v>1.8525544062750417E-2</c:v>
                </c:pt>
                <c:pt idx="2">
                  <c:v>0.15222260759835404</c:v>
                </c:pt>
                <c:pt idx="3">
                  <c:v>0.38576333263044615</c:v>
                </c:pt>
                <c:pt idx="4">
                  <c:v>0.43201519317059484</c:v>
                </c:pt>
                <c:pt idx="5">
                  <c:v>0.30209951794158391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0851-43AE-91C3-C72842DEC660}"/>
            </c:ext>
          </c:extLst>
        </c:ser>
        <c:ser>
          <c:idx val="5"/>
          <c:order val="5"/>
          <c:tx>
            <c:strRef>
              <c:f>'Taux de charge'!$H$3</c:f>
              <c:strCache>
                <c:ptCount val="1"/>
                <c:pt idx="0">
                  <c:v>2045</c:v>
                </c:pt>
              </c:strCache>
            </c:strRef>
          </c:tx>
          <c:spPr>
            <a:solidFill>
              <a:schemeClr val="accent6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'Taux de charge'!$B$4:$B$19</c15:sqref>
                  </c15:fullRef>
                </c:ext>
              </c:extLst>
              <c:f>('Taux de charge'!$B$4:$B$5,'Taux de charge'!$B$10:$B$13)</c:f>
              <c:strCache>
                <c:ptCount val="6"/>
                <c:pt idx="0">
                  <c:v>Nucléaire</c:v>
                </c:pt>
                <c:pt idx="1">
                  <c:v>CCGT</c:v>
                </c:pt>
                <c:pt idx="2">
                  <c:v>PV Toitures</c:v>
                </c:pt>
                <c:pt idx="3">
                  <c:v>Eolien en mer Posé</c:v>
                </c:pt>
                <c:pt idx="4">
                  <c:v>Eolien en mer Flottant</c:v>
                </c:pt>
                <c:pt idx="5">
                  <c:v>Eolien Terrestre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'Taux de charge'!$H$4:$H$19</c15:sqref>
                  </c15:fullRef>
                </c:ext>
              </c:extLst>
              <c:f>('Taux de charge'!$H$4:$H$5,'Taux de charge'!$H$10:$H$13)</c:f>
              <c:numCache>
                <c:formatCode>0%</c:formatCode>
                <c:ptCount val="6"/>
                <c:pt idx="0">
                  <c:v>0.69844218768747823</c:v>
                </c:pt>
                <c:pt idx="1">
                  <c:v>6.6786183220149717E-2</c:v>
                </c:pt>
                <c:pt idx="2">
                  <c:v>0.15069432782951772</c:v>
                </c:pt>
                <c:pt idx="3">
                  <c:v>0.38711276032746939</c:v>
                </c:pt>
                <c:pt idx="4">
                  <c:v>0.43881553864308792</c:v>
                </c:pt>
                <c:pt idx="5">
                  <c:v>0.31657753320969084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0851-43AE-91C3-C72842DEC660}"/>
            </c:ext>
          </c:extLst>
        </c:ser>
        <c:ser>
          <c:idx val="6"/>
          <c:order val="6"/>
          <c:tx>
            <c:strRef>
              <c:f>'Taux de charge'!$I$3</c:f>
              <c:strCache>
                <c:ptCount val="1"/>
                <c:pt idx="0">
                  <c:v>2050</c:v>
                </c:pt>
              </c:strCache>
            </c:strRef>
          </c:tx>
          <c:spPr>
            <a:solidFill>
              <a:schemeClr val="accent6">
                <a:shade val="72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'Taux de charge'!$B$4:$B$19</c15:sqref>
                  </c15:fullRef>
                </c:ext>
              </c:extLst>
              <c:f>('Taux de charge'!$B$4:$B$5,'Taux de charge'!$B$10:$B$13)</c:f>
              <c:strCache>
                <c:ptCount val="6"/>
                <c:pt idx="0">
                  <c:v>Nucléaire</c:v>
                </c:pt>
                <c:pt idx="1">
                  <c:v>CCGT</c:v>
                </c:pt>
                <c:pt idx="2">
                  <c:v>PV Toitures</c:v>
                </c:pt>
                <c:pt idx="3">
                  <c:v>Eolien en mer Posé</c:v>
                </c:pt>
                <c:pt idx="4">
                  <c:v>Eolien en mer Flottant</c:v>
                </c:pt>
                <c:pt idx="5">
                  <c:v>Eolien Terrestre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'Taux de charge'!$I$4:$I$19</c15:sqref>
                  </c15:fullRef>
                </c:ext>
              </c:extLst>
              <c:f>('Taux de charge'!$I$4:$I$5,'Taux de charge'!$I$10:$I$13)</c:f>
              <c:numCache>
                <c:formatCode>0%</c:formatCode>
                <c:ptCount val="6"/>
                <c:pt idx="0">
                  <c:v>0.71332146296067123</c:v>
                </c:pt>
                <c:pt idx="1">
                  <c:v>0.12723238949374199</c:v>
                </c:pt>
                <c:pt idx="2">
                  <c:v>0.14916524819737639</c:v>
                </c:pt>
                <c:pt idx="3">
                  <c:v>0.37406698934540711</c:v>
                </c:pt>
                <c:pt idx="4">
                  <c:v>0.44131631690105011</c:v>
                </c:pt>
                <c:pt idx="5">
                  <c:v>0.31729936041737633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0851-43AE-91C3-C72842DEC660}"/>
            </c:ext>
          </c:extLst>
        </c:ser>
        <c:ser>
          <c:idx val="7"/>
          <c:order val="7"/>
          <c:tx>
            <c:strRef>
              <c:f>'Taux de charge'!$J$3</c:f>
              <c:strCache>
                <c:ptCount val="1"/>
                <c:pt idx="0">
                  <c:v>2055</c:v>
                </c:pt>
              </c:strCache>
            </c:strRef>
          </c:tx>
          <c:spPr>
            <a:solidFill>
              <a:schemeClr val="accent6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'Taux de charge'!$B$4:$B$19</c15:sqref>
                  </c15:fullRef>
                </c:ext>
              </c:extLst>
              <c:f>('Taux de charge'!$B$4:$B$5,'Taux de charge'!$B$10:$B$13)</c:f>
              <c:strCache>
                <c:ptCount val="6"/>
                <c:pt idx="0">
                  <c:v>Nucléaire</c:v>
                </c:pt>
                <c:pt idx="1">
                  <c:v>CCGT</c:v>
                </c:pt>
                <c:pt idx="2">
                  <c:v>PV Toitures</c:v>
                </c:pt>
                <c:pt idx="3">
                  <c:v>Eolien en mer Posé</c:v>
                </c:pt>
                <c:pt idx="4">
                  <c:v>Eolien en mer Flottant</c:v>
                </c:pt>
                <c:pt idx="5">
                  <c:v>Eolien Terrestre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'Taux de charge'!$J$4:$J$19</c15:sqref>
                  </c15:fullRef>
                </c:ext>
              </c:extLst>
              <c:f>('Taux de charge'!$J$4:$J$5,'Taux de charge'!$J$10:$J$13)</c:f>
              <c:numCache>
                <c:formatCode>0%</c:formatCode>
                <c:ptCount val="6"/>
                <c:pt idx="0">
                  <c:v>0.73008153499082473</c:v>
                </c:pt>
                <c:pt idx="1">
                  <c:v>0.14245389693716548</c:v>
                </c:pt>
                <c:pt idx="2">
                  <c:v>0.14830760166137349</c:v>
                </c:pt>
                <c:pt idx="3">
                  <c:v>0.37406698934523741</c:v>
                </c:pt>
                <c:pt idx="4">
                  <c:v>0.44241497149657671</c:v>
                </c:pt>
                <c:pt idx="5">
                  <c:v>0.31701658411765948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0851-43AE-91C3-C72842DEC660}"/>
            </c:ext>
          </c:extLst>
        </c:ser>
        <c:ser>
          <c:idx val="8"/>
          <c:order val="8"/>
          <c:tx>
            <c:strRef>
              <c:f>'Taux de charge'!$K$3</c:f>
              <c:strCache>
                <c:ptCount val="1"/>
                <c:pt idx="0">
                  <c:v>2060</c:v>
                </c:pt>
              </c:strCache>
            </c:strRef>
          </c:tx>
          <c:spPr>
            <a:solidFill>
              <a:schemeClr val="accent6">
                <a:shade val="44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'Taux de charge'!$B$4:$B$19</c15:sqref>
                  </c15:fullRef>
                </c:ext>
              </c:extLst>
              <c:f>('Taux de charge'!$B$4:$B$5,'Taux de charge'!$B$10:$B$13)</c:f>
              <c:strCache>
                <c:ptCount val="6"/>
                <c:pt idx="0">
                  <c:v>Nucléaire</c:v>
                </c:pt>
                <c:pt idx="1">
                  <c:v>CCGT</c:v>
                </c:pt>
                <c:pt idx="2">
                  <c:v>PV Toitures</c:v>
                </c:pt>
                <c:pt idx="3">
                  <c:v>Eolien en mer Posé</c:v>
                </c:pt>
                <c:pt idx="4">
                  <c:v>Eolien en mer Flottant</c:v>
                </c:pt>
                <c:pt idx="5">
                  <c:v>Eolien Terrestre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'Taux de charge'!$K$4:$K$19</c15:sqref>
                  </c15:fullRef>
                </c:ext>
              </c:extLst>
              <c:f>('Taux de charge'!$K$4:$K$5,'Taux de charge'!$K$10:$K$13)</c:f>
              <c:numCache>
                <c:formatCode>0%</c:formatCode>
                <c:ptCount val="6"/>
                <c:pt idx="0">
                  <c:v>0.71327842094837546</c:v>
                </c:pt>
                <c:pt idx="1">
                  <c:v>0.74794468915288725</c:v>
                </c:pt>
                <c:pt idx="2">
                  <c:v>0.14845740214798797</c:v>
                </c:pt>
                <c:pt idx="3">
                  <c:v>0.37406698934529248</c:v>
                </c:pt>
                <c:pt idx="4">
                  <c:v>0.4424149714908101</c:v>
                </c:pt>
                <c:pt idx="5">
                  <c:v>0.31628589713124661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0851-43AE-91C3-C72842DEC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4570536"/>
        <c:axId val="424568576"/>
      </c:barChart>
      <c:catAx>
        <c:axId val="4245705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568576"/>
        <c:crosses val="autoZero"/>
        <c:auto val="1"/>
        <c:lblAlgn val="ctr"/>
        <c:lblOffset val="100"/>
        <c:noMultiLvlLbl val="0"/>
      </c:catAx>
      <c:valAx>
        <c:axId val="424568576"/>
        <c:scaling>
          <c:orientation val="minMax"/>
          <c:max val="1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570536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Consommation par usage (TWh)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Consommation!$M$4</c:f>
              <c:strCache>
                <c:ptCount val="1"/>
                <c:pt idx="0">
                  <c:v>Chauffage Joule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Consommation!$N$3:$V$3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Consommation!$N$4:$V$4</c:f>
              <c:numCache>
                <c:formatCode>0.0</c:formatCode>
                <c:ptCount val="9"/>
                <c:pt idx="0">
                  <c:v>48.491996159341383</c:v>
                </c:pt>
                <c:pt idx="1">
                  <c:v>38.123460450470233</c:v>
                </c:pt>
                <c:pt idx="2">
                  <c:v>27.755215589513263</c:v>
                </c:pt>
                <c:pt idx="3">
                  <c:v>23.381166487020909</c:v>
                </c:pt>
                <c:pt idx="4">
                  <c:v>19.007185466643737</c:v>
                </c:pt>
                <c:pt idx="5">
                  <c:v>16.901158067635158</c:v>
                </c:pt>
                <c:pt idx="6">
                  <c:v>14.795150158841746</c:v>
                </c:pt>
                <c:pt idx="7">
                  <c:v>14.795163065049618</c:v>
                </c:pt>
                <c:pt idx="8">
                  <c:v>14.795180830936769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72-4B15-AAEE-F56E6E9CF2FC}"/>
            </c:ext>
          </c:extLst>
        </c:ser>
        <c:ser>
          <c:idx val="1"/>
          <c:order val="1"/>
          <c:tx>
            <c:strRef>
              <c:f>Consommation!$M$5</c:f>
              <c:strCache>
                <c:ptCount val="1"/>
                <c:pt idx="0">
                  <c:v>Chauffage PAC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Consommation!$N$3:$V$3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Consommation!$N$5:$V$5</c:f>
              <c:numCache>
                <c:formatCode>0.0</c:formatCode>
                <c:ptCount val="9"/>
                <c:pt idx="0">
                  <c:v>12.280996511604465</c:v>
                </c:pt>
                <c:pt idx="1">
                  <c:v>20.040116637196398</c:v>
                </c:pt>
                <c:pt idx="2">
                  <c:v>27.806149467951663</c:v>
                </c:pt>
                <c:pt idx="3">
                  <c:v>28.02416635654491</c:v>
                </c:pt>
                <c:pt idx="4">
                  <c:v>28.244549811231654</c:v>
                </c:pt>
                <c:pt idx="5">
                  <c:v>26.741087421226151</c:v>
                </c:pt>
                <c:pt idx="6">
                  <c:v>25.230267693890006</c:v>
                </c:pt>
                <c:pt idx="7">
                  <c:v>25.23264498470575</c:v>
                </c:pt>
                <c:pt idx="8">
                  <c:v>25.236437407837343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A72-4B15-AAEE-F56E6E9CF2FC}"/>
            </c:ext>
          </c:extLst>
        </c:ser>
        <c:ser>
          <c:idx val="2"/>
          <c:order val="2"/>
          <c:tx>
            <c:strRef>
              <c:f>Consommation!$M$6</c:f>
              <c:strCache>
                <c:ptCount val="1"/>
                <c:pt idx="0">
                  <c:v>ECS et produits blancs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Consommation!$N$3:$V$3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Consommation!$N$6:$V$6</c:f>
              <c:numCache>
                <c:formatCode>0.0</c:formatCode>
                <c:ptCount val="9"/>
                <c:pt idx="0">
                  <c:v>117.93597600011594</c:v>
                </c:pt>
                <c:pt idx="1">
                  <c:v>105.56600545325003</c:v>
                </c:pt>
                <c:pt idx="2">
                  <c:v>93.212589402908179</c:v>
                </c:pt>
                <c:pt idx="3">
                  <c:v>85.691516403453392</c:v>
                </c:pt>
                <c:pt idx="4">
                  <c:v>78.16999145691311</c:v>
                </c:pt>
                <c:pt idx="5">
                  <c:v>73.07840066181268</c:v>
                </c:pt>
                <c:pt idx="6">
                  <c:v>67.985802583759394</c:v>
                </c:pt>
                <c:pt idx="7">
                  <c:v>67.985799574970187</c:v>
                </c:pt>
                <c:pt idx="8">
                  <c:v>67.986087628785953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2A72-4B15-AAEE-F56E6E9CF2FC}"/>
            </c:ext>
          </c:extLst>
        </c:ser>
        <c:ser>
          <c:idx val="3"/>
          <c:order val="3"/>
          <c:tx>
            <c:strRef>
              <c:f>Consommation!$M$7</c:f>
              <c:strCache>
                <c:ptCount val="1"/>
                <c:pt idx="0">
                  <c:v>Climatisation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Consommation!$N$3:$V$3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Consommation!$N$7:$V$7</c:f>
              <c:numCache>
                <c:formatCode>0.0</c:formatCode>
                <c:ptCount val="9"/>
                <c:pt idx="0">
                  <c:v>25.811986001152157</c:v>
                </c:pt>
                <c:pt idx="1">
                  <c:v>20.217298319281884</c:v>
                </c:pt>
                <c:pt idx="2">
                  <c:v>14.622774884581396</c:v>
                </c:pt>
                <c:pt idx="3">
                  <c:v>14.16908314418443</c:v>
                </c:pt>
                <c:pt idx="4">
                  <c:v>13.715407769525331</c:v>
                </c:pt>
                <c:pt idx="5">
                  <c:v>13.580313677646487</c:v>
                </c:pt>
                <c:pt idx="6">
                  <c:v>13.445228302451062</c:v>
                </c:pt>
                <c:pt idx="7">
                  <c:v>13.445229458847175</c:v>
                </c:pt>
                <c:pt idx="8">
                  <c:v>13.445243904069841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2A72-4B15-AAEE-F56E6E9CF2FC}"/>
            </c:ext>
          </c:extLst>
        </c:ser>
        <c:ser>
          <c:idx val="4"/>
          <c:order val="4"/>
          <c:tx>
            <c:strRef>
              <c:f>Consommation!$M$8</c:f>
              <c:strCache>
                <c:ptCount val="1"/>
                <c:pt idx="0">
                  <c:v>Véhicules électriques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Consommation!$N$3:$V$3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Consommation!$N$8:$V$8</c:f>
              <c:numCache>
                <c:formatCode>0.0</c:formatCode>
                <c:ptCount val="9"/>
                <c:pt idx="0">
                  <c:v>0.32384198877134374</c:v>
                </c:pt>
                <c:pt idx="1">
                  <c:v>10.524703442258705</c:v>
                </c:pt>
                <c:pt idx="2">
                  <c:v>20.724021258163965</c:v>
                </c:pt>
                <c:pt idx="3">
                  <c:v>26.71155089156213</c:v>
                </c:pt>
                <c:pt idx="4">
                  <c:v>32.698716005112232</c:v>
                </c:pt>
                <c:pt idx="5">
                  <c:v>38.681782707354316</c:v>
                </c:pt>
                <c:pt idx="6">
                  <c:v>44.662695630094262</c:v>
                </c:pt>
                <c:pt idx="7">
                  <c:v>44.662694140634464</c:v>
                </c:pt>
                <c:pt idx="8">
                  <c:v>44.663557986815874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2A72-4B15-AAEE-F56E6E9CF2FC}"/>
            </c:ext>
          </c:extLst>
        </c:ser>
        <c:ser>
          <c:idx val="6"/>
          <c:order val="5"/>
          <c:tx>
            <c:strRef>
              <c:f>Consommation!$M$9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Consommation!$N$3:$V$3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Consommation!$N$9:$V$9</c:f>
              <c:numCache>
                <c:formatCode>0.0</c:formatCode>
                <c:ptCount val="9"/>
                <c:pt idx="0">
                  <c:v>127.4017550000211</c:v>
                </c:pt>
                <c:pt idx="1">
                  <c:v>121.85887199998305</c:v>
                </c:pt>
                <c:pt idx="2">
                  <c:v>116.31598900003502</c:v>
                </c:pt>
                <c:pt idx="3">
                  <c:v>108.51298600001664</c:v>
                </c:pt>
                <c:pt idx="4">
                  <c:v>100.70998999990829</c:v>
                </c:pt>
                <c:pt idx="5">
                  <c:v>92.906989000007115</c:v>
                </c:pt>
                <c:pt idx="6">
                  <c:v>85.103988000013118</c:v>
                </c:pt>
                <c:pt idx="7">
                  <c:v>85.103988000013118</c:v>
                </c:pt>
                <c:pt idx="8">
                  <c:v>85.103988000013118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2A72-4B15-AAEE-F56E6E9CF2FC}"/>
            </c:ext>
          </c:extLst>
        </c:ser>
        <c:ser>
          <c:idx val="7"/>
          <c:order val="6"/>
          <c:tx>
            <c:strRef>
              <c:f>Consommation!$M$10</c:f>
              <c:strCache>
                <c:ptCount val="1"/>
                <c:pt idx="0">
                  <c:v>Autres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Consommation!$N$3:$V$3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Consommation!$N$10:$V$10</c:f>
              <c:numCache>
                <c:formatCode>0.0</c:formatCode>
                <c:ptCount val="9"/>
                <c:pt idx="0">
                  <c:v>135.43197799998015</c:v>
                </c:pt>
                <c:pt idx="1">
                  <c:v>130.78796900002229</c:v>
                </c:pt>
                <c:pt idx="2">
                  <c:v>122.47197399986989</c:v>
                </c:pt>
                <c:pt idx="3">
                  <c:v>126.74877400004792</c:v>
                </c:pt>
                <c:pt idx="4">
                  <c:v>129.51356599995773</c:v>
                </c:pt>
                <c:pt idx="5">
                  <c:v>127.90977100005283</c:v>
                </c:pt>
                <c:pt idx="6">
                  <c:v>128.4659660000143</c:v>
                </c:pt>
                <c:pt idx="7">
                  <c:v>128.46597399997131</c:v>
                </c:pt>
                <c:pt idx="8">
                  <c:v>128.4659699998268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2A72-4B15-AAEE-F56E6E9CF2FC}"/>
            </c:ext>
          </c:extLst>
        </c:ser>
        <c:ser>
          <c:idx val="8"/>
          <c:order val="7"/>
          <c:tx>
            <c:strRef>
              <c:f>Consommation!$M$11</c:f>
              <c:strCache>
                <c:ptCount val="1"/>
                <c:pt idx="0">
                  <c:v>Electrolyseurs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Consommation!$N$3:$V$3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Consommation!$N$11:$V$11</c:f>
              <c:numCache>
                <c:formatCode>0.0</c:formatCode>
                <c:ptCount val="9"/>
                <c:pt idx="0">
                  <c:v>0</c:v>
                </c:pt>
                <c:pt idx="1">
                  <c:v>12.719014777516092</c:v>
                </c:pt>
                <c:pt idx="2">
                  <c:v>35.719516408337185</c:v>
                </c:pt>
                <c:pt idx="3">
                  <c:v>58.072801234886782</c:v>
                </c:pt>
                <c:pt idx="4">
                  <c:v>79.163210043914432</c:v>
                </c:pt>
                <c:pt idx="5">
                  <c:v>98.812896976946959</c:v>
                </c:pt>
                <c:pt idx="6">
                  <c:v>139.43101048600278</c:v>
                </c:pt>
                <c:pt idx="7">
                  <c:v>142.2470608289326</c:v>
                </c:pt>
                <c:pt idx="8">
                  <c:v>160.49195574329454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2A72-4B15-AAEE-F56E6E9CF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1572352"/>
        <c:axId val="421577056"/>
        <c:extLst xmlns:c16r2="http://schemas.microsoft.com/office/drawing/2015/06/chart"/>
      </c:barChart>
      <c:catAx>
        <c:axId val="42157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577056"/>
        <c:crosses val="autoZero"/>
        <c:auto val="1"/>
        <c:lblAlgn val="ctr"/>
        <c:lblOffset val="100"/>
        <c:noMultiLvlLbl val="0"/>
      </c:catAx>
      <c:valAx>
        <c:axId val="42157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57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Consommation par pilotage (TWh)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6"/>
          <c:order val="0"/>
          <c:tx>
            <c:strRef>
              <c:f>Consommation!$M$24</c:f>
              <c:strCache>
                <c:ptCount val="1"/>
                <c:pt idx="0">
                  <c:v>Consommations non-pilotables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Consommation!$N$18:$V$18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Consommation!$N$24:$V$24</c:f>
              <c:numCache>
                <c:formatCode>0.0</c:formatCode>
                <c:ptCount val="9"/>
                <c:pt idx="0">
                  <c:v>442.15940498431405</c:v>
                </c:pt>
                <c:pt idx="1">
                  <c:v>382.61572078318898</c:v>
                </c:pt>
                <c:pt idx="2">
                  <c:v>328.78793779462683</c:v>
                </c:pt>
                <c:pt idx="3">
                  <c:v>313.74001117683588</c:v>
                </c:pt>
                <c:pt idx="4">
                  <c:v>298.12876865520849</c:v>
                </c:pt>
                <c:pt idx="5">
                  <c:v>279.39431537717695</c:v>
                </c:pt>
                <c:pt idx="6">
                  <c:v>261.89117651657159</c:v>
                </c:pt>
                <c:pt idx="7">
                  <c:v>261.89116973776675</c:v>
                </c:pt>
                <c:pt idx="8">
                  <c:v>261.89115779372582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E83-4509-8289-2250EF46BD0B}"/>
            </c:ext>
          </c:extLst>
        </c:ser>
        <c:ser>
          <c:idx val="5"/>
          <c:order val="1"/>
          <c:tx>
            <c:strRef>
              <c:f>Consommation!$M$26</c:f>
              <c:strCache>
                <c:ptCount val="1"/>
                <c:pt idx="0">
                  <c:v>Electrolyseurs quasi-base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Consommation!$N$26:$V$26</c:f>
              <c:numCache>
                <c:formatCode>0.0</c:formatCode>
                <c:ptCount val="9"/>
                <c:pt idx="0">
                  <c:v>0</c:v>
                </c:pt>
                <c:pt idx="1">
                  <c:v>10.56049511252094</c:v>
                </c:pt>
                <c:pt idx="2">
                  <c:v>19.910023970863939</c:v>
                </c:pt>
                <c:pt idx="3">
                  <c:v>28.389254671461988</c:v>
                </c:pt>
                <c:pt idx="4">
                  <c:v>37.355767486229084</c:v>
                </c:pt>
                <c:pt idx="5">
                  <c:v>47.09554734896885</c:v>
                </c:pt>
                <c:pt idx="6">
                  <c:v>55.933544723221367</c:v>
                </c:pt>
                <c:pt idx="7">
                  <c:v>56.160657715337116</c:v>
                </c:pt>
                <c:pt idx="8">
                  <c:v>57.631286344717033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BC-40F3-9C6C-502FA187ABBF}"/>
            </c:ext>
          </c:extLst>
        </c:ser>
        <c:ser>
          <c:idx val="0"/>
          <c:order val="2"/>
          <c:tx>
            <c:strRef>
              <c:f>Consommation!$M$19</c:f>
              <c:strCache>
                <c:ptCount val="1"/>
                <c:pt idx="0">
                  <c:v>Chauffage pilotable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Consommation!$N$18:$V$18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Consommation!$N$19:$V$19</c:f>
              <c:numCache>
                <c:formatCode>0.0</c:formatCode>
                <c:ptCount val="9"/>
                <c:pt idx="0">
                  <c:v>0</c:v>
                </c:pt>
                <c:pt idx="1">
                  <c:v>5.8187969276530067</c:v>
                </c:pt>
                <c:pt idx="2">
                  <c:v>11.122454336776528</c:v>
                </c:pt>
                <c:pt idx="3">
                  <c:v>12.862936324290549</c:v>
                </c:pt>
                <c:pt idx="4">
                  <c:v>14.189955684188892</c:v>
                </c:pt>
                <c:pt idx="5">
                  <c:v>15.291233832838287</c:v>
                </c:pt>
                <c:pt idx="6">
                  <c:v>16.023762182344392</c:v>
                </c:pt>
                <c:pt idx="7">
                  <c:v>16.026165158157486</c:v>
                </c:pt>
                <c:pt idx="8">
                  <c:v>16.029986293488957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E83-4509-8289-2250EF46BD0B}"/>
            </c:ext>
          </c:extLst>
        </c:ser>
        <c:ser>
          <c:idx val="1"/>
          <c:order val="3"/>
          <c:tx>
            <c:strRef>
              <c:f>Consommation!$M$20</c:f>
              <c:strCache>
                <c:ptCount val="1"/>
                <c:pt idx="0">
                  <c:v>Climatisation pilotable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Consommation!$N$18:$V$18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Consommation!$N$20:$V$20</c:f>
              <c:numCache>
                <c:formatCode>0.0</c:formatCode>
                <c:ptCount val="9"/>
                <c:pt idx="0">
                  <c:v>0</c:v>
                </c:pt>
                <c:pt idx="1">
                  <c:v>2.0214703196086807</c:v>
                </c:pt>
                <c:pt idx="2">
                  <c:v>2.9242278836355728</c:v>
                </c:pt>
                <c:pt idx="3">
                  <c:v>3.5418971449858865</c:v>
                </c:pt>
                <c:pt idx="4">
                  <c:v>4.1142197696673222</c:v>
                </c:pt>
                <c:pt idx="5">
                  <c:v>4.7526776773504888</c:v>
                </c:pt>
                <c:pt idx="6">
                  <c:v>5.3776393020230735</c:v>
                </c:pt>
                <c:pt idx="7">
                  <c:v>5.377643458275065</c:v>
                </c:pt>
                <c:pt idx="8">
                  <c:v>5.3776559044950689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E83-4509-8289-2250EF46BD0B}"/>
            </c:ext>
          </c:extLst>
        </c:ser>
        <c:ser>
          <c:idx val="2"/>
          <c:order val="4"/>
          <c:tx>
            <c:strRef>
              <c:f>Consommation!$M$21</c:f>
              <c:strCache>
                <c:ptCount val="1"/>
                <c:pt idx="0">
                  <c:v>ECS et produits blancs pilotables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Consommation!$N$18:$V$18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Consommation!$N$21:$V$21</c:f>
              <c:numCache>
                <c:formatCode>0.0</c:formatCode>
                <c:ptCount val="9"/>
                <c:pt idx="0">
                  <c:v>0</c:v>
                </c:pt>
                <c:pt idx="1">
                  <c:v>18.21347345328477</c:v>
                </c:pt>
                <c:pt idx="2">
                  <c:v>28.373730402909654</c:v>
                </c:pt>
                <c:pt idx="3">
                  <c:v>27.637383403432828</c:v>
                </c:pt>
                <c:pt idx="4">
                  <c:v>27.240453456941786</c:v>
                </c:pt>
                <c:pt idx="5">
                  <c:v>26.905507661813019</c:v>
                </c:pt>
                <c:pt idx="6">
                  <c:v>27.064628583787467</c:v>
                </c:pt>
                <c:pt idx="7">
                  <c:v>27.064624574980204</c:v>
                </c:pt>
                <c:pt idx="8">
                  <c:v>27.064909628791888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E83-4509-8289-2250EF46BD0B}"/>
            </c:ext>
          </c:extLst>
        </c:ser>
        <c:ser>
          <c:idx val="3"/>
          <c:order val="5"/>
          <c:tx>
            <c:strRef>
              <c:f>Consommation!$M$22</c:f>
              <c:strCache>
                <c:ptCount val="1"/>
                <c:pt idx="0">
                  <c:v>Véhicules électriques pilotables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Consommation!$N$18:$V$18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Consommation!$N$22:$V$22</c:f>
              <c:numCache>
                <c:formatCode>0.0</c:formatCode>
                <c:ptCount val="9"/>
                <c:pt idx="0">
                  <c:v>3.8776676673246781E-2</c:v>
                </c:pt>
                <c:pt idx="1">
                  <c:v>1.8913048187205783</c:v>
                </c:pt>
                <c:pt idx="2">
                  <c:v>5.1739681850662924</c:v>
                </c:pt>
                <c:pt idx="3">
                  <c:v>9.3389982332874837</c:v>
                </c:pt>
                <c:pt idx="4">
                  <c:v>13.066513943329507</c:v>
                </c:pt>
                <c:pt idx="5">
                  <c:v>19.324948986554944</c:v>
                </c:pt>
                <c:pt idx="6">
                  <c:v>26.779897784330839</c:v>
                </c:pt>
                <c:pt idx="7">
                  <c:v>26.779896295005539</c:v>
                </c:pt>
                <c:pt idx="8">
                  <c:v>26.780762137777348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4E83-4509-8289-2250EF46BD0B}"/>
            </c:ext>
          </c:extLst>
        </c:ser>
        <c:ser>
          <c:idx val="4"/>
          <c:order val="6"/>
          <c:tx>
            <c:strRef>
              <c:f>Consommation!$M$23</c:f>
              <c:strCache>
                <c:ptCount val="1"/>
                <c:pt idx="0">
                  <c:v>Industrie pilotable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Consommation!$N$18:$V$18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Consommation!$N$23:$V$23</c:f>
              <c:numCache>
                <c:formatCode>0.0</c:formatCode>
                <c:ptCount val="9"/>
                <c:pt idx="0">
                  <c:v>25.480347999999172</c:v>
                </c:pt>
                <c:pt idx="1">
                  <c:v>36.557659000006609</c:v>
                </c:pt>
                <c:pt idx="2">
                  <c:v>46.526395000008513</c:v>
                </c:pt>
                <c:pt idx="3">
                  <c:v>46.118016999997742</c:v>
                </c:pt>
                <c:pt idx="4">
                  <c:v>45.319494999956071</c:v>
                </c:pt>
                <c:pt idx="5">
                  <c:v>44.130819000001033</c:v>
                </c:pt>
                <c:pt idx="6">
                  <c:v>42.551994000006559</c:v>
                </c:pt>
                <c:pt idx="7">
                  <c:v>42.551994000006559</c:v>
                </c:pt>
                <c:pt idx="8">
                  <c:v>42.551994000006559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4E83-4509-8289-2250EF46BD0B}"/>
            </c:ext>
          </c:extLst>
        </c:ser>
        <c:ser>
          <c:idx val="7"/>
          <c:order val="7"/>
          <c:tx>
            <c:strRef>
              <c:f>Consommation!$M$25</c:f>
              <c:strCache>
                <c:ptCount val="1"/>
                <c:pt idx="0">
                  <c:v>Electrolyseurs optimisés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Consommation!$N$18:$V$18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Consommation!$N$25:$V$25</c:f>
              <c:numCache>
                <c:formatCode>0.0</c:formatCode>
                <c:ptCount val="9"/>
                <c:pt idx="0">
                  <c:v>0</c:v>
                </c:pt>
                <c:pt idx="1">
                  <c:v>2.1585196649951519</c:v>
                </c:pt>
                <c:pt idx="2">
                  <c:v>15.809492437473244</c:v>
                </c:pt>
                <c:pt idx="3">
                  <c:v>29.683546563424791</c:v>
                </c:pt>
                <c:pt idx="4">
                  <c:v>41.807442557685349</c:v>
                </c:pt>
                <c:pt idx="5">
                  <c:v>51.717349627978109</c:v>
                </c:pt>
                <c:pt idx="6">
                  <c:v>83.497465762781403</c:v>
                </c:pt>
                <c:pt idx="7">
                  <c:v>86.08640311359548</c:v>
                </c:pt>
                <c:pt idx="8">
                  <c:v>102.8606693985775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4E83-4509-8289-2250EF46B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1583328"/>
        <c:axId val="421578232"/>
        <c:extLst xmlns:c16r2="http://schemas.microsoft.com/office/drawing/2015/06/chart"/>
      </c:barChart>
      <c:catAx>
        <c:axId val="42158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578232"/>
        <c:crosses val="autoZero"/>
        <c:auto val="1"/>
        <c:lblAlgn val="ctr"/>
        <c:lblOffset val="100"/>
        <c:noMultiLvlLbl val="0"/>
      </c:catAx>
      <c:valAx>
        <c:axId val="421578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58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Exports nets</a:t>
            </a:r>
          </a:p>
        </c:rich>
      </c:tx>
      <c:layout>
        <c:manualLayout>
          <c:xMode val="edge"/>
          <c:yMode val="edge"/>
          <c:x val="0.44257710724295196"/>
          <c:y val="2.5413188688183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7370237881509258E-2"/>
          <c:y val="0.12329878854417756"/>
          <c:w val="0.89421518716036186"/>
          <c:h val="0.7139652192802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'Echanges européens'!$B$5</c:f>
              <c:strCache>
                <c:ptCount val="1"/>
                <c:pt idx="0">
                  <c:v>Bilan exportateur net</c:v>
                </c:pt>
              </c:strCache>
            </c:strRef>
          </c:tx>
          <c:spPr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'Echanges européens'!$C$2:$K$2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'Echanges européens'!$C$5:$K$5</c:f>
              <c:numCache>
                <c:formatCode>0</c:formatCode>
                <c:ptCount val="9"/>
                <c:pt idx="0">
                  <c:v>81.172380345151595</c:v>
                </c:pt>
                <c:pt idx="1">
                  <c:v>117.5511315316302</c:v>
                </c:pt>
                <c:pt idx="2">
                  <c:v>119.24292391572138</c:v>
                </c:pt>
                <c:pt idx="3">
                  <c:v>88.489845588861613</c:v>
                </c:pt>
                <c:pt idx="4">
                  <c:v>68.996952238788921</c:v>
                </c:pt>
                <c:pt idx="5">
                  <c:v>38.494529492458</c:v>
                </c:pt>
                <c:pt idx="6">
                  <c:v>3.6658768494390017</c:v>
                </c:pt>
                <c:pt idx="7">
                  <c:v>-9.1731712695060139</c:v>
                </c:pt>
                <c:pt idx="8">
                  <c:v>28.333813410000005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328-43F4-A66D-114DA2C00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573136"/>
        <c:axId val="421575096"/>
      </c:barChart>
      <c:catAx>
        <c:axId val="421573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Années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21575096"/>
        <c:crosses val="autoZero"/>
        <c:auto val="1"/>
        <c:lblAlgn val="ctr"/>
        <c:lblOffset val="100"/>
        <c:noMultiLvlLbl val="0"/>
      </c:catAx>
      <c:valAx>
        <c:axId val="42157509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fr-FR"/>
                  <a:t>Volume</a:t>
                </a:r>
                <a:r>
                  <a:rPr lang="fr-FR" baseline="0"/>
                  <a:t> d'exports nets (TWh)</a:t>
                </a:r>
                <a:endParaRPr lang="fr-FR"/>
              </a:p>
            </c:rich>
          </c:tx>
          <c:layout>
            <c:manualLayout>
              <c:xMode val="edge"/>
              <c:yMode val="edge"/>
              <c:x val="1.3800122377175315E-2"/>
              <c:y val="0.12356992875890516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421573136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Capacités d'imports et d'exports Français (GW)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'Echanges européens'!$B$18</c:f>
              <c:strCache>
                <c:ptCount val="1"/>
                <c:pt idx="0">
                  <c:v>Exports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'Echanges européens'!$C$9:$K$9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'Echanges européens'!$C$24:$K$24</c:f>
              <c:numCache>
                <c:formatCode>0.0</c:formatCode>
                <c:ptCount val="9"/>
                <c:pt idx="0">
                  <c:v>16.630000000000003</c:v>
                </c:pt>
                <c:pt idx="1">
                  <c:v>22.122</c:v>
                </c:pt>
                <c:pt idx="2">
                  <c:v>27.620000000000005</c:v>
                </c:pt>
                <c:pt idx="3">
                  <c:v>33.295000000000002</c:v>
                </c:pt>
                <c:pt idx="4">
                  <c:v>38.97</c:v>
                </c:pt>
                <c:pt idx="5">
                  <c:v>44.645000000000003</c:v>
                </c:pt>
                <c:pt idx="6">
                  <c:v>50.320000000000007</c:v>
                </c:pt>
                <c:pt idx="7">
                  <c:v>55.995000000000005</c:v>
                </c:pt>
                <c:pt idx="8">
                  <c:v>61.670000000000009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FB-4A14-B717-C958C3D0AC1F}"/>
            </c:ext>
          </c:extLst>
        </c:ser>
        <c:ser>
          <c:idx val="1"/>
          <c:order val="1"/>
          <c:tx>
            <c:strRef>
              <c:f>'Echanges européens'!$B$9</c:f>
              <c:strCache>
                <c:ptCount val="1"/>
                <c:pt idx="0">
                  <c:v>Imports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'Echanges européens'!$C$9:$K$9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'Echanges européens'!$C$15:$K$15</c:f>
              <c:numCache>
                <c:formatCode>0.0</c:formatCode>
                <c:ptCount val="9"/>
                <c:pt idx="0">
                  <c:v>11.310000000000002</c:v>
                </c:pt>
                <c:pt idx="1">
                  <c:v>16.802</c:v>
                </c:pt>
                <c:pt idx="2">
                  <c:v>22.3</c:v>
                </c:pt>
                <c:pt idx="3">
                  <c:v>27.975000000000001</c:v>
                </c:pt>
                <c:pt idx="4">
                  <c:v>33.65</c:v>
                </c:pt>
                <c:pt idx="5">
                  <c:v>39.325000000000003</c:v>
                </c:pt>
                <c:pt idx="6">
                  <c:v>45</c:v>
                </c:pt>
                <c:pt idx="7">
                  <c:v>50.674999999999997</c:v>
                </c:pt>
                <c:pt idx="8">
                  <c:v>56.35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6FB-4A14-B717-C958C3D0A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578624"/>
        <c:axId val="421572744"/>
      </c:barChart>
      <c:catAx>
        <c:axId val="421578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21572744"/>
        <c:crosses val="autoZero"/>
        <c:auto val="1"/>
        <c:lblAlgn val="ctr"/>
        <c:lblOffset val="100"/>
        <c:noMultiLvlLbl val="0"/>
      </c:catAx>
      <c:valAx>
        <c:axId val="421572744"/>
        <c:scaling>
          <c:orientation val="minMax"/>
          <c:max val="70"/>
        </c:scaling>
        <c:delete val="0"/>
        <c:axPos val="l"/>
        <c:numFmt formatCode="0" sourceLinked="0"/>
        <c:majorTickMark val="out"/>
        <c:minorTickMark val="none"/>
        <c:tickLblPos val="nextTo"/>
        <c:crossAx val="421578624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Ecrêtement</a:t>
            </a:r>
            <a:r>
              <a:rPr lang="fr-FR" baseline="0"/>
              <a:t> (TWh)</a:t>
            </a:r>
            <a:endParaRPr lang="fr-FR"/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Ecrêtement!$B$4</c:f>
              <c:strCache>
                <c:ptCount val="1"/>
                <c:pt idx="0">
                  <c:v>Auvergne-Rhone-Alpes</c:v>
                </c:pt>
              </c:strCache>
            </c:strRef>
          </c:tx>
          <c:invertIfNegative val="0"/>
          <c:cat>
            <c:numRef>
              <c:f>Ecrêtement!$C$3:$K$3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Ecrêtement!$C$4:$K$4</c:f>
              <c:numCache>
                <c:formatCode>_-* #\ ##0.0\ _€_-;\-* #\ ##0.0\ _€_-;_-* "-"??\ _€_-;_-@_-</c:formatCode>
                <c:ptCount val="9"/>
                <c:pt idx="0">
                  <c:v>6.7911399478431998E-8</c:v>
                </c:pt>
                <c:pt idx="1">
                  <c:v>3.6368507331652098E-7</c:v>
                </c:pt>
                <c:pt idx="2">
                  <c:v>1.5185794366146E-2</c:v>
                </c:pt>
                <c:pt idx="3">
                  <c:v>1.63792080915151E-2</c:v>
                </c:pt>
                <c:pt idx="4">
                  <c:v>6.0036370684651195E-2</c:v>
                </c:pt>
                <c:pt idx="5">
                  <c:v>0.16092491880574397</c:v>
                </c:pt>
                <c:pt idx="6">
                  <c:v>0.16719766341579098</c:v>
                </c:pt>
                <c:pt idx="7">
                  <c:v>0.58929840731521999</c:v>
                </c:pt>
                <c:pt idx="8">
                  <c:v>0.56248264892653299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661-46FE-9976-B778167016D7}"/>
            </c:ext>
          </c:extLst>
        </c:ser>
        <c:ser>
          <c:idx val="1"/>
          <c:order val="1"/>
          <c:tx>
            <c:strRef>
              <c:f>Ecrêtement!$B$5</c:f>
              <c:strCache>
                <c:ptCount val="1"/>
                <c:pt idx="0">
                  <c:v>Bourgogne-Franche-Comte</c:v>
                </c:pt>
              </c:strCache>
            </c:strRef>
          </c:tx>
          <c:invertIfNegative val="0"/>
          <c:cat>
            <c:numRef>
              <c:f>Ecrêtement!$C$3:$K$3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Ecrêtement!$C$5:$K$5</c:f>
              <c:numCache>
                <c:formatCode>_-* #\ ##0.0\ _€_-;\-* #\ ##0.0\ _€_-;_-* "-"??\ _€_-;_-@_-</c:formatCode>
                <c:ptCount val="9"/>
                <c:pt idx="0">
                  <c:v>6.7304047751287999E-8</c:v>
                </c:pt>
                <c:pt idx="1">
                  <c:v>3.4784248389402502E-5</c:v>
                </c:pt>
                <c:pt idx="2">
                  <c:v>1.2387241863515499E-2</c:v>
                </c:pt>
                <c:pt idx="3">
                  <c:v>5.6521405223264001E-2</c:v>
                </c:pt>
                <c:pt idx="4">
                  <c:v>4.0040043250508001E-2</c:v>
                </c:pt>
                <c:pt idx="5">
                  <c:v>4.8181369425073999E-2</c:v>
                </c:pt>
                <c:pt idx="6">
                  <c:v>6.1607516105899297E-2</c:v>
                </c:pt>
                <c:pt idx="7">
                  <c:v>0.20079582162092499</c:v>
                </c:pt>
                <c:pt idx="8">
                  <c:v>0.199706361221031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661-46FE-9976-B778167016D7}"/>
            </c:ext>
          </c:extLst>
        </c:ser>
        <c:ser>
          <c:idx val="2"/>
          <c:order val="2"/>
          <c:tx>
            <c:strRef>
              <c:f>Ecrêtement!$B$6</c:f>
              <c:strCache>
                <c:ptCount val="1"/>
                <c:pt idx="0">
                  <c:v>Bretagne</c:v>
                </c:pt>
              </c:strCache>
            </c:strRef>
          </c:tx>
          <c:invertIfNegative val="0"/>
          <c:cat>
            <c:numRef>
              <c:f>Ecrêtement!$C$3:$K$3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Ecrêtement!$C$6:$K$6</c:f>
              <c:numCache>
                <c:formatCode>_-* #\ ##0.0\ _€_-;\-* #\ ##0.0\ _€_-;_-* "-"??\ _€_-;_-@_-</c:formatCode>
                <c:ptCount val="9"/>
                <c:pt idx="0">
                  <c:v>6.8907654985812003E-8</c:v>
                </c:pt>
                <c:pt idx="1">
                  <c:v>4.2729144189530599E-7</c:v>
                </c:pt>
                <c:pt idx="2">
                  <c:v>4.4948243840487197E-6</c:v>
                </c:pt>
                <c:pt idx="3">
                  <c:v>8.4564151728574494E-6</c:v>
                </c:pt>
                <c:pt idx="4">
                  <c:v>3.8188747555968697E-3</c:v>
                </c:pt>
                <c:pt idx="5">
                  <c:v>6.9177335016371799E-2</c:v>
                </c:pt>
                <c:pt idx="6">
                  <c:v>5.4731338696186994E-2</c:v>
                </c:pt>
                <c:pt idx="7">
                  <c:v>0.12167803193290401</c:v>
                </c:pt>
                <c:pt idx="8">
                  <c:v>0.21741722664316598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E661-46FE-9976-B778167016D7}"/>
            </c:ext>
          </c:extLst>
        </c:ser>
        <c:ser>
          <c:idx val="3"/>
          <c:order val="3"/>
          <c:tx>
            <c:strRef>
              <c:f>Ecrêtement!$B$7</c:f>
              <c:strCache>
                <c:ptCount val="1"/>
                <c:pt idx="0">
                  <c:v>Centre-Val-de-Loire</c:v>
                </c:pt>
              </c:strCache>
            </c:strRef>
          </c:tx>
          <c:invertIfNegative val="0"/>
          <c:cat>
            <c:numRef>
              <c:f>Ecrêtement!$C$3:$K$3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Ecrêtement!$C$7:$K$7</c:f>
              <c:numCache>
                <c:formatCode>_-* #\ ##0.0\ _€_-;\-* #\ ##0.0\ _€_-;_-* "-"??\ _€_-;_-@_-</c:formatCode>
                <c:ptCount val="9"/>
                <c:pt idx="0">
                  <c:v>6.8423521653286999E-8</c:v>
                </c:pt>
                <c:pt idx="1">
                  <c:v>4.4544820001526898E-7</c:v>
                </c:pt>
                <c:pt idx="2">
                  <c:v>6.5439790508848997E-4</c:v>
                </c:pt>
                <c:pt idx="3">
                  <c:v>1.4572663158477698E-5</c:v>
                </c:pt>
                <c:pt idx="4">
                  <c:v>5.5268634855835702E-4</c:v>
                </c:pt>
                <c:pt idx="5">
                  <c:v>1.5858977825977701E-4</c:v>
                </c:pt>
                <c:pt idx="6">
                  <c:v>7.6746818631179001E-3</c:v>
                </c:pt>
                <c:pt idx="7">
                  <c:v>2.2962263077850101E-2</c:v>
                </c:pt>
                <c:pt idx="8">
                  <c:v>6.2857521949319803E-2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E661-46FE-9976-B778167016D7}"/>
            </c:ext>
          </c:extLst>
        </c:ser>
        <c:ser>
          <c:idx val="4"/>
          <c:order val="4"/>
          <c:tx>
            <c:strRef>
              <c:f>Ecrêtement!$B$8</c:f>
              <c:strCache>
                <c:ptCount val="1"/>
                <c:pt idx="0">
                  <c:v>Grand-Est</c:v>
                </c:pt>
              </c:strCache>
            </c:strRef>
          </c:tx>
          <c:invertIfNegative val="0"/>
          <c:cat>
            <c:numRef>
              <c:f>Ecrêtement!$C$3:$K$3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Ecrêtement!$C$8:$K$8</c:f>
              <c:numCache>
                <c:formatCode>_-* #\ ##0.0\ _€_-;\-* #\ ##0.0\ _€_-;_-* "-"??\ _€_-;_-@_-</c:formatCode>
                <c:ptCount val="9"/>
                <c:pt idx="0">
                  <c:v>6.762886007650899E-8</c:v>
                </c:pt>
                <c:pt idx="1">
                  <c:v>5.2961245240800501E-7</c:v>
                </c:pt>
                <c:pt idx="2">
                  <c:v>7.4922062168610297E-4</c:v>
                </c:pt>
                <c:pt idx="3">
                  <c:v>1.79821261828056E-5</c:v>
                </c:pt>
                <c:pt idx="4">
                  <c:v>1.2889541904735699E-5</c:v>
                </c:pt>
                <c:pt idx="5">
                  <c:v>1.84160819277422E-5</c:v>
                </c:pt>
                <c:pt idx="6">
                  <c:v>1.2158026935353299E-5</c:v>
                </c:pt>
                <c:pt idx="7">
                  <c:v>9.7519619692635294E-4</c:v>
                </c:pt>
                <c:pt idx="8">
                  <c:v>2.6380605307292498E-2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E661-46FE-9976-B778167016D7}"/>
            </c:ext>
          </c:extLst>
        </c:ser>
        <c:ser>
          <c:idx val="5"/>
          <c:order val="5"/>
          <c:tx>
            <c:strRef>
              <c:f>Ecrêtement!$B$9</c:f>
              <c:strCache>
                <c:ptCount val="1"/>
                <c:pt idx="0">
                  <c:v>Hauts-de-France</c:v>
                </c:pt>
              </c:strCache>
            </c:strRef>
          </c:tx>
          <c:invertIfNegative val="0"/>
          <c:cat>
            <c:numRef>
              <c:f>Ecrêtement!$C$3:$K$3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Ecrêtement!$C$9:$K$9</c:f>
              <c:numCache>
                <c:formatCode>_-* #\ ##0.0\ _€_-;\-* #\ ##0.0\ _€_-;_-* "-"??\ _€_-;_-@_-</c:formatCode>
                <c:ptCount val="9"/>
                <c:pt idx="0">
                  <c:v>1.2777779399073898E-7</c:v>
                </c:pt>
                <c:pt idx="1">
                  <c:v>1.0604178469223001E-6</c:v>
                </c:pt>
                <c:pt idx="2">
                  <c:v>4.7157092072599802E-3</c:v>
                </c:pt>
                <c:pt idx="3">
                  <c:v>1.6749037512214501E-5</c:v>
                </c:pt>
                <c:pt idx="4">
                  <c:v>3.12045336819692E-3</c:v>
                </c:pt>
                <c:pt idx="5">
                  <c:v>2.3569614581027899E-5</c:v>
                </c:pt>
                <c:pt idx="6">
                  <c:v>1.3395628472668599E-5</c:v>
                </c:pt>
                <c:pt idx="7">
                  <c:v>1.7229851323953899E-5</c:v>
                </c:pt>
                <c:pt idx="8">
                  <c:v>1.3881535759494199E-3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E661-46FE-9976-B778167016D7}"/>
            </c:ext>
          </c:extLst>
        </c:ser>
        <c:ser>
          <c:idx val="6"/>
          <c:order val="6"/>
          <c:tx>
            <c:strRef>
              <c:f>Ecrêtement!$B$10</c:f>
              <c:strCache>
                <c:ptCount val="1"/>
                <c:pt idx="0">
                  <c:v>Ile-de-France</c:v>
                </c:pt>
              </c:strCache>
            </c:strRef>
          </c:tx>
          <c:invertIfNegative val="0"/>
          <c:cat>
            <c:numRef>
              <c:f>Ecrêtement!$C$3:$K$3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Ecrêtement!$C$10:$K$10</c:f>
              <c:numCache>
                <c:formatCode>_-* #\ ##0.0\ _€_-;\-* #\ ##0.0\ _€_-;_-* "-"??\ _€_-;_-@_-</c:formatCode>
                <c:ptCount val="9"/>
                <c:pt idx="0">
                  <c:v>6.7471492105191004E-8</c:v>
                </c:pt>
                <c:pt idx="1">
                  <c:v>3.4870777442776702E-7</c:v>
                </c:pt>
                <c:pt idx="2">
                  <c:v>4.2368960468261192E-6</c:v>
                </c:pt>
                <c:pt idx="3">
                  <c:v>9.1399427645284707E-6</c:v>
                </c:pt>
                <c:pt idx="4">
                  <c:v>7.4257479510391396E-6</c:v>
                </c:pt>
                <c:pt idx="5">
                  <c:v>9.94196013527634E-6</c:v>
                </c:pt>
                <c:pt idx="6">
                  <c:v>7.1472916291658298E-6</c:v>
                </c:pt>
                <c:pt idx="7">
                  <c:v>1.0495493255609401E-5</c:v>
                </c:pt>
                <c:pt idx="8">
                  <c:v>1.2720217613476199E-5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E661-46FE-9976-B778167016D7}"/>
            </c:ext>
          </c:extLst>
        </c:ser>
        <c:ser>
          <c:idx val="7"/>
          <c:order val="7"/>
          <c:tx>
            <c:strRef>
              <c:f>Ecrêtement!$B$11</c:f>
              <c:strCache>
                <c:ptCount val="1"/>
                <c:pt idx="0">
                  <c:v>Normandie</c:v>
                </c:pt>
              </c:strCache>
            </c:strRef>
          </c:tx>
          <c:invertIfNegative val="0"/>
          <c:cat>
            <c:numRef>
              <c:f>Ecrêtement!$C$3:$K$3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Ecrêtement!$C$11:$K$11</c:f>
              <c:numCache>
                <c:formatCode>_-* #\ ##0.0\ _€_-;\-* #\ ##0.0\ _€_-;_-* "-"??\ _€_-;_-@_-</c:formatCode>
                <c:ptCount val="9"/>
                <c:pt idx="0">
                  <c:v>7.0668985611795997E-8</c:v>
                </c:pt>
                <c:pt idx="1">
                  <c:v>6.4419638040364191E-7</c:v>
                </c:pt>
                <c:pt idx="2">
                  <c:v>4.3598802049541298E-4</c:v>
                </c:pt>
                <c:pt idx="3">
                  <c:v>1.16483302040942E-5</c:v>
                </c:pt>
                <c:pt idx="4">
                  <c:v>4.0707934856132498E-3</c:v>
                </c:pt>
                <c:pt idx="5">
                  <c:v>1.3052302815429499E-3</c:v>
                </c:pt>
                <c:pt idx="6">
                  <c:v>5.2960146178194795E-3</c:v>
                </c:pt>
                <c:pt idx="7">
                  <c:v>1.3194715983051599E-2</c:v>
                </c:pt>
                <c:pt idx="8">
                  <c:v>9.1148302827511796E-2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E661-46FE-9976-B778167016D7}"/>
            </c:ext>
          </c:extLst>
        </c:ser>
        <c:ser>
          <c:idx val="8"/>
          <c:order val="8"/>
          <c:tx>
            <c:strRef>
              <c:f>Ecrêtement!$B$12</c:f>
              <c:strCache>
                <c:ptCount val="1"/>
                <c:pt idx="0">
                  <c:v>Nouvelle-Aquitaine</c:v>
                </c:pt>
              </c:strCache>
            </c:strRef>
          </c:tx>
          <c:invertIfNegative val="0"/>
          <c:cat>
            <c:numRef>
              <c:f>Ecrêtement!$C$3:$K$3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Ecrêtement!$C$12:$K$12</c:f>
              <c:numCache>
                <c:formatCode>_-* #\ ##0.0\ _€_-;\-* #\ ##0.0\ _€_-;_-* "-"??\ _€_-;_-@_-</c:formatCode>
                <c:ptCount val="9"/>
                <c:pt idx="0">
                  <c:v>6.8262584491463002E-8</c:v>
                </c:pt>
                <c:pt idx="1">
                  <c:v>5.7596502175963292E-6</c:v>
                </c:pt>
                <c:pt idx="2">
                  <c:v>6.0147829044816105E-6</c:v>
                </c:pt>
                <c:pt idx="3">
                  <c:v>2.38497728315712E-4</c:v>
                </c:pt>
                <c:pt idx="4">
                  <c:v>3.6195245364694999E-4</c:v>
                </c:pt>
                <c:pt idx="5">
                  <c:v>8.8751185669295497E-4</c:v>
                </c:pt>
                <c:pt idx="6">
                  <c:v>4.6146125671033898E-2</c:v>
                </c:pt>
                <c:pt idx="7">
                  <c:v>0.19267268472034699</c:v>
                </c:pt>
                <c:pt idx="8">
                  <c:v>0.930470946053368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E661-46FE-9976-B778167016D7}"/>
            </c:ext>
          </c:extLst>
        </c:ser>
        <c:ser>
          <c:idx val="9"/>
          <c:order val="9"/>
          <c:tx>
            <c:strRef>
              <c:f>Ecrêtement!$B$13</c:f>
              <c:strCache>
                <c:ptCount val="1"/>
                <c:pt idx="0">
                  <c:v>Occitanie</c:v>
                </c:pt>
              </c:strCache>
            </c:strRef>
          </c:tx>
          <c:invertIfNegative val="0"/>
          <c:cat>
            <c:numRef>
              <c:f>Ecrêtement!$C$3:$K$3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Ecrêtement!$C$13:$K$13</c:f>
              <c:numCache>
                <c:formatCode>_-* #\ ##0.0\ _€_-;\-* #\ ##0.0\ _€_-;_-* "-"??\ _€_-;_-@_-</c:formatCode>
                <c:ptCount val="9"/>
                <c:pt idx="0">
                  <c:v>6.0978656048962993E-8</c:v>
                </c:pt>
                <c:pt idx="1">
                  <c:v>8.3933970531968106E-4</c:v>
                </c:pt>
                <c:pt idx="2">
                  <c:v>7.8629944574953089E-3</c:v>
                </c:pt>
                <c:pt idx="3">
                  <c:v>3.96248457613693E-2</c:v>
                </c:pt>
                <c:pt idx="4">
                  <c:v>7.1607606243053887E-2</c:v>
                </c:pt>
                <c:pt idx="5">
                  <c:v>0.25455567526706296</c:v>
                </c:pt>
                <c:pt idx="6">
                  <c:v>0.35749227836082897</c:v>
                </c:pt>
                <c:pt idx="7">
                  <c:v>0.76117671380236696</c:v>
                </c:pt>
                <c:pt idx="8">
                  <c:v>1.36393584825106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E661-46FE-9976-B778167016D7}"/>
            </c:ext>
          </c:extLst>
        </c:ser>
        <c:ser>
          <c:idx val="10"/>
          <c:order val="10"/>
          <c:tx>
            <c:strRef>
              <c:f>Ecrêtement!$B$14</c:f>
              <c:strCache>
                <c:ptCount val="1"/>
                <c:pt idx="0">
                  <c:v>Pays-de-la-Loire</c:v>
                </c:pt>
              </c:strCache>
            </c:strRef>
          </c:tx>
          <c:invertIfNegative val="0"/>
          <c:cat>
            <c:numRef>
              <c:f>Ecrêtement!$C$3:$K$3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Ecrêtement!$C$14:$K$14</c:f>
              <c:numCache>
                <c:formatCode>_-* #\ ##0.0\ _€_-;\-* #\ ##0.0\ _€_-;_-* "-"??\ _€_-;_-@_-</c:formatCode>
                <c:ptCount val="9"/>
                <c:pt idx="0">
                  <c:v>6.7730925554688001E-8</c:v>
                </c:pt>
                <c:pt idx="1">
                  <c:v>3.3416328607675996E-7</c:v>
                </c:pt>
                <c:pt idx="2">
                  <c:v>4.0919093923714501E-6</c:v>
                </c:pt>
                <c:pt idx="3">
                  <c:v>2.2260069724537703E-3</c:v>
                </c:pt>
                <c:pt idx="4">
                  <c:v>4.2818081586104596E-3</c:v>
                </c:pt>
                <c:pt idx="5">
                  <c:v>3.3301893938107598E-2</c:v>
                </c:pt>
                <c:pt idx="6">
                  <c:v>1.8696970832899798E-2</c:v>
                </c:pt>
                <c:pt idx="7">
                  <c:v>4.0739974142184096E-2</c:v>
                </c:pt>
                <c:pt idx="8">
                  <c:v>0.27966436787857701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E661-46FE-9976-B778167016D7}"/>
            </c:ext>
          </c:extLst>
        </c:ser>
        <c:ser>
          <c:idx val="11"/>
          <c:order val="11"/>
          <c:tx>
            <c:strRef>
              <c:f>Ecrêtement!$B$15</c:f>
              <c:strCache>
                <c:ptCount val="1"/>
                <c:pt idx="0">
                  <c:v>Provence-Alpes-Cote-d'Azur</c:v>
                </c:pt>
              </c:strCache>
            </c:strRef>
          </c:tx>
          <c:invertIfNegative val="0"/>
          <c:cat>
            <c:numRef>
              <c:f>Ecrêtement!$C$3:$K$3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Ecrêtement!$C$15:$K$15</c:f>
              <c:numCache>
                <c:formatCode>_-* #\ ##0.0\ _€_-;\-* #\ ##0.0\ _€_-;_-* "-"??\ _€_-;_-@_-</c:formatCode>
                <c:ptCount val="9"/>
                <c:pt idx="0">
                  <c:v>6.0748504685147995E-8</c:v>
                </c:pt>
                <c:pt idx="1">
                  <c:v>5.6636558876487393E-3</c:v>
                </c:pt>
                <c:pt idx="2">
                  <c:v>0.203684296297726</c:v>
                </c:pt>
                <c:pt idx="3">
                  <c:v>0.51036562557280396</c:v>
                </c:pt>
                <c:pt idx="4">
                  <c:v>0.75768580935776098</c:v>
                </c:pt>
                <c:pt idx="5">
                  <c:v>1.07971476716112</c:v>
                </c:pt>
                <c:pt idx="6">
                  <c:v>0.85537068963747798</c:v>
                </c:pt>
                <c:pt idx="7">
                  <c:v>1.2736540009951101</c:v>
                </c:pt>
                <c:pt idx="8">
                  <c:v>1.7237994988483998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E661-46FE-9976-B77816701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1581760"/>
        <c:axId val="421580584"/>
      </c:barChart>
      <c:catAx>
        <c:axId val="421581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21580584"/>
        <c:crosses val="autoZero"/>
        <c:auto val="1"/>
        <c:lblAlgn val="ctr"/>
        <c:lblOffset val="100"/>
        <c:noMultiLvlLbl val="0"/>
      </c:catAx>
      <c:valAx>
        <c:axId val="421580584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crossAx val="421581760"/>
        <c:crosses val="autoZero"/>
        <c:crossBetween val="between"/>
        <c:majorUnit val="1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Emissions de CO2 annuelles en France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CO2_Emissions!$B$5</c:f>
              <c:strCache>
                <c:ptCount val="1"/>
                <c:pt idx="0">
                  <c:v>OCGT</c:v>
                </c:pt>
              </c:strCache>
            </c:strRef>
          </c:tx>
          <c:spPr>
            <a:solidFill>
              <a:srgbClr val="FA4F32"/>
            </a:solidFill>
            <a:ln>
              <a:noFill/>
            </a:ln>
            <a:effectLst>
              <a:outerShdw blurRad="50800" dist="38100" dir="10800000" algn="r" rotWithShape="0">
                <a:prstClr val="black">
                  <a:alpha val="40000"/>
                </a:prstClr>
              </a:outerShdw>
            </a:effectLst>
          </c:spPr>
          <c:invertIfNegative val="0"/>
          <c:cat>
            <c:numLit>
              <c:formatCode>General</c:formatCode>
              <c:ptCount val="9"/>
              <c:pt idx="0">
                <c:v>2020</c:v>
              </c:pt>
              <c:pt idx="1">
                <c:v>2025</c:v>
              </c:pt>
              <c:pt idx="2">
                <c:v>2030</c:v>
              </c:pt>
              <c:pt idx="3">
                <c:v>2035</c:v>
              </c:pt>
              <c:pt idx="4">
                <c:v>2040</c:v>
              </c:pt>
              <c:pt idx="5">
                <c:v>2045</c:v>
              </c:pt>
              <c:pt idx="6">
                <c:v>2050</c:v>
              </c:pt>
              <c:pt idx="7">
                <c:v>2055</c:v>
              </c:pt>
              <c:pt idx="8">
                <c:v>2060</c:v>
              </c:pt>
            </c:numLit>
          </c:cat>
          <c:val>
            <c:numRef>
              <c:f>CO2_Emissions!$C$5:$K$5</c:f>
              <c:numCache>
                <c:formatCode>_-* #\ ##0\ _€_-;\-* #\ ##0\ _€_-;_-* "-"??\ _€_-;_-@_-</c:formatCode>
                <c:ptCount val="9"/>
                <c:pt idx="0">
                  <c:v>1.834045800463</c:v>
                </c:pt>
                <c:pt idx="1">
                  <c:v>3.4652650349859999</c:v>
                </c:pt>
                <c:pt idx="2">
                  <c:v>7.9414390750650004</c:v>
                </c:pt>
                <c:pt idx="3">
                  <c:v>9.3082664462500002</c:v>
                </c:pt>
                <c:pt idx="4">
                  <c:v>7.0198841463450004</c:v>
                </c:pt>
                <c:pt idx="5">
                  <c:v>21.464862246433</c:v>
                </c:pt>
                <c:pt idx="6">
                  <c:v>29.71446946835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993-4D74-9EFF-1F2028CB9221}"/>
            </c:ext>
          </c:extLst>
        </c:ser>
        <c:ser>
          <c:idx val="1"/>
          <c:order val="1"/>
          <c:tx>
            <c:strRef>
              <c:f>CO2_Emissions!$B$4</c:f>
              <c:strCache>
                <c:ptCount val="1"/>
                <c:pt idx="0">
                  <c:v>CCGT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  <c:invertIfNegative val="0"/>
          <c:cat>
            <c:numLit>
              <c:formatCode>General</c:formatCode>
              <c:ptCount val="9"/>
              <c:pt idx="0">
                <c:v>2020</c:v>
              </c:pt>
              <c:pt idx="1">
                <c:v>2025</c:v>
              </c:pt>
              <c:pt idx="2">
                <c:v>2030</c:v>
              </c:pt>
              <c:pt idx="3">
                <c:v>2035</c:v>
              </c:pt>
              <c:pt idx="4">
                <c:v>2040</c:v>
              </c:pt>
              <c:pt idx="5">
                <c:v>2045</c:v>
              </c:pt>
              <c:pt idx="6">
                <c:v>2050</c:v>
              </c:pt>
              <c:pt idx="7">
                <c:v>2055</c:v>
              </c:pt>
              <c:pt idx="8">
                <c:v>2060</c:v>
              </c:pt>
            </c:numLit>
          </c:cat>
          <c:val>
            <c:numRef>
              <c:f>CO2_Emissions!$C$4:$K$4</c:f>
              <c:numCache>
                <c:formatCode>_-* #\ ##0\ _€_-;\-* #\ ##0\ _€_-;_-* "-"??\ _€_-;_-@_-</c:formatCode>
                <c:ptCount val="9"/>
                <c:pt idx="0">
                  <c:v>421.89725547890401</c:v>
                </c:pt>
                <c:pt idx="1">
                  <c:v>91.343835299564006</c:v>
                </c:pt>
                <c:pt idx="2">
                  <c:v>255.87772870055002</c:v>
                </c:pt>
                <c:pt idx="3">
                  <c:v>270.70109680848202</c:v>
                </c:pt>
                <c:pt idx="4">
                  <c:v>245.83449374527601</c:v>
                </c:pt>
                <c:pt idx="5">
                  <c:v>233.06695690192703</c:v>
                </c:pt>
                <c:pt idx="6">
                  <c:v>174.87082520545002</c:v>
                </c:pt>
                <c:pt idx="7">
                  <c:v>195.79474151082499</c:v>
                </c:pt>
                <c:pt idx="8">
                  <c:v>8.9517070000000006E-4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993-4D74-9EFF-1F2028CB9221}"/>
            </c:ext>
          </c:extLst>
        </c:ser>
        <c:ser>
          <c:idx val="2"/>
          <c:order val="2"/>
          <c:tx>
            <c:strRef>
              <c:f>CO2_Emissions!$B$6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rgbClr val="98222B"/>
            </a:solidFill>
            <a:ln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  <c:invertIfNegative val="0"/>
          <c:cat>
            <c:numLit>
              <c:formatCode>General</c:formatCode>
              <c:ptCount val="9"/>
              <c:pt idx="0">
                <c:v>2020</c:v>
              </c:pt>
              <c:pt idx="1">
                <c:v>2025</c:v>
              </c:pt>
              <c:pt idx="2">
                <c:v>2030</c:v>
              </c:pt>
              <c:pt idx="3">
                <c:v>2035</c:v>
              </c:pt>
              <c:pt idx="4">
                <c:v>2040</c:v>
              </c:pt>
              <c:pt idx="5">
                <c:v>2045</c:v>
              </c:pt>
              <c:pt idx="6">
                <c:v>2050</c:v>
              </c:pt>
              <c:pt idx="7">
                <c:v>2055</c:v>
              </c:pt>
              <c:pt idx="8">
                <c:v>2060</c:v>
              </c:pt>
            </c:numLit>
          </c:cat>
          <c:val>
            <c:numRef>
              <c:f>CO2_Emissions!$C$6:$K$6</c:f>
              <c:numCache>
                <c:formatCode>_-* #\ ##0\ _€_-;\-* #\ ##0\ _€_-;_-* "-"??\ _€_-;_-@_-</c:formatCode>
                <c:ptCount val="9"/>
                <c:pt idx="0">
                  <c:v>7431.93074821965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993-4D74-9EFF-1F2028CB9221}"/>
            </c:ext>
          </c:extLst>
        </c:ser>
        <c:ser>
          <c:idx val="3"/>
          <c:order val="3"/>
          <c:tx>
            <c:strRef>
              <c:f>CO2_Emissions!$B$7</c:f>
              <c:strCache>
                <c:ptCount val="1"/>
                <c:pt idx="0">
                  <c:v>Autres thermiques (CHP fioul, gaz)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  <c:invertIfNegative val="0"/>
          <c:cat>
            <c:numLit>
              <c:formatCode>General</c:formatCode>
              <c:ptCount val="9"/>
              <c:pt idx="0">
                <c:v>2020</c:v>
              </c:pt>
              <c:pt idx="1">
                <c:v>2025</c:v>
              </c:pt>
              <c:pt idx="2">
                <c:v>2030</c:v>
              </c:pt>
              <c:pt idx="3">
                <c:v>2035</c:v>
              </c:pt>
              <c:pt idx="4">
                <c:v>2040</c:v>
              </c:pt>
              <c:pt idx="5">
                <c:v>2045</c:v>
              </c:pt>
              <c:pt idx="6">
                <c:v>2050</c:v>
              </c:pt>
              <c:pt idx="7">
                <c:v>2055</c:v>
              </c:pt>
              <c:pt idx="8">
                <c:v>2060</c:v>
              </c:pt>
            </c:numLit>
          </c:cat>
          <c:val>
            <c:numRef>
              <c:f>CO2_Emissions!$C$7:$K$7</c:f>
              <c:numCache>
                <c:formatCode>_-* #\ ##0\ _€_-;\-* #\ ##0\ _€_-;_-* "-"??\ _€_-;_-@_-</c:formatCode>
                <c:ptCount val="9"/>
                <c:pt idx="0">
                  <c:v>5643.5016492000004</c:v>
                </c:pt>
                <c:pt idx="1">
                  <c:v>3063.9380948143298</c:v>
                </c:pt>
                <c:pt idx="2">
                  <c:v>1990.0130948916499</c:v>
                </c:pt>
                <c:pt idx="3">
                  <c:v>916.08809493425201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A993-4D74-9EFF-1F2028CB9221}"/>
            </c:ext>
          </c:extLst>
        </c:ser>
        <c:ser>
          <c:idx val="4"/>
          <c:order val="4"/>
          <c:tx>
            <c:strRef>
              <c:f>CO2_Emissions!$B$8</c:f>
              <c:strCache>
                <c:ptCount val="1"/>
                <c:pt idx="0">
                  <c:v>Evitées par P2H2</c:v>
                </c:pt>
              </c:strCache>
            </c:strRef>
          </c:tx>
          <c:invertIfNegative val="0"/>
          <c:val>
            <c:numRef>
              <c:f>CO2_Emissions!$C$8:$K$8</c:f>
              <c:numCache>
                <c:formatCode>_-* #\ ##0\ _€_-;\-* #\ ##0\ _€_-;_-* "-"??\ _€_-;_-@_-</c:formatCode>
                <c:ptCount val="9"/>
                <c:pt idx="0">
                  <c:v>0</c:v>
                </c:pt>
                <c:pt idx="1">
                  <c:v>-2835.2411212695124</c:v>
                </c:pt>
                <c:pt idx="2">
                  <c:v>-7962.3652872708153</c:v>
                </c:pt>
                <c:pt idx="3">
                  <c:v>-12945.216038235994</c:v>
                </c:pt>
                <c:pt idx="4">
                  <c:v>-17646.554574727394</c:v>
                </c:pt>
                <c:pt idx="5">
                  <c:v>-22026.736639700666</c:v>
                </c:pt>
                <c:pt idx="6">
                  <c:v>-31081.065744879827</c:v>
                </c:pt>
                <c:pt idx="7">
                  <c:v>-31708.801608977861</c:v>
                </c:pt>
                <c:pt idx="8">
                  <c:v>-35775.836455566983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44D-4C98-84BD-45287300B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1577448"/>
        <c:axId val="421571176"/>
      </c:barChart>
      <c:lineChart>
        <c:grouping val="standard"/>
        <c:varyColors val="0"/>
        <c:ser>
          <c:idx val="5"/>
          <c:order val="5"/>
          <c:tx>
            <c:v>Bilan</c:v>
          </c:tx>
          <c:marker>
            <c:symbol val="none"/>
          </c:marker>
          <c:val>
            <c:numRef>
              <c:f>CO2_Emissions!$C$9:$K$9</c:f>
              <c:numCache>
                <c:formatCode>_-* #\ ##0\ _€_-;\-* #\ ##0\ _€_-;_-* "-"??\ _€_-;_-@_-</c:formatCode>
                <c:ptCount val="9"/>
                <c:pt idx="0">
                  <c:v>13499.163698699016</c:v>
                </c:pt>
                <c:pt idx="1">
                  <c:v>323.50607387936725</c:v>
                </c:pt>
                <c:pt idx="2">
                  <c:v>-5708.5330246035501</c:v>
                </c:pt>
                <c:pt idx="3">
                  <c:v>-11749.11858004701</c:v>
                </c:pt>
                <c:pt idx="4">
                  <c:v>-17393.700196835773</c:v>
                </c:pt>
                <c:pt idx="5">
                  <c:v>-21772.204820552306</c:v>
                </c:pt>
                <c:pt idx="6">
                  <c:v>-30876.480450206025</c:v>
                </c:pt>
                <c:pt idx="7">
                  <c:v>-31513.006867467036</c:v>
                </c:pt>
                <c:pt idx="8">
                  <c:v>-35775.835560396285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44D-4C98-84BD-45287300B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577448"/>
        <c:axId val="421571176"/>
      </c:lineChart>
      <c:catAx>
        <c:axId val="421577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571176"/>
        <c:crosses val="autoZero"/>
        <c:auto val="1"/>
        <c:lblAlgn val="ctr"/>
        <c:lblOffset val="100"/>
        <c:noMultiLvlLbl val="0"/>
      </c:catAx>
      <c:valAx>
        <c:axId val="4215711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kt/an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577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Coût</a:t>
            </a:r>
            <a:r>
              <a:rPr lang="fr-FR" baseline="0"/>
              <a:t> marginal</a:t>
            </a:r>
            <a:endParaRPr lang="fr-FR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marker>
            <c:symbol val="none"/>
          </c:marker>
          <c:cat>
            <c:numRef>
              <c:f>'Coûts marginaux'!$B$5:$J$5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'Coûts marginaux'!$B$7:$J$7</c:f>
              <c:numCache>
                <c:formatCode>0</c:formatCode>
                <c:ptCount val="9"/>
                <c:pt idx="0">
                  <c:v>31.025066781</c:v>
                </c:pt>
                <c:pt idx="1">
                  <c:v>33.319938016999998</c:v>
                </c:pt>
                <c:pt idx="2">
                  <c:v>32.575124895000002</c:v>
                </c:pt>
                <c:pt idx="3">
                  <c:v>46.767054256000002</c:v>
                </c:pt>
                <c:pt idx="4">
                  <c:v>54.255555440999998</c:v>
                </c:pt>
                <c:pt idx="5">
                  <c:v>57.355604937000003</c:v>
                </c:pt>
                <c:pt idx="6">
                  <c:v>69.591304789000006</c:v>
                </c:pt>
                <c:pt idx="7">
                  <c:v>76.972426863999999</c:v>
                </c:pt>
                <c:pt idx="8">
                  <c:v>63.690060518999999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3BA-4E03-AA22-847020FBA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1577840"/>
        <c:axId val="421580976"/>
      </c:lineChart>
      <c:catAx>
        <c:axId val="421577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21580976"/>
        <c:crosses val="autoZero"/>
        <c:auto val="1"/>
        <c:lblAlgn val="ctr"/>
        <c:lblOffset val="100"/>
        <c:noMultiLvlLbl val="0"/>
      </c:catAx>
      <c:valAx>
        <c:axId val="4215809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fr-FR"/>
                  <a:t>€/MWh</a:t>
                </a:r>
              </a:p>
            </c:rich>
          </c:tx>
          <c:layout/>
          <c:overlay val="0"/>
        </c:title>
        <c:numFmt formatCode="0" sourceLinked="1"/>
        <c:majorTickMark val="out"/>
        <c:minorTickMark val="none"/>
        <c:tickLblPos val="nextTo"/>
        <c:crossAx val="4215778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6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06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106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6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14407</xdr:colOff>
      <xdr:row>1</xdr:row>
      <xdr:rowOff>22412</xdr:rowOff>
    </xdr:from>
    <xdr:to>
      <xdr:col>24</xdr:col>
      <xdr:colOff>150478</xdr:colOff>
      <xdr:row>21</xdr:row>
      <xdr:rowOff>22412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795619</xdr:colOff>
      <xdr:row>45</xdr:row>
      <xdr:rowOff>145676</xdr:rowOff>
    </xdr:from>
    <xdr:to>
      <xdr:col>23</xdr:col>
      <xdr:colOff>628329</xdr:colOff>
      <xdr:row>66</xdr:row>
      <xdr:rowOff>175292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739589</xdr:colOff>
      <xdr:row>23</xdr:row>
      <xdr:rowOff>123264</xdr:rowOff>
    </xdr:from>
    <xdr:to>
      <xdr:col>23</xdr:col>
      <xdr:colOff>572299</xdr:colOff>
      <xdr:row>44</xdr:row>
      <xdr:rowOff>164086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739588</xdr:colOff>
      <xdr:row>67</xdr:row>
      <xdr:rowOff>156882</xdr:rowOff>
    </xdr:from>
    <xdr:to>
      <xdr:col>23</xdr:col>
      <xdr:colOff>572298</xdr:colOff>
      <xdr:row>82</xdr:row>
      <xdr:rowOff>145676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993322</xdr:colOff>
      <xdr:row>23</xdr:row>
      <xdr:rowOff>246</xdr:rowOff>
    </xdr:from>
    <xdr:to>
      <xdr:col>22</xdr:col>
      <xdr:colOff>217715</xdr:colOff>
      <xdr:row>44</xdr:row>
      <xdr:rowOff>106384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47</xdr:row>
      <xdr:rowOff>0</xdr:rowOff>
    </xdr:from>
    <xdr:to>
      <xdr:col>22</xdr:col>
      <xdr:colOff>228847</xdr:colOff>
      <xdr:row>68</xdr:row>
      <xdr:rowOff>106138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1006928</xdr:colOff>
      <xdr:row>2</xdr:row>
      <xdr:rowOff>0</xdr:rowOff>
    </xdr:from>
    <xdr:to>
      <xdr:col>27</xdr:col>
      <xdr:colOff>122464</xdr:colOff>
      <xdr:row>33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23502</xdr:colOff>
      <xdr:row>28</xdr:row>
      <xdr:rowOff>34883</xdr:rowOff>
    </xdr:from>
    <xdr:to>
      <xdr:col>23</xdr:col>
      <xdr:colOff>131123</xdr:colOff>
      <xdr:row>45</xdr:row>
      <xdr:rowOff>141021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415637</xdr:colOff>
      <xdr:row>25</xdr:row>
      <xdr:rowOff>86591</xdr:rowOff>
    </xdr:from>
    <xdr:to>
      <xdr:col>9</xdr:col>
      <xdr:colOff>107621</xdr:colOff>
      <xdr:row>43</xdr:row>
      <xdr:rowOff>2229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381000</xdr:colOff>
      <xdr:row>27</xdr:row>
      <xdr:rowOff>123265</xdr:rowOff>
    </xdr:from>
    <xdr:to>
      <xdr:col>19</xdr:col>
      <xdr:colOff>347382</xdr:colOff>
      <xdr:row>41</xdr:row>
      <xdr:rowOff>123265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924821</xdr:colOff>
      <xdr:row>24</xdr:row>
      <xdr:rowOff>143389</xdr:rowOff>
    </xdr:from>
    <xdr:to>
      <xdr:col>8</xdr:col>
      <xdr:colOff>241119</xdr:colOff>
      <xdr:row>43</xdr:row>
      <xdr:rowOff>95559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134470</xdr:colOff>
      <xdr:row>0</xdr:row>
      <xdr:rowOff>67235</xdr:rowOff>
    </xdr:from>
    <xdr:to>
      <xdr:col>20</xdr:col>
      <xdr:colOff>1131792</xdr:colOff>
      <xdr:row>18</xdr:row>
      <xdr:rowOff>145675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xmlns="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599516</xdr:colOff>
      <xdr:row>11</xdr:row>
      <xdr:rowOff>134471</xdr:rowOff>
    </xdr:from>
    <xdr:to>
      <xdr:col>23</xdr:col>
      <xdr:colOff>374277</xdr:colOff>
      <xdr:row>30</xdr:row>
      <xdr:rowOff>81243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12</xdr:row>
      <xdr:rowOff>95250</xdr:rowOff>
    </xdr:from>
    <xdr:to>
      <xdr:col>8</xdr:col>
      <xdr:colOff>209550</xdr:colOff>
      <xdr:row>26</xdr:row>
      <xdr:rowOff>171450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DEME%20-%20Trajectoires%202020/09_ResultsAnalysis/Fichiers%20de%20sortie/EnergieRessource_S3Nuke/EnergieRessource_S3Nuk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dentialité"/>
      <sheetName val="Investissements"/>
      <sheetName val="Production"/>
      <sheetName val="Taux de charge"/>
      <sheetName val="Annexe"/>
      <sheetName val="Consommation"/>
      <sheetName val="Echanges européens"/>
      <sheetName val="Ecrêtement"/>
      <sheetName val="CO2_Emissions"/>
      <sheetName val="Coûts marginaux"/>
      <sheetName val="Europe"/>
      <sheetName val="Prix de Vente_annuel"/>
      <sheetName val="Prix de Vente_trajectoire"/>
      <sheetName val="LCOE"/>
      <sheetName val="Prod_TWh"/>
      <sheetName val="Installé_CAPA_MW"/>
      <sheetName val="Coûts d'investissements"/>
      <sheetName val="Passage Pointe"/>
      <sheetName val="OutputSG_Prod_Wh"/>
      <sheetName val="OutputSG_Capa_W"/>
      <sheetName val="Output_SG_EU"/>
      <sheetName val="Output_SG_Prices"/>
    </sheetNames>
    <sheetDataSet>
      <sheetData sheetId="0" refreshError="1"/>
      <sheetData sheetId="1" refreshError="1"/>
      <sheetData sheetId="2">
        <row r="4">
          <cell r="N4">
            <v>399.48335984341105</v>
          </cell>
        </row>
      </sheetData>
      <sheetData sheetId="3" refreshError="1"/>
      <sheetData sheetId="4">
        <row r="2">
          <cell r="G2">
            <v>9.9999999999999995E-7</v>
          </cell>
        </row>
        <row r="3">
          <cell r="G3">
            <v>1E-3</v>
          </cell>
        </row>
        <row r="4">
          <cell r="G4">
            <v>9.9999999999999998E-13</v>
          </cell>
        </row>
      </sheetData>
      <sheetData sheetId="5" refreshError="1"/>
      <sheetData sheetId="6">
        <row r="3">
          <cell r="C3">
            <v>128.11038139019101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B4"/>
  <sheetViews>
    <sheetView zoomScale="145" zoomScaleNormal="145" workbookViewId="0">
      <selection activeCell="F1" sqref="F1"/>
    </sheetView>
  </sheetViews>
  <sheetFormatPr baseColWidth="10" defaultRowHeight="15" x14ac:dyDescent="0.25"/>
  <cols>
    <col min="2" max="2" width="16.140625" customWidth="1"/>
  </cols>
  <sheetData>
    <row r="2" spans="2:2" x14ac:dyDescent="0.25">
      <c r="B2" s="8" t="s">
        <v>65</v>
      </c>
    </row>
    <row r="3" spans="2:2" x14ac:dyDescent="0.25">
      <c r="B3" t="s">
        <v>66</v>
      </c>
    </row>
    <row r="4" spans="2:2" x14ac:dyDescent="0.25">
      <c r="B4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B2:AJ205"/>
  <sheetViews>
    <sheetView topLeftCell="D43" zoomScale="55" zoomScaleNormal="55" workbookViewId="0">
      <selection activeCell="J73" sqref="J73"/>
    </sheetView>
  </sheetViews>
  <sheetFormatPr baseColWidth="10" defaultRowHeight="15" x14ac:dyDescent="0.25"/>
  <cols>
    <col min="1" max="1" width="3.28515625" customWidth="1"/>
    <col min="2" max="2" width="45.5703125" bestFit="1" customWidth="1"/>
    <col min="3" max="3" width="17.7109375" customWidth="1"/>
    <col min="4" max="5" width="13.85546875" bestFit="1" customWidth="1"/>
    <col min="6" max="7" width="13.42578125" bestFit="1" customWidth="1"/>
    <col min="8" max="8" width="13" bestFit="1" customWidth="1"/>
    <col min="9" max="11" width="13.85546875" bestFit="1" customWidth="1"/>
    <col min="12" max="12" width="15" customWidth="1"/>
    <col min="13" max="13" width="24.85546875" customWidth="1"/>
  </cols>
  <sheetData>
    <row r="2" spans="2:36" x14ac:dyDescent="0.25">
      <c r="C2" s="165" t="s">
        <v>105</v>
      </c>
      <c r="D2" s="166"/>
      <c r="E2" s="166"/>
      <c r="F2" s="166"/>
      <c r="G2" s="166"/>
      <c r="H2" s="166"/>
      <c r="I2" s="166"/>
      <c r="J2" s="166"/>
      <c r="K2" s="167"/>
      <c r="AB2" s="165" t="s">
        <v>173</v>
      </c>
      <c r="AC2" s="166"/>
      <c r="AD2" s="166"/>
      <c r="AE2" s="166"/>
      <c r="AF2" s="166"/>
      <c r="AG2" s="166"/>
      <c r="AH2" s="166"/>
      <c r="AI2" s="166"/>
      <c r="AJ2" s="167"/>
    </row>
    <row r="3" spans="2:36" x14ac:dyDescent="0.25">
      <c r="B3" s="61" t="s">
        <v>20</v>
      </c>
      <c r="C3" s="43">
        <v>2020</v>
      </c>
      <c r="D3" s="39">
        <v>2025</v>
      </c>
      <c r="E3" s="39">
        <v>2030</v>
      </c>
      <c r="F3" s="39">
        <v>2035</v>
      </c>
      <c r="G3" s="39">
        <v>2040</v>
      </c>
      <c r="H3" s="39">
        <v>2045</v>
      </c>
      <c r="I3" s="39">
        <v>2050</v>
      </c>
      <c r="J3" s="39">
        <v>2055</v>
      </c>
      <c r="K3" s="40">
        <v>2060</v>
      </c>
      <c r="M3" s="44"/>
      <c r="N3" s="45"/>
      <c r="AA3" s="150" t="s">
        <v>20</v>
      </c>
      <c r="AB3" s="43">
        <v>2020</v>
      </c>
      <c r="AC3" s="39">
        <v>2025</v>
      </c>
      <c r="AD3" s="39">
        <v>2030</v>
      </c>
      <c r="AE3" s="39">
        <v>2035</v>
      </c>
      <c r="AF3" s="39">
        <v>2040</v>
      </c>
      <c r="AG3" s="39">
        <v>2045</v>
      </c>
      <c r="AH3" s="39">
        <v>2050</v>
      </c>
      <c r="AI3" s="39">
        <v>2055</v>
      </c>
      <c r="AJ3" s="40">
        <v>2060</v>
      </c>
    </row>
    <row r="4" spans="2:36" x14ac:dyDescent="0.25">
      <c r="B4" s="23" t="s">
        <v>21</v>
      </c>
      <c r="C4" s="66">
        <v>61.370000000000005</v>
      </c>
      <c r="D4" s="67">
        <v>62.970000000000006</v>
      </c>
      <c r="E4" s="67">
        <v>59.349999928313188</v>
      </c>
      <c r="F4" s="67">
        <v>49.072425961284118</v>
      </c>
      <c r="G4" s="67">
        <v>39.452500003773544</v>
      </c>
      <c r="H4" s="67">
        <v>26.835000002278697</v>
      </c>
      <c r="I4" s="67">
        <v>11.950000000224833</v>
      </c>
      <c r="J4" s="67">
        <v>1.6</v>
      </c>
      <c r="K4" s="105">
        <v>1.6</v>
      </c>
      <c r="M4" s="44"/>
      <c r="N4" s="46"/>
      <c r="AA4" s="161" t="s">
        <v>171</v>
      </c>
      <c r="AB4" s="66">
        <v>0</v>
      </c>
      <c r="AC4" s="67">
        <v>0</v>
      </c>
      <c r="AD4" s="67">
        <v>11.384999822730402</v>
      </c>
      <c r="AE4" s="67">
        <v>23.727425962659201</v>
      </c>
      <c r="AF4" s="67">
        <v>14.125073563335901</v>
      </c>
      <c r="AG4" s="67">
        <v>11.109925962129802</v>
      </c>
      <c r="AH4" s="67">
        <v>0</v>
      </c>
      <c r="AI4" s="67">
        <v>0</v>
      </c>
      <c r="AJ4" s="105">
        <v>0</v>
      </c>
    </row>
    <row r="5" spans="2:36" x14ac:dyDescent="0.25">
      <c r="B5" s="23" t="s">
        <v>57</v>
      </c>
      <c r="C5" s="65">
        <v>6.1640002706981551</v>
      </c>
      <c r="D5" s="68">
        <v>6.1640005659265498</v>
      </c>
      <c r="E5" s="68">
        <v>6.5498213948288937</v>
      </c>
      <c r="F5" s="68">
        <v>5.7618214218632744</v>
      </c>
      <c r="G5" s="68">
        <v>3.5768214221202452</v>
      </c>
      <c r="H5" s="68">
        <v>0.96082142239987212</v>
      </c>
      <c r="I5" s="68">
        <v>0.38582119574972762</v>
      </c>
      <c r="J5" s="68">
        <v>0.38582092193303258</v>
      </c>
      <c r="K5" s="69">
        <v>3.3596473525100003E-7</v>
      </c>
      <c r="M5" s="44"/>
      <c r="N5" s="45"/>
      <c r="AA5" s="23" t="s">
        <v>97</v>
      </c>
      <c r="AB5" s="65">
        <v>0</v>
      </c>
      <c r="AC5" s="68">
        <v>0</v>
      </c>
      <c r="AD5" s="68">
        <v>0</v>
      </c>
      <c r="AE5" s="68">
        <v>0</v>
      </c>
      <c r="AF5" s="68">
        <v>0</v>
      </c>
      <c r="AG5" s="68">
        <v>0</v>
      </c>
      <c r="AH5" s="68">
        <v>0</v>
      </c>
      <c r="AI5" s="68">
        <v>0</v>
      </c>
      <c r="AJ5" s="69">
        <v>0</v>
      </c>
    </row>
    <row r="6" spans="2:36" x14ac:dyDescent="0.25">
      <c r="B6" s="23" t="s">
        <v>56</v>
      </c>
      <c r="C6" s="65">
        <v>1.8500001452782728</v>
      </c>
      <c r="D6" s="68">
        <v>1.300000233465666</v>
      </c>
      <c r="E6" s="68">
        <v>2.0495908775259335</v>
      </c>
      <c r="F6" s="68">
        <v>2.0495909094037845</v>
      </c>
      <c r="G6" s="68">
        <v>0.99959090939561557</v>
      </c>
      <c r="H6" s="68">
        <v>0.99959078624200315</v>
      </c>
      <c r="I6" s="68">
        <v>0.99959083040344587</v>
      </c>
      <c r="J6" s="68">
        <v>3.0187361529900001E-7</v>
      </c>
      <c r="K6" s="69">
        <v>2.8991032298200001E-7</v>
      </c>
      <c r="M6" s="44"/>
      <c r="N6" s="46"/>
      <c r="AA6" s="23" t="s">
        <v>57</v>
      </c>
      <c r="AB6" s="65">
        <v>0</v>
      </c>
      <c r="AC6" s="68">
        <v>0</v>
      </c>
      <c r="AD6" s="68">
        <v>0.38582039366148402</v>
      </c>
      <c r="AE6" s="68">
        <v>0</v>
      </c>
      <c r="AF6" s="68">
        <v>0</v>
      </c>
      <c r="AG6" s="68">
        <v>0</v>
      </c>
      <c r="AH6" s="68">
        <v>0</v>
      </c>
      <c r="AI6" s="68">
        <v>0</v>
      </c>
      <c r="AJ6" s="69">
        <v>0</v>
      </c>
    </row>
    <row r="7" spans="2:36" x14ac:dyDescent="0.25">
      <c r="B7" s="23" t="s">
        <v>58</v>
      </c>
      <c r="C7" s="65">
        <v>2.4130000000000003</v>
      </c>
      <c r="D7" s="68">
        <v>0</v>
      </c>
      <c r="E7" s="68">
        <v>0</v>
      </c>
      <c r="F7" s="68">
        <v>0</v>
      </c>
      <c r="G7" s="68">
        <v>0</v>
      </c>
      <c r="H7" s="68">
        <v>0</v>
      </c>
      <c r="I7" s="68">
        <v>0</v>
      </c>
      <c r="J7" s="68">
        <v>0</v>
      </c>
      <c r="K7" s="69">
        <v>0</v>
      </c>
      <c r="M7" s="44"/>
      <c r="N7" s="46"/>
      <c r="AA7" s="23" t="s">
        <v>56</v>
      </c>
      <c r="AB7" s="65">
        <v>0</v>
      </c>
      <c r="AC7" s="68">
        <v>0</v>
      </c>
      <c r="AD7" s="68">
        <v>0.99959023763976507</v>
      </c>
      <c r="AE7" s="68">
        <v>0</v>
      </c>
      <c r="AF7" s="68">
        <v>0</v>
      </c>
      <c r="AG7" s="68">
        <v>0</v>
      </c>
      <c r="AH7" s="68">
        <v>0</v>
      </c>
      <c r="AI7" s="68">
        <v>0</v>
      </c>
      <c r="AJ7" s="69">
        <v>0</v>
      </c>
    </row>
    <row r="8" spans="2:36" x14ac:dyDescent="0.25">
      <c r="B8" s="23" t="s">
        <v>103</v>
      </c>
      <c r="C8" s="65">
        <v>6.5687799999998742</v>
      </c>
      <c r="D8" s="68">
        <v>3.566284999999882</v>
      </c>
      <c r="E8" s="68">
        <v>2.3162849999999993</v>
      </c>
      <c r="F8" s="68">
        <v>1.0662850000000479</v>
      </c>
      <c r="G8" s="68">
        <v>0</v>
      </c>
      <c r="H8" s="68">
        <v>0</v>
      </c>
      <c r="I8" s="68">
        <v>0</v>
      </c>
      <c r="J8" s="68">
        <v>0</v>
      </c>
      <c r="K8" s="69">
        <v>0</v>
      </c>
      <c r="M8" s="44"/>
      <c r="N8" s="45"/>
      <c r="AA8" s="23" t="s">
        <v>79</v>
      </c>
      <c r="AB8" s="65">
        <v>4.6385635000001608</v>
      </c>
      <c r="AC8" s="68">
        <v>10.961436500143801</v>
      </c>
      <c r="AD8" s="68">
        <v>4.3999999995039305</v>
      </c>
      <c r="AE8" s="68">
        <v>8.7499999991600905</v>
      </c>
      <c r="AF8" s="68">
        <v>8.7499999965949602</v>
      </c>
      <c r="AG8" s="68">
        <v>12.730768421043802</v>
      </c>
      <c r="AH8" s="68">
        <v>2.1195429237952199</v>
      </c>
      <c r="AI8" s="68">
        <v>12.485284791017101</v>
      </c>
      <c r="AJ8" s="69">
        <v>23.949999990738203</v>
      </c>
    </row>
    <row r="9" spans="2:36" x14ac:dyDescent="0.25">
      <c r="B9" s="161" t="s">
        <v>98</v>
      </c>
      <c r="C9" s="66">
        <v>4.6385635000001582</v>
      </c>
      <c r="D9" s="67">
        <v>15.600000000003027</v>
      </c>
      <c r="E9" s="67">
        <v>20.000000000018925</v>
      </c>
      <c r="F9" s="67">
        <v>28.750000000480206</v>
      </c>
      <c r="G9" s="67">
        <v>37.500000002109303</v>
      </c>
      <c r="H9" s="67">
        <v>46.250000001496062</v>
      </c>
      <c r="I9" s="67">
        <v>66.000000000018645</v>
      </c>
      <c r="J9" s="67">
        <v>79.200000000052867</v>
      </c>
      <c r="K9" s="105">
        <v>94.399999999732245</v>
      </c>
      <c r="M9" s="44"/>
      <c r="N9" s="45"/>
      <c r="AA9" s="23" t="s">
        <v>80</v>
      </c>
      <c r="AB9" s="65">
        <v>0</v>
      </c>
      <c r="AC9" s="68">
        <v>0</v>
      </c>
      <c r="AD9" s="68">
        <v>0</v>
      </c>
      <c r="AE9" s="68">
        <v>0</v>
      </c>
      <c r="AF9" s="68">
        <v>0</v>
      </c>
      <c r="AG9" s="68">
        <v>0.65779499964409105</v>
      </c>
      <c r="AH9" s="68">
        <v>28.591893555364603</v>
      </c>
      <c r="AI9" s="68">
        <v>5.1147151438700407</v>
      </c>
      <c r="AJ9" s="69">
        <v>0</v>
      </c>
    </row>
    <row r="10" spans="2:36" x14ac:dyDescent="0.25">
      <c r="B10" s="23" t="s">
        <v>99</v>
      </c>
      <c r="C10" s="65">
        <v>5.4624364999996411</v>
      </c>
      <c r="D10" s="68">
        <v>7.7327181997097121</v>
      </c>
      <c r="E10" s="68">
        <v>10.001999999407273</v>
      </c>
      <c r="F10" s="68">
        <v>13.501999999629149</v>
      </c>
      <c r="G10" s="68">
        <v>17.001999999069</v>
      </c>
      <c r="H10" s="68">
        <v>20.501999999534409</v>
      </c>
      <c r="I10" s="68">
        <v>26.00199999939192</v>
      </c>
      <c r="J10" s="68">
        <v>30.201999998990242</v>
      </c>
      <c r="K10" s="69">
        <v>29.959523024340172</v>
      </c>
      <c r="M10" s="44"/>
      <c r="N10" s="46"/>
      <c r="AA10" s="23" t="s">
        <v>54</v>
      </c>
      <c r="AB10" s="65">
        <v>3.8466415999997405</v>
      </c>
      <c r="AC10" s="68">
        <v>2.0766791999225402</v>
      </c>
      <c r="AD10" s="68">
        <v>2.0766792000568599</v>
      </c>
      <c r="AE10" s="68">
        <v>2.7499999961980404</v>
      </c>
      <c r="AF10" s="68">
        <v>2.7500000002344702</v>
      </c>
      <c r="AG10" s="68">
        <v>6.5966415999712202</v>
      </c>
      <c r="AH10" s="68">
        <v>6.8266791999249206</v>
      </c>
      <c r="AI10" s="68">
        <v>6.2766792000888012</v>
      </c>
      <c r="AJ10" s="69">
        <v>2.5075229952748801</v>
      </c>
    </row>
    <row r="11" spans="2:36" x14ac:dyDescent="0.25">
      <c r="B11" s="23" t="s">
        <v>82</v>
      </c>
      <c r="C11" s="65">
        <v>0</v>
      </c>
      <c r="D11" s="68">
        <v>2.1000000000030754</v>
      </c>
      <c r="E11" s="68">
        <v>5.000000002025593</v>
      </c>
      <c r="F11" s="68">
        <v>8.5000000004167937</v>
      </c>
      <c r="G11" s="68">
        <v>12.000000000403542</v>
      </c>
      <c r="H11" s="68">
        <v>15.49999999995711</v>
      </c>
      <c r="I11" s="68">
        <v>19.000000000013038</v>
      </c>
      <c r="J11" s="68">
        <v>19.000000000021437</v>
      </c>
      <c r="K11" s="69">
        <v>19.0000000000014</v>
      </c>
      <c r="M11" s="44"/>
      <c r="N11" s="45"/>
      <c r="AA11" s="23" t="s">
        <v>74</v>
      </c>
      <c r="AB11" s="65">
        <v>1.6157948999999103</v>
      </c>
      <c r="AC11" s="68">
        <v>0.22081987845447001</v>
      </c>
      <c r="AD11" s="68">
        <v>0.33655571835801601</v>
      </c>
      <c r="AE11" s="68">
        <v>0.97932543182695209</v>
      </c>
      <c r="AF11" s="68">
        <v>0.85358707253116806</v>
      </c>
      <c r="AG11" s="68">
        <v>2.1959693082303904</v>
      </c>
      <c r="AH11" s="68">
        <v>1.044506539411</v>
      </c>
      <c r="AI11" s="68">
        <v>0.36915072068799804</v>
      </c>
      <c r="AJ11" s="69">
        <v>1.1362659998118601</v>
      </c>
    </row>
    <row r="12" spans="2:36" x14ac:dyDescent="0.25">
      <c r="B12" s="23" t="s">
        <v>81</v>
      </c>
      <c r="C12" s="65">
        <v>0</v>
      </c>
      <c r="D12" s="68">
        <v>0.75</v>
      </c>
      <c r="E12" s="68">
        <v>0.99999999983423016</v>
      </c>
      <c r="F12" s="68">
        <v>1.9374999997842333</v>
      </c>
      <c r="G12" s="68">
        <v>2.8749999997405329</v>
      </c>
      <c r="H12" s="68">
        <v>3.8124999995779314</v>
      </c>
      <c r="I12" s="68">
        <v>4.7500000000099982</v>
      </c>
      <c r="J12" s="68">
        <v>4.7500000000072653</v>
      </c>
      <c r="K12" s="69">
        <v>4.7500000004430056</v>
      </c>
      <c r="M12" s="44"/>
      <c r="N12" s="46"/>
      <c r="AA12" s="23" t="s">
        <v>82</v>
      </c>
      <c r="AB12" s="65">
        <v>0</v>
      </c>
      <c r="AC12" s="68">
        <v>2.1000000000018999</v>
      </c>
      <c r="AD12" s="68">
        <v>2.8999999976668502</v>
      </c>
      <c r="AE12" s="68">
        <v>3.4999999927599403</v>
      </c>
      <c r="AF12" s="68">
        <v>3.4999999997931703</v>
      </c>
      <c r="AG12" s="68">
        <v>3.4999999967505699</v>
      </c>
      <c r="AH12" s="68">
        <v>5.5999999999632504</v>
      </c>
      <c r="AI12" s="68">
        <v>2.8999999976661504</v>
      </c>
      <c r="AJ12" s="69">
        <v>3.4999999927403702</v>
      </c>
    </row>
    <row r="13" spans="2:36" x14ac:dyDescent="0.25">
      <c r="B13" s="23" t="s">
        <v>70</v>
      </c>
      <c r="C13" s="65">
        <v>17.390999999999458</v>
      </c>
      <c r="D13" s="68">
        <v>23.695499999963712</v>
      </c>
      <c r="E13" s="68">
        <v>29.999999899940189</v>
      </c>
      <c r="F13" s="68">
        <v>36.749999898383948</v>
      </c>
      <c r="G13" s="68">
        <v>43.499999899842713</v>
      </c>
      <c r="H13" s="68">
        <v>51.02855722519061</v>
      </c>
      <c r="I13" s="68">
        <v>62.999999999670116</v>
      </c>
      <c r="J13" s="68">
        <v>75.599999994747975</v>
      </c>
      <c r="K13" s="69">
        <v>90.7199999998424</v>
      </c>
      <c r="M13" s="44"/>
      <c r="N13" s="45"/>
      <c r="AA13" s="23" t="s">
        <v>81</v>
      </c>
      <c r="AB13" s="65">
        <v>0</v>
      </c>
      <c r="AC13" s="68">
        <v>0.75</v>
      </c>
      <c r="AD13" s="68">
        <v>0.24999999949197402</v>
      </c>
      <c r="AE13" s="68">
        <v>0.93749999834312114</v>
      </c>
      <c r="AF13" s="68">
        <v>0.93749999992088506</v>
      </c>
      <c r="AG13" s="68">
        <v>0.93749999776202808</v>
      </c>
      <c r="AH13" s="68">
        <v>1.68749999940498</v>
      </c>
      <c r="AI13" s="68">
        <v>0.24999999059200101</v>
      </c>
      <c r="AJ13" s="69">
        <v>0.93749999908520409</v>
      </c>
    </row>
    <row r="14" spans="2:36" x14ac:dyDescent="0.25">
      <c r="B14" s="23" t="s">
        <v>106</v>
      </c>
      <c r="C14" s="65">
        <v>0.24000000000000002</v>
      </c>
      <c r="D14" s="68">
        <v>0.24000000000000002</v>
      </c>
      <c r="E14" s="68">
        <v>0.24000000000000002</v>
      </c>
      <c r="F14" s="68">
        <v>0.24000000000000002</v>
      </c>
      <c r="G14" s="68">
        <v>0.24000000000000002</v>
      </c>
      <c r="H14" s="68">
        <v>0.24000000000000002</v>
      </c>
      <c r="I14" s="68">
        <v>0.24000000000000002</v>
      </c>
      <c r="J14" s="68">
        <v>0.24000000000000002</v>
      </c>
      <c r="K14" s="69">
        <v>0.24000000000000002</v>
      </c>
      <c r="M14" s="44"/>
      <c r="N14" s="45"/>
      <c r="AA14" s="23" t="s">
        <v>70</v>
      </c>
      <c r="AB14" s="65">
        <v>0</v>
      </c>
      <c r="AC14" s="68">
        <v>6.3268000000288298</v>
      </c>
      <c r="AD14" s="68">
        <v>7.0824480948218707</v>
      </c>
      <c r="AE14" s="68">
        <v>11.427867499873001</v>
      </c>
      <c r="AF14" s="68">
        <v>10.800159497660601</v>
      </c>
      <c r="AG14" s="68">
        <v>15.3912821067993</v>
      </c>
      <c r="AH14" s="68">
        <v>18.2982427496956</v>
      </c>
      <c r="AI14" s="68">
        <v>19.682448100037401</v>
      </c>
      <c r="AJ14" s="69">
        <v>26.547867499948104</v>
      </c>
    </row>
    <row r="15" spans="2:36" x14ac:dyDescent="0.25">
      <c r="B15" s="23" t="s">
        <v>101</v>
      </c>
      <c r="C15" s="65">
        <v>0.48361560000000559</v>
      </c>
      <c r="D15" s="68">
        <v>0.48361560000000559</v>
      </c>
      <c r="E15" s="68">
        <v>0.48361560000000559</v>
      </c>
      <c r="F15" s="68">
        <v>0.48361560000000559</v>
      </c>
      <c r="G15" s="68">
        <v>0.48361560000000559</v>
      </c>
      <c r="H15" s="68">
        <v>0.48361560000000559</v>
      </c>
      <c r="I15" s="68">
        <v>0.48361560000000559</v>
      </c>
      <c r="J15" s="68">
        <v>0.48361560000000559</v>
      </c>
      <c r="K15" s="69">
        <v>0.48361560000000559</v>
      </c>
      <c r="M15" s="44"/>
      <c r="N15" s="45"/>
      <c r="AA15" s="23" t="s">
        <v>64</v>
      </c>
      <c r="AB15" s="65">
        <v>0</v>
      </c>
      <c r="AC15" s="68">
        <v>0</v>
      </c>
      <c r="AD15" s="68">
        <v>0</v>
      </c>
      <c r="AE15" s="68">
        <v>0</v>
      </c>
      <c r="AF15" s="68">
        <v>0</v>
      </c>
      <c r="AG15" s="68">
        <v>0</v>
      </c>
      <c r="AH15" s="68">
        <v>0</v>
      </c>
      <c r="AI15" s="68">
        <v>0</v>
      </c>
      <c r="AJ15" s="69">
        <v>1.9999994058498101</v>
      </c>
    </row>
    <row r="16" spans="2:36" x14ac:dyDescent="0.25">
      <c r="B16" s="23" t="s">
        <v>102</v>
      </c>
      <c r="C16" s="65">
        <v>0.65390400000002646</v>
      </c>
      <c r="D16" s="68">
        <v>0.80000000000005866</v>
      </c>
      <c r="E16" s="68">
        <v>0.80000000000005866</v>
      </c>
      <c r="F16" s="68">
        <v>0.80000000000005866</v>
      </c>
      <c r="G16" s="68">
        <v>0.80000000000005866</v>
      </c>
      <c r="H16" s="68">
        <v>0.80000000000005866</v>
      </c>
      <c r="I16" s="68">
        <v>0.80000000000005866</v>
      </c>
      <c r="J16" s="68">
        <v>0.80000000000005866</v>
      </c>
      <c r="K16" s="69">
        <v>0.80000000000005866</v>
      </c>
      <c r="M16" s="44"/>
      <c r="N16" s="46"/>
      <c r="AA16" s="38" t="s">
        <v>63</v>
      </c>
      <c r="AB16" s="70">
        <v>0</v>
      </c>
      <c r="AC16" s="71">
        <v>0</v>
      </c>
      <c r="AD16" s="71">
        <v>0</v>
      </c>
      <c r="AE16" s="71">
        <v>0.21039764583177201</v>
      </c>
      <c r="AF16" s="71">
        <v>0</v>
      </c>
      <c r="AG16" s="71">
        <v>0</v>
      </c>
      <c r="AH16" s="71">
        <v>0</v>
      </c>
      <c r="AI16" s="71">
        <v>0</v>
      </c>
      <c r="AJ16" s="72">
        <v>0</v>
      </c>
    </row>
    <row r="17" spans="2:14" x14ac:dyDescent="0.25">
      <c r="B17" s="23" t="s">
        <v>104</v>
      </c>
      <c r="C17" s="65">
        <v>0.87828299999994663</v>
      </c>
      <c r="D17" s="68">
        <v>0.87828299999994663</v>
      </c>
      <c r="E17" s="68">
        <v>0.87828299999994663</v>
      </c>
      <c r="F17" s="68">
        <v>0.87828299999994663</v>
      </c>
      <c r="G17" s="68">
        <v>0.87828299999994663</v>
      </c>
      <c r="H17" s="68">
        <v>0.87828299999994663</v>
      </c>
      <c r="I17" s="68">
        <v>0.87828299999994663</v>
      </c>
      <c r="J17" s="68">
        <v>0.87828299999994663</v>
      </c>
      <c r="K17" s="69">
        <v>0.87828299999994663</v>
      </c>
      <c r="M17" s="44"/>
      <c r="N17" s="45"/>
    </row>
    <row r="18" spans="2:14" x14ac:dyDescent="0.25">
      <c r="B18" s="38" t="s">
        <v>100</v>
      </c>
      <c r="C18" s="65">
        <v>1.8500000000002501E-3</v>
      </c>
      <c r="D18" s="68">
        <v>2.3999999999999799E-2</v>
      </c>
      <c r="E18" s="68">
        <v>2.3999999999999799E-2</v>
      </c>
      <c r="F18" s="68">
        <v>2.3999999999999799E-2</v>
      </c>
      <c r="G18" s="68">
        <v>2.3999999999999799E-2</v>
      </c>
      <c r="H18" s="68">
        <v>2.3999999999999799E-2</v>
      </c>
      <c r="I18" s="68">
        <v>2.3999999999999799E-2</v>
      </c>
      <c r="J18" s="68">
        <v>2.3999999999999799E-2</v>
      </c>
      <c r="K18" s="69">
        <v>2.3999999999999799E-2</v>
      </c>
      <c r="M18" s="44"/>
      <c r="N18" s="46"/>
    </row>
    <row r="19" spans="2:14" x14ac:dyDescent="0.25">
      <c r="B19" s="23" t="s">
        <v>64</v>
      </c>
      <c r="C19" s="66">
        <v>5.1800000000000006</v>
      </c>
      <c r="D19" s="67">
        <v>5.1800000000000006</v>
      </c>
      <c r="E19" s="67">
        <v>5.1800000000000006</v>
      </c>
      <c r="F19" s="67">
        <v>5.1800001979973791</v>
      </c>
      <c r="G19" s="67">
        <v>5.1800001981719355</v>
      </c>
      <c r="H19" s="67">
        <v>5.1800001984636701</v>
      </c>
      <c r="I19" s="67">
        <v>5.1800001985901494</v>
      </c>
      <c r="J19" s="67">
        <v>5.1800005941465876</v>
      </c>
      <c r="K19" s="105">
        <v>7.1799999999799198</v>
      </c>
      <c r="M19" s="44"/>
      <c r="N19" s="45"/>
    </row>
    <row r="20" spans="2:14" x14ac:dyDescent="0.25">
      <c r="B20" s="23" t="s">
        <v>63</v>
      </c>
      <c r="C20" s="65">
        <v>4.11224892653E-7</v>
      </c>
      <c r="D20" s="68">
        <v>8.1130696045799994E-7</v>
      </c>
      <c r="E20" s="68">
        <v>1.4413728045000003E-6</v>
      </c>
      <c r="F20" s="68">
        <v>0.21040230769474819</v>
      </c>
      <c r="G20" s="68">
        <v>0.21040235354440281</v>
      </c>
      <c r="H20" s="68">
        <v>0.21040196962776603</v>
      </c>
      <c r="I20" s="68">
        <v>0.21040135790046022</v>
      </c>
      <c r="J20" s="68">
        <v>3.355956111064E-6</v>
      </c>
      <c r="K20" s="69">
        <v>3.9788436702710007E-6</v>
      </c>
      <c r="M20" s="44"/>
      <c r="N20" s="45"/>
    </row>
    <row r="21" spans="2:14" x14ac:dyDescent="0.25">
      <c r="B21" s="38" t="s">
        <v>37</v>
      </c>
      <c r="C21" s="70">
        <v>25.293000000000003</v>
      </c>
      <c r="D21" s="71">
        <v>25.293000000000003</v>
      </c>
      <c r="E21" s="71">
        <v>25.293000000000003</v>
      </c>
      <c r="F21" s="71">
        <v>25.293000000000003</v>
      </c>
      <c r="G21" s="71">
        <v>25.293000000000003</v>
      </c>
      <c r="H21" s="71">
        <v>25.293000000000003</v>
      </c>
      <c r="I21" s="71">
        <v>25.293000000000003</v>
      </c>
      <c r="J21" s="71">
        <v>25.293000000000003</v>
      </c>
      <c r="K21" s="72">
        <v>25.293000000000003</v>
      </c>
      <c r="M21" s="44"/>
      <c r="N21" s="46"/>
    </row>
    <row r="23" spans="2:14" x14ac:dyDescent="0.25">
      <c r="B23" s="102" t="s">
        <v>154</v>
      </c>
      <c r="C23" s="43">
        <v>2020</v>
      </c>
      <c r="D23" s="39">
        <v>2025</v>
      </c>
      <c r="E23" s="39">
        <v>2030</v>
      </c>
      <c r="F23" s="39">
        <v>2035</v>
      </c>
      <c r="G23" s="39">
        <v>2040</v>
      </c>
      <c r="H23" s="39">
        <v>2045</v>
      </c>
      <c r="I23" s="39">
        <v>2050</v>
      </c>
      <c r="J23" s="39">
        <v>2055</v>
      </c>
      <c r="K23" s="40">
        <v>2060</v>
      </c>
    </row>
    <row r="24" spans="2:14" x14ac:dyDescent="0.25">
      <c r="B24" s="24" t="s">
        <v>139</v>
      </c>
      <c r="C24" s="66">
        <v>0</v>
      </c>
      <c r="D24" s="67">
        <v>0.35555066913469363</v>
      </c>
      <c r="E24" s="67">
        <v>3.9049230999309068</v>
      </c>
      <c r="F24" s="67">
        <v>10.543004499903294</v>
      </c>
      <c r="G24" s="67">
        <v>16.266090617170399</v>
      </c>
      <c r="H24" s="67">
        <v>17.5803574997278</v>
      </c>
      <c r="I24" s="67">
        <v>30.457248899957968</v>
      </c>
      <c r="J24" s="67">
        <v>30.457248899969017</v>
      </c>
      <c r="K24" s="105">
        <v>30.457248899965276</v>
      </c>
    </row>
    <row r="25" spans="2:14" x14ac:dyDescent="0.25">
      <c r="B25" s="26" t="s">
        <v>153</v>
      </c>
      <c r="C25" s="70">
        <v>0</v>
      </c>
      <c r="D25" s="71">
        <v>1.7048103152845118</v>
      </c>
      <c r="E25" s="71">
        <v>3.4096220013711549</v>
      </c>
      <c r="F25" s="71">
        <v>4.9958732008227633</v>
      </c>
      <c r="G25" s="71">
        <v>6.5821237148727079</v>
      </c>
      <c r="H25" s="71">
        <v>8.1683749143249234</v>
      </c>
      <c r="I25" s="71">
        <v>9.7546254283755651</v>
      </c>
      <c r="J25" s="71">
        <v>9.7546252570264631</v>
      </c>
      <c r="K25" s="72">
        <v>9.7546255997264151</v>
      </c>
    </row>
    <row r="28" spans="2:14" x14ac:dyDescent="0.25">
      <c r="B28" s="60" t="s">
        <v>59</v>
      </c>
      <c r="C28" s="39">
        <v>2020</v>
      </c>
      <c r="D28" s="39">
        <v>2025</v>
      </c>
      <c r="E28" s="39">
        <v>2030</v>
      </c>
      <c r="F28" s="39">
        <v>2035</v>
      </c>
      <c r="G28" s="39">
        <v>2040</v>
      </c>
      <c r="H28" s="39">
        <v>2045</v>
      </c>
      <c r="I28" s="39">
        <v>2050</v>
      </c>
      <c r="J28" s="39">
        <v>2055</v>
      </c>
      <c r="K28" s="40">
        <v>2060</v>
      </c>
    </row>
    <row r="29" spans="2:14" x14ac:dyDescent="0.25">
      <c r="B29" s="47" t="s">
        <v>71</v>
      </c>
      <c r="C29" s="62">
        <v>61.370000000000005</v>
      </c>
      <c r="D29" s="74">
        <v>61.370000000000005</v>
      </c>
      <c r="E29" s="74">
        <v>46.365000000000002</v>
      </c>
      <c r="F29" s="74">
        <v>12.36</v>
      </c>
      <c r="G29" s="74">
        <v>0</v>
      </c>
      <c r="H29" s="74">
        <v>0</v>
      </c>
      <c r="I29" s="74">
        <v>0</v>
      </c>
      <c r="J29" s="74">
        <v>0</v>
      </c>
      <c r="K29" s="75">
        <v>0</v>
      </c>
    </row>
    <row r="30" spans="2:14" x14ac:dyDescent="0.25">
      <c r="B30" s="59" t="s">
        <v>72</v>
      </c>
      <c r="C30" s="76">
        <v>0</v>
      </c>
      <c r="D30" s="73">
        <v>0</v>
      </c>
      <c r="E30" s="73">
        <v>11.384999928313183</v>
      </c>
      <c r="F30" s="73">
        <v>35.112425961284117</v>
      </c>
      <c r="G30" s="73">
        <v>37.852500003773542</v>
      </c>
      <c r="H30" s="73">
        <v>25.235000002278696</v>
      </c>
      <c r="I30" s="73">
        <v>10.350000000224833</v>
      </c>
      <c r="J30" s="73">
        <v>0</v>
      </c>
      <c r="K30" s="77">
        <v>0</v>
      </c>
    </row>
    <row r="31" spans="2:14" ht="14.25" customHeight="1" x14ac:dyDescent="0.25">
      <c r="B31" s="27" t="s">
        <v>34</v>
      </c>
      <c r="C31" s="63">
        <v>0</v>
      </c>
      <c r="D31" s="88">
        <v>1.6</v>
      </c>
      <c r="E31" s="88">
        <v>1.6</v>
      </c>
      <c r="F31" s="88">
        <v>1.6</v>
      </c>
      <c r="G31" s="88">
        <v>1.6</v>
      </c>
      <c r="H31" s="88">
        <v>1.6</v>
      </c>
      <c r="I31" s="88">
        <v>1.6</v>
      </c>
      <c r="J31" s="88">
        <v>1.6</v>
      </c>
      <c r="K31" s="89">
        <v>1.6</v>
      </c>
    </row>
    <row r="33" spans="2:11" x14ac:dyDescent="0.25">
      <c r="B33" s="134" t="s">
        <v>38</v>
      </c>
      <c r="C33" s="39">
        <v>2020</v>
      </c>
      <c r="D33" s="39">
        <v>2025</v>
      </c>
      <c r="E33" s="39">
        <v>2030</v>
      </c>
      <c r="F33" s="39">
        <v>2035</v>
      </c>
      <c r="G33" s="39">
        <v>2040</v>
      </c>
      <c r="H33" s="39">
        <v>2045</v>
      </c>
      <c r="I33" s="39">
        <v>2050</v>
      </c>
      <c r="J33" s="39">
        <v>2055</v>
      </c>
      <c r="K33" s="40">
        <v>2060</v>
      </c>
    </row>
    <row r="34" spans="2:11" x14ac:dyDescent="0.25">
      <c r="B34" s="47" t="s">
        <v>79</v>
      </c>
      <c r="C34" s="78">
        <v>4.6385635000001582</v>
      </c>
      <c r="D34" s="78">
        <v>15.599999999956784</v>
      </c>
      <c r="E34" s="78">
        <v>19.999999999491038</v>
      </c>
      <c r="F34" s="78">
        <v>28.749999999188244</v>
      </c>
      <c r="G34" s="78">
        <v>37.500000000124167</v>
      </c>
      <c r="H34" s="78">
        <v>45.592204996616573</v>
      </c>
      <c r="I34" s="78">
        <v>36.750311434483095</v>
      </c>
      <c r="J34" s="78">
        <v>44.835596230056296</v>
      </c>
      <c r="K34" s="79">
        <v>60.035596220958269</v>
      </c>
    </row>
    <row r="35" spans="2:11" x14ac:dyDescent="0.25">
      <c r="B35" s="59" t="s">
        <v>80</v>
      </c>
      <c r="C35" s="80">
        <v>0</v>
      </c>
      <c r="D35" s="80">
        <v>4.6241939000000001E-11</v>
      </c>
      <c r="E35" s="80">
        <v>5.2788574399999995E-10</v>
      </c>
      <c r="F35" s="80">
        <v>1.2919630420000001E-9</v>
      </c>
      <c r="G35" s="80">
        <v>1.9851323079999996E-9</v>
      </c>
      <c r="H35" s="80">
        <v>0.65779500487948983</v>
      </c>
      <c r="I35" s="80">
        <v>29.249688565535546</v>
      </c>
      <c r="J35" s="80">
        <v>34.364403769996571</v>
      </c>
      <c r="K35" s="81">
        <v>34.364403778773976</v>
      </c>
    </row>
    <row r="36" spans="2:11" x14ac:dyDescent="0.25">
      <c r="B36" s="103" t="s">
        <v>76</v>
      </c>
      <c r="C36" s="82">
        <v>4.6385635000001582</v>
      </c>
      <c r="D36" s="82">
        <v>15.600000000003027</v>
      </c>
      <c r="E36" s="82">
        <v>20.000000000018925</v>
      </c>
      <c r="F36" s="82">
        <v>28.750000000480206</v>
      </c>
      <c r="G36" s="82">
        <v>37.500000002109303</v>
      </c>
      <c r="H36" s="82">
        <v>46.250000001496062</v>
      </c>
      <c r="I36" s="82">
        <v>66.000000000018645</v>
      </c>
      <c r="J36" s="82">
        <v>79.200000000052867</v>
      </c>
      <c r="K36" s="83">
        <v>94.399999999732245</v>
      </c>
    </row>
    <row r="37" spans="2:11" x14ac:dyDescent="0.25">
      <c r="B37" s="59" t="s">
        <v>73</v>
      </c>
      <c r="C37" s="80">
        <v>3.8466415999997325</v>
      </c>
      <c r="D37" s="80">
        <v>5.9233207998362243</v>
      </c>
      <c r="E37" s="80">
        <v>7.9999999997584332</v>
      </c>
      <c r="F37" s="80">
        <v>10.749999999783759</v>
      </c>
      <c r="G37" s="80">
        <v>13.49999999925404</v>
      </c>
      <c r="H37" s="80">
        <v>16.249999999745441</v>
      </c>
      <c r="I37" s="80">
        <v>20.999999999544929</v>
      </c>
      <c r="J37" s="80">
        <v>25.199999999160145</v>
      </c>
      <c r="K37" s="81">
        <v>24.957523024630362</v>
      </c>
    </row>
    <row r="38" spans="2:11" x14ac:dyDescent="0.25">
      <c r="B38" s="59" t="s">
        <v>74</v>
      </c>
      <c r="C38" s="80">
        <v>1.6157948999999086</v>
      </c>
      <c r="D38" s="80">
        <v>1.8093973998734878</v>
      </c>
      <c r="E38" s="80">
        <v>2.0019999996488393</v>
      </c>
      <c r="F38" s="80">
        <v>2.7519999998453901</v>
      </c>
      <c r="G38" s="80">
        <v>3.5019999998149585</v>
      </c>
      <c r="H38" s="80">
        <v>4.2519999997889668</v>
      </c>
      <c r="I38" s="80">
        <v>5.0019999998469924</v>
      </c>
      <c r="J38" s="80">
        <v>5.0019999998300966</v>
      </c>
      <c r="K38" s="81">
        <v>5.0019999997098115</v>
      </c>
    </row>
    <row r="39" spans="2:11" x14ac:dyDescent="0.25">
      <c r="B39" s="103" t="s">
        <v>75</v>
      </c>
      <c r="C39" s="82">
        <v>5.4624364999996411</v>
      </c>
      <c r="D39" s="82">
        <v>7.7327181997097121</v>
      </c>
      <c r="E39" s="82">
        <v>10.001999999407273</v>
      </c>
      <c r="F39" s="82">
        <v>13.501999999629149</v>
      </c>
      <c r="G39" s="82">
        <v>17.001999999069</v>
      </c>
      <c r="H39" s="82">
        <v>20.501999999534409</v>
      </c>
      <c r="I39" s="82">
        <v>26.00199999939192</v>
      </c>
      <c r="J39" s="82">
        <v>30.201999998990242</v>
      </c>
      <c r="K39" s="83">
        <v>29.959523024340172</v>
      </c>
    </row>
    <row r="40" spans="2:11" x14ac:dyDescent="0.25">
      <c r="B40" s="59" t="s">
        <v>70</v>
      </c>
      <c r="C40" s="80">
        <v>17.390999999999458</v>
      </c>
      <c r="D40" s="80">
        <v>23.695499999963712</v>
      </c>
      <c r="E40" s="80">
        <v>29.999999899940189</v>
      </c>
      <c r="F40" s="80">
        <v>36.749999898383948</v>
      </c>
      <c r="G40" s="80">
        <v>43.499999899842713</v>
      </c>
      <c r="H40" s="80">
        <v>51.02855722519061</v>
      </c>
      <c r="I40" s="80">
        <v>62.999999999670116</v>
      </c>
      <c r="J40" s="80">
        <v>75.599999994747975</v>
      </c>
      <c r="K40" s="81">
        <v>90.7199999998424</v>
      </c>
    </row>
    <row r="41" spans="2:11" x14ac:dyDescent="0.25">
      <c r="B41" s="59" t="s">
        <v>82</v>
      </c>
      <c r="C41" s="80">
        <v>0</v>
      </c>
      <c r="D41" s="80">
        <v>2.1000000000030754</v>
      </c>
      <c r="E41" s="80">
        <v>5.000000002025593</v>
      </c>
      <c r="F41" s="80">
        <v>8.5000000004167937</v>
      </c>
      <c r="G41" s="80">
        <v>12.000000000403542</v>
      </c>
      <c r="H41" s="80">
        <v>15.49999999995711</v>
      </c>
      <c r="I41" s="80">
        <v>19.000000000013038</v>
      </c>
      <c r="J41" s="80">
        <v>19.000000000021437</v>
      </c>
      <c r="K41" s="81">
        <v>19.0000000000014</v>
      </c>
    </row>
    <row r="42" spans="2:11" x14ac:dyDescent="0.25">
      <c r="B42" s="59" t="s">
        <v>81</v>
      </c>
      <c r="C42" s="80">
        <v>0</v>
      </c>
      <c r="D42" s="80">
        <v>0.75</v>
      </c>
      <c r="E42" s="80">
        <v>0.99999999983423016</v>
      </c>
      <c r="F42" s="80">
        <v>1.9374999997842333</v>
      </c>
      <c r="G42" s="80">
        <v>2.8749999997405329</v>
      </c>
      <c r="H42" s="80">
        <v>3.8124999995779314</v>
      </c>
      <c r="I42" s="80">
        <v>4.7500000000099982</v>
      </c>
      <c r="J42" s="80">
        <v>4.7500000000072653</v>
      </c>
      <c r="K42" s="81">
        <v>4.7500000004430056</v>
      </c>
    </row>
    <row r="43" spans="2:11" x14ac:dyDescent="0.25">
      <c r="B43" s="59" t="s">
        <v>37</v>
      </c>
      <c r="C43" s="84">
        <v>25.293000000000003</v>
      </c>
      <c r="D43" s="84">
        <v>25.293000000000003</v>
      </c>
      <c r="E43" s="84">
        <v>25.293000000000003</v>
      </c>
      <c r="F43" s="84">
        <v>25.293000000000003</v>
      </c>
      <c r="G43" s="84">
        <v>25.293000000000003</v>
      </c>
      <c r="H43" s="84">
        <v>25.293000000000003</v>
      </c>
      <c r="I43" s="84">
        <v>25.293000000000003</v>
      </c>
      <c r="J43" s="84">
        <v>25.293000000000003</v>
      </c>
      <c r="K43" s="85">
        <v>25.293000000000003</v>
      </c>
    </row>
    <row r="44" spans="2:11" x14ac:dyDescent="0.25">
      <c r="B44" s="27" t="s">
        <v>35</v>
      </c>
      <c r="C44" s="86">
        <v>2.2576525999999788</v>
      </c>
      <c r="D44" s="86">
        <v>2.4258986000000107</v>
      </c>
      <c r="E44" s="86">
        <v>2.4258986000000107</v>
      </c>
      <c r="F44" s="86">
        <v>2.4258986000000107</v>
      </c>
      <c r="G44" s="86">
        <v>2.4258986000000107</v>
      </c>
      <c r="H44" s="86">
        <v>2.4258986000000107</v>
      </c>
      <c r="I44" s="86">
        <v>2.4258986000000107</v>
      </c>
      <c r="J44" s="86">
        <v>2.4258986000000107</v>
      </c>
      <c r="K44" s="87">
        <v>2.4258986000000107</v>
      </c>
    </row>
    <row r="45" spans="2:11" x14ac:dyDescent="0.25">
      <c r="B45" s="104" t="s">
        <v>36</v>
      </c>
      <c r="C45" s="32">
        <v>55.042652599999236</v>
      </c>
      <c r="D45" s="32">
        <v>77.597116799679526</v>
      </c>
      <c r="E45" s="32">
        <v>93.72089850122623</v>
      </c>
      <c r="F45" s="32">
        <v>117.15839849869434</v>
      </c>
      <c r="G45" s="32">
        <v>140.5958985011651</v>
      </c>
      <c r="H45" s="32">
        <v>164.81195582575614</v>
      </c>
      <c r="I45" s="32">
        <v>206.47089859910375</v>
      </c>
      <c r="J45" s="32">
        <v>236.47089859381981</v>
      </c>
      <c r="K45" s="33">
        <v>266.54842162435921</v>
      </c>
    </row>
    <row r="47" spans="2:11" x14ac:dyDescent="0.25">
      <c r="C47" s="168" t="s">
        <v>77</v>
      </c>
      <c r="D47" s="169"/>
      <c r="E47" s="169"/>
      <c r="F47" s="169"/>
      <c r="G47" s="169"/>
      <c r="H47" s="169"/>
      <c r="I47" s="169"/>
      <c r="J47" s="169"/>
      <c r="K47" s="170"/>
    </row>
    <row r="48" spans="2:11" x14ac:dyDescent="0.25">
      <c r="B48" s="64" t="s">
        <v>78</v>
      </c>
      <c r="C48" s="28">
        <v>2020</v>
      </c>
      <c r="D48" s="29">
        <v>2025</v>
      </c>
      <c r="E48" s="29">
        <v>2030</v>
      </c>
      <c r="F48" s="29">
        <v>2035</v>
      </c>
      <c r="G48" s="29">
        <v>2040</v>
      </c>
      <c r="H48" s="29">
        <v>2045</v>
      </c>
      <c r="I48" s="29">
        <v>2050</v>
      </c>
      <c r="J48" s="29">
        <v>2055</v>
      </c>
      <c r="K48" s="30">
        <v>2060</v>
      </c>
    </row>
    <row r="49" spans="2:11" x14ac:dyDescent="0.25">
      <c r="B49" s="47" t="s">
        <v>83</v>
      </c>
      <c r="C49" s="96">
        <v>575.04849999995008</v>
      </c>
      <c r="D49" s="97">
        <v>730.05810001196494</v>
      </c>
      <c r="E49" s="97">
        <v>4365.54110130961</v>
      </c>
      <c r="F49" s="97">
        <v>6071.031299980521</v>
      </c>
      <c r="G49" s="97">
        <v>5991.3653004104972</v>
      </c>
      <c r="H49" s="97">
        <v>10619.7919818011</v>
      </c>
      <c r="I49" s="97">
        <v>12305.095723197901</v>
      </c>
      <c r="J49" s="97">
        <v>13299.999999898899</v>
      </c>
      <c r="K49" s="98">
        <v>13300</v>
      </c>
    </row>
    <row r="50" spans="2:11" x14ac:dyDescent="0.25">
      <c r="B50" s="59" t="s">
        <v>84</v>
      </c>
      <c r="C50" s="96">
        <v>919.81080000007898</v>
      </c>
      <c r="D50" s="97">
        <v>3785.2476294599487</v>
      </c>
      <c r="E50" s="97">
        <v>5548.9568438997885</v>
      </c>
      <c r="F50" s="97">
        <v>8591.0593373187367</v>
      </c>
      <c r="G50" s="97">
        <v>8304.7093383391548</v>
      </c>
      <c r="H50" s="97">
        <v>7763.24853941936</v>
      </c>
      <c r="I50" s="97">
        <v>12020.931510299499</v>
      </c>
      <c r="J50" s="97">
        <v>13599.9999981979</v>
      </c>
      <c r="K50" s="98">
        <v>13600</v>
      </c>
    </row>
    <row r="51" spans="2:11" x14ac:dyDescent="0.25">
      <c r="B51" s="59" t="s">
        <v>85</v>
      </c>
      <c r="C51" s="96">
        <v>1122.7981000000898</v>
      </c>
      <c r="D51" s="97">
        <v>1210.2275000000889</v>
      </c>
      <c r="E51" s="97">
        <v>1297.6570000001011</v>
      </c>
      <c r="F51" s="97">
        <v>1391.2645000000468</v>
      </c>
      <c r="G51" s="97">
        <v>1484.8721000002661</v>
      </c>
      <c r="H51" s="97">
        <v>1578.4794999998601</v>
      </c>
      <c r="I51" s="97">
        <v>1672.0870999996901</v>
      </c>
      <c r="J51" s="97">
        <v>1672.0870999996901</v>
      </c>
      <c r="K51" s="98">
        <v>1672.0870999996901</v>
      </c>
    </row>
    <row r="52" spans="2:11" x14ac:dyDescent="0.25">
      <c r="B52" s="59" t="s">
        <v>86</v>
      </c>
      <c r="C52" s="96">
        <v>1099.45100000004</v>
      </c>
      <c r="D52" s="97">
        <v>1199.346400006023</v>
      </c>
      <c r="E52" s="97">
        <v>1299.241800000075</v>
      </c>
      <c r="F52" s="97">
        <v>1406.1962001988011</v>
      </c>
      <c r="G52" s="97">
        <v>4044.6244215500637</v>
      </c>
      <c r="H52" s="97">
        <v>3574.6144371403298</v>
      </c>
      <c r="I52" s="97">
        <v>9299.9999999105094</v>
      </c>
      <c r="J52" s="97">
        <v>9299.9999999801803</v>
      </c>
      <c r="K52" s="98">
        <v>9299.9999999801803</v>
      </c>
    </row>
    <row r="53" spans="2:11" x14ac:dyDescent="0.25">
      <c r="B53" s="59" t="s">
        <v>87</v>
      </c>
      <c r="C53" s="96">
        <v>3879.42990000077</v>
      </c>
      <c r="D53" s="97">
        <v>4189.3138007437501</v>
      </c>
      <c r="E53" s="97">
        <v>4043.163805708773</v>
      </c>
      <c r="F53" s="97">
        <v>4130.8158015701101</v>
      </c>
      <c r="G53" s="97">
        <v>4218.4677999998194</v>
      </c>
      <c r="H53" s="97">
        <v>4306.1198000006998</v>
      </c>
      <c r="I53" s="97">
        <v>5235.0550447104897</v>
      </c>
      <c r="J53" s="97">
        <v>6786.2840601204698</v>
      </c>
      <c r="K53" s="98">
        <v>8964.6833550486899</v>
      </c>
    </row>
    <row r="54" spans="2:11" x14ac:dyDescent="0.25">
      <c r="B54" s="59" t="s">
        <v>88</v>
      </c>
      <c r="C54" s="96">
        <v>5067.4034999988498</v>
      </c>
      <c r="D54" s="97">
        <v>5079.9821004433497</v>
      </c>
      <c r="E54" s="97">
        <v>5092.5607018432584</v>
      </c>
      <c r="F54" s="97">
        <v>5106.0282134384997</v>
      </c>
      <c r="G54" s="97">
        <v>7041.5351999785589</v>
      </c>
      <c r="H54" s="97">
        <v>5132.9632005793401</v>
      </c>
      <c r="I54" s="97">
        <v>6099.9999999906695</v>
      </c>
      <c r="J54" s="97">
        <v>6099.99999997951</v>
      </c>
      <c r="K54" s="98">
        <v>6099.99999997951</v>
      </c>
    </row>
    <row r="55" spans="2:11" x14ac:dyDescent="0.25">
      <c r="B55" s="59" t="s">
        <v>89</v>
      </c>
      <c r="C55" s="96">
        <v>108.30500000001899</v>
      </c>
      <c r="D55" s="97">
        <v>143.5303000047233</v>
      </c>
      <c r="E55" s="97">
        <v>178.7557000000175</v>
      </c>
      <c r="F55" s="97">
        <v>216.470099999973</v>
      </c>
      <c r="G55" s="97">
        <v>254.18459999998797</v>
      </c>
      <c r="H55" s="97">
        <v>291.89910000002902</v>
      </c>
      <c r="I55" s="97">
        <v>329.61359999996796</v>
      </c>
      <c r="J55" s="97">
        <v>329.61359999996796</v>
      </c>
      <c r="K55" s="98">
        <v>329.61360005704898</v>
      </c>
    </row>
    <row r="56" spans="2:11" x14ac:dyDescent="0.25">
      <c r="B56" s="59" t="s">
        <v>90</v>
      </c>
      <c r="C56" s="96">
        <v>955.44240000005391</v>
      </c>
      <c r="D56" s="97">
        <v>1049.7831000000333</v>
      </c>
      <c r="E56" s="97">
        <v>1144.123799999898</v>
      </c>
      <c r="F56" s="97">
        <v>1245.130999999833</v>
      </c>
      <c r="G56" s="97">
        <v>1346.1382000000478</v>
      </c>
      <c r="H56" s="97">
        <v>1447.1453000002898</v>
      </c>
      <c r="I56" s="97">
        <v>1548.1524999998701</v>
      </c>
      <c r="J56" s="97">
        <v>1548.1524999998701</v>
      </c>
      <c r="K56" s="98">
        <v>1548.1524999998701</v>
      </c>
    </row>
    <row r="57" spans="2:11" x14ac:dyDescent="0.25">
      <c r="B57" s="59" t="s">
        <v>91</v>
      </c>
      <c r="C57" s="96">
        <v>1211.6209999999398</v>
      </c>
      <c r="D57" s="97">
        <v>1500.182199999964</v>
      </c>
      <c r="E57" s="97">
        <v>1788.7432999998869</v>
      </c>
      <c r="F57" s="97">
        <v>2097.69530000026</v>
      </c>
      <c r="G57" s="97">
        <v>2406.6473000002011</v>
      </c>
      <c r="H57" s="97">
        <v>2715.5993000004901</v>
      </c>
      <c r="I57" s="97">
        <v>3024.5513000003198</v>
      </c>
      <c r="J57" s="97">
        <v>8410.8885297312299</v>
      </c>
      <c r="K57" s="98">
        <v>17940.096527698002</v>
      </c>
    </row>
    <row r="58" spans="2:11" x14ac:dyDescent="0.25">
      <c r="B58" s="59" t="s">
        <v>92</v>
      </c>
      <c r="C58" s="96">
        <v>1289.4013999998899</v>
      </c>
      <c r="D58" s="97">
        <v>3269.6988430000602</v>
      </c>
      <c r="E58" s="97">
        <v>3591.2311206799995</v>
      </c>
      <c r="F58" s="97">
        <v>4737.6718190402116</v>
      </c>
      <c r="G58" s="97">
        <v>6532.8077119509935</v>
      </c>
      <c r="H58" s="97">
        <v>10266.4334687995</v>
      </c>
      <c r="I58" s="97">
        <v>8274.6360307616796</v>
      </c>
      <c r="J58" s="97">
        <v>11100</v>
      </c>
      <c r="K58" s="98">
        <v>11100</v>
      </c>
    </row>
    <row r="59" spans="2:11" x14ac:dyDescent="0.25">
      <c r="B59" s="59" t="s">
        <v>93</v>
      </c>
      <c r="C59" s="96">
        <v>1144.6383999997799</v>
      </c>
      <c r="D59" s="97">
        <v>1257.3830000127889</v>
      </c>
      <c r="E59" s="97">
        <v>1370.1276999997917</v>
      </c>
      <c r="F59" s="97">
        <v>1490.8392999999369</v>
      </c>
      <c r="G59" s="97">
        <v>1611.5509000001059</v>
      </c>
      <c r="H59" s="97">
        <v>1732.2625999995898</v>
      </c>
      <c r="I59" s="97">
        <v>1852.9742002696598</v>
      </c>
      <c r="J59" s="97">
        <v>1852.97420689043</v>
      </c>
      <c r="K59" s="98">
        <v>5265.3669170891699</v>
      </c>
    </row>
    <row r="60" spans="2:11" x14ac:dyDescent="0.25">
      <c r="B60" s="59" t="s">
        <v>94</v>
      </c>
      <c r="C60" s="99">
        <v>17.649999999997</v>
      </c>
      <c r="D60" s="100">
        <v>280.74702628101596</v>
      </c>
      <c r="E60" s="100">
        <v>279.89702649898948</v>
      </c>
      <c r="F60" s="100">
        <v>265.79702683701839</v>
      </c>
      <c r="G60" s="100">
        <v>263.09702761301895</v>
      </c>
      <c r="H60" s="100">
        <v>1599.9999974500299</v>
      </c>
      <c r="I60" s="100">
        <v>1336.9029905298501</v>
      </c>
      <c r="J60" s="100">
        <v>1599.99999994981</v>
      </c>
      <c r="K60" s="101">
        <v>1599.99999999023</v>
      </c>
    </row>
    <row r="61" spans="2:11" x14ac:dyDescent="0.25">
      <c r="B61" s="104" t="s">
        <v>36</v>
      </c>
      <c r="C61" s="100">
        <v>17390.999999999458</v>
      </c>
      <c r="D61" s="100">
        <v>23695.499999963711</v>
      </c>
      <c r="E61" s="100">
        <v>29999.999899940187</v>
      </c>
      <c r="F61" s="100">
        <v>36749.999898383947</v>
      </c>
      <c r="G61" s="100">
        <v>43499.999899842711</v>
      </c>
      <c r="H61" s="100">
        <v>51028.557225190612</v>
      </c>
      <c r="I61" s="100">
        <v>62999.999999670115</v>
      </c>
      <c r="J61" s="100">
        <v>75599.999994747966</v>
      </c>
      <c r="K61" s="101">
        <v>90719.999999842403</v>
      </c>
    </row>
    <row r="63" spans="2:11" x14ac:dyDescent="0.25">
      <c r="C63" s="168" t="s">
        <v>77</v>
      </c>
      <c r="D63" s="169"/>
      <c r="E63" s="169"/>
      <c r="F63" s="169"/>
      <c r="G63" s="169"/>
      <c r="H63" s="169"/>
      <c r="I63" s="169"/>
      <c r="J63" s="169"/>
      <c r="K63" s="170"/>
    </row>
    <row r="64" spans="2:11" x14ac:dyDescent="0.25">
      <c r="B64" s="64" t="s">
        <v>82</v>
      </c>
      <c r="C64" s="28">
        <v>2020</v>
      </c>
      <c r="D64" s="29">
        <v>2025</v>
      </c>
      <c r="E64" s="29">
        <v>2030</v>
      </c>
      <c r="F64" s="29">
        <v>2035</v>
      </c>
      <c r="G64" s="29">
        <v>2040</v>
      </c>
      <c r="H64" s="29">
        <v>2045</v>
      </c>
      <c r="I64" s="29">
        <v>2050</v>
      </c>
      <c r="J64" s="29">
        <v>2055</v>
      </c>
      <c r="K64" s="30">
        <v>2060</v>
      </c>
    </row>
    <row r="65" spans="2:34" x14ac:dyDescent="0.25">
      <c r="B65" s="47" t="s">
        <v>83</v>
      </c>
      <c r="C65" s="96">
        <v>0</v>
      </c>
      <c r="D65" s="97">
        <v>0</v>
      </c>
      <c r="E65" s="97">
        <v>0</v>
      </c>
      <c r="F65" s="97">
        <v>0</v>
      </c>
      <c r="G65" s="97">
        <v>0</v>
      </c>
      <c r="H65" s="97">
        <v>0</v>
      </c>
      <c r="I65" s="97">
        <v>0</v>
      </c>
      <c r="J65" s="97">
        <v>0</v>
      </c>
      <c r="K65" s="98">
        <v>0</v>
      </c>
    </row>
    <row r="66" spans="2:34" x14ac:dyDescent="0.25">
      <c r="B66" s="59" t="s">
        <v>84</v>
      </c>
      <c r="C66" s="96">
        <v>0</v>
      </c>
      <c r="D66" s="97">
        <v>0</v>
      </c>
      <c r="E66" s="97">
        <v>0</v>
      </c>
      <c r="F66" s="97">
        <v>0</v>
      </c>
      <c r="G66" s="97">
        <v>0</v>
      </c>
      <c r="H66" s="97">
        <v>0</v>
      </c>
      <c r="I66" s="97">
        <v>0</v>
      </c>
      <c r="J66" s="97">
        <v>0</v>
      </c>
      <c r="K66" s="98">
        <v>0</v>
      </c>
    </row>
    <row r="67" spans="2:34" x14ac:dyDescent="0.25">
      <c r="B67" s="59" t="s">
        <v>85</v>
      </c>
      <c r="C67" s="96">
        <v>0</v>
      </c>
      <c r="D67" s="97">
        <v>1.6610010000000001E-9</v>
      </c>
      <c r="E67" s="97">
        <v>1.841900094E-6</v>
      </c>
      <c r="F67" s="97">
        <v>5.4418852190000002E-6</v>
      </c>
      <c r="G67" s="97">
        <v>701.24066702300297</v>
      </c>
      <c r="H67" s="97">
        <v>4201.2406637700797</v>
      </c>
      <c r="I67" s="97">
        <v>4600</v>
      </c>
      <c r="J67" s="97">
        <v>4600</v>
      </c>
      <c r="K67" s="98">
        <v>4599.9999999900592</v>
      </c>
    </row>
    <row r="68" spans="2:34" x14ac:dyDescent="0.25">
      <c r="B68" s="59" t="s">
        <v>86</v>
      </c>
      <c r="C68" s="96">
        <v>0</v>
      </c>
      <c r="D68" s="97">
        <v>0</v>
      </c>
      <c r="E68" s="97">
        <v>0</v>
      </c>
      <c r="F68" s="97">
        <v>0</v>
      </c>
      <c r="G68" s="97">
        <v>0</v>
      </c>
      <c r="H68" s="97">
        <v>0</v>
      </c>
      <c r="I68" s="97">
        <v>0</v>
      </c>
      <c r="J68" s="97">
        <v>0</v>
      </c>
      <c r="K68" s="98">
        <v>0</v>
      </c>
    </row>
    <row r="69" spans="2:34" x14ac:dyDescent="0.25">
      <c r="B69" s="59" t="s">
        <v>87</v>
      </c>
      <c r="C69" s="96">
        <v>0</v>
      </c>
      <c r="D69" s="97">
        <v>0</v>
      </c>
      <c r="E69" s="97">
        <v>0</v>
      </c>
      <c r="F69" s="97">
        <v>0</v>
      </c>
      <c r="G69" s="97">
        <v>0</v>
      </c>
      <c r="H69" s="97">
        <v>0</v>
      </c>
      <c r="I69" s="97">
        <v>0</v>
      </c>
      <c r="J69" s="97">
        <v>0</v>
      </c>
      <c r="K69" s="98">
        <v>0</v>
      </c>
    </row>
    <row r="70" spans="2:34" x14ac:dyDescent="0.25">
      <c r="B70" s="59" t="s">
        <v>88</v>
      </c>
      <c r="C70" s="96">
        <v>0</v>
      </c>
      <c r="D70" s="97">
        <v>500</v>
      </c>
      <c r="E70" s="97">
        <v>1699.9999994202199</v>
      </c>
      <c r="F70" s="97">
        <v>1699.9999999402698</v>
      </c>
      <c r="G70" s="97">
        <v>1699.9999999798997</v>
      </c>
      <c r="H70" s="97">
        <v>1700</v>
      </c>
      <c r="I70" s="97">
        <v>1700</v>
      </c>
      <c r="J70" s="97">
        <v>1700</v>
      </c>
      <c r="K70" s="98">
        <v>1699.9999999902598</v>
      </c>
    </row>
    <row r="71" spans="2:34" x14ac:dyDescent="0.25">
      <c r="B71" s="59" t="s">
        <v>89</v>
      </c>
      <c r="C71" s="96">
        <v>0</v>
      </c>
      <c r="D71" s="97">
        <v>0</v>
      </c>
      <c r="E71" s="97">
        <v>0</v>
      </c>
      <c r="F71" s="97">
        <v>0</v>
      </c>
      <c r="G71" s="97">
        <v>0</v>
      </c>
      <c r="H71" s="97">
        <v>0</v>
      </c>
      <c r="I71" s="97">
        <v>0</v>
      </c>
      <c r="J71" s="97">
        <v>0</v>
      </c>
      <c r="K71" s="98">
        <v>0</v>
      </c>
    </row>
    <row r="72" spans="2:34" x14ac:dyDescent="0.25">
      <c r="B72" s="59" t="s">
        <v>90</v>
      </c>
      <c r="C72" s="96">
        <v>0</v>
      </c>
      <c r="D72" s="97">
        <v>1100</v>
      </c>
      <c r="E72" s="97">
        <v>1100.00000016013</v>
      </c>
      <c r="F72" s="97">
        <v>3201.2406615801101</v>
      </c>
      <c r="G72" s="97">
        <v>5999.9999997908999</v>
      </c>
      <c r="H72" s="97">
        <v>5999.99999997954</v>
      </c>
      <c r="I72" s="97">
        <v>6000</v>
      </c>
      <c r="J72" s="97">
        <v>6000</v>
      </c>
      <c r="K72" s="98">
        <v>5999.9999999906395</v>
      </c>
    </row>
    <row r="73" spans="2:34" x14ac:dyDescent="0.25">
      <c r="B73" s="59" t="s">
        <v>91</v>
      </c>
      <c r="C73" s="96">
        <v>0</v>
      </c>
      <c r="D73" s="97">
        <v>500</v>
      </c>
      <c r="E73" s="97">
        <v>500</v>
      </c>
      <c r="F73" s="97">
        <v>500.00000002605401</v>
      </c>
      <c r="G73" s="97">
        <v>500.00000003496598</v>
      </c>
      <c r="H73" s="97">
        <v>500.00000005206397</v>
      </c>
      <c r="I73" s="97">
        <v>2400.0000000198302</v>
      </c>
      <c r="J73" s="97">
        <v>2400.0000000498399</v>
      </c>
      <c r="K73" s="98">
        <v>2400.0000000704199</v>
      </c>
    </row>
    <row r="74" spans="2:34" x14ac:dyDescent="0.25">
      <c r="B74" s="59" t="s">
        <v>92</v>
      </c>
      <c r="C74" s="96">
        <v>0</v>
      </c>
      <c r="D74" s="97">
        <v>0</v>
      </c>
      <c r="E74" s="97">
        <v>8.0588470999999995E-8</v>
      </c>
      <c r="F74" s="97">
        <v>2.0763401299999999E-7</v>
      </c>
      <c r="G74" s="97">
        <v>2.4091660000000002E-7</v>
      </c>
      <c r="H74" s="97">
        <v>3.7807823799999997E-7</v>
      </c>
      <c r="I74" s="97">
        <v>799.99999999511692</v>
      </c>
      <c r="J74" s="97">
        <v>799.99999998888893</v>
      </c>
      <c r="K74" s="98">
        <v>799.99999998888893</v>
      </c>
    </row>
    <row r="75" spans="2:34" x14ac:dyDescent="0.25">
      <c r="B75" s="59" t="s">
        <v>93</v>
      </c>
      <c r="C75" s="96">
        <v>0</v>
      </c>
      <c r="D75" s="97">
        <v>1.414858E-9</v>
      </c>
      <c r="E75" s="97">
        <v>800.00000214691988</v>
      </c>
      <c r="F75" s="97">
        <v>2198.7593336499799</v>
      </c>
      <c r="G75" s="97">
        <v>2198.7593337499598</v>
      </c>
      <c r="H75" s="97">
        <v>2198.7593358304198</v>
      </c>
      <c r="I75" s="97">
        <v>2600</v>
      </c>
      <c r="J75" s="97">
        <v>2599.9999999899101</v>
      </c>
      <c r="K75" s="98">
        <v>2599.9999999802499</v>
      </c>
    </row>
    <row r="76" spans="2:34" x14ac:dyDescent="0.25">
      <c r="B76" s="59" t="s">
        <v>94</v>
      </c>
      <c r="C76" s="99">
        <v>0</v>
      </c>
      <c r="D76" s="100">
        <v>0</v>
      </c>
      <c r="E76" s="100">
        <v>899.99999837583493</v>
      </c>
      <c r="F76" s="100">
        <v>899.99999957086095</v>
      </c>
      <c r="G76" s="100">
        <v>899.99999958389606</v>
      </c>
      <c r="H76" s="100">
        <v>899.99999994692689</v>
      </c>
      <c r="I76" s="100">
        <v>899.99999999808892</v>
      </c>
      <c r="J76" s="100">
        <v>899.99999999279589</v>
      </c>
      <c r="K76" s="101">
        <v>899.99999999088391</v>
      </c>
    </row>
    <row r="77" spans="2:34" x14ac:dyDescent="0.25">
      <c r="B77" s="104" t="s">
        <v>36</v>
      </c>
      <c r="C77" s="100">
        <v>0</v>
      </c>
      <c r="D77" s="100">
        <v>2100.0000000030755</v>
      </c>
      <c r="E77" s="100">
        <v>5000.0000020255929</v>
      </c>
      <c r="F77" s="100">
        <v>8500.0000004167941</v>
      </c>
      <c r="G77" s="100">
        <v>12000.000000403541</v>
      </c>
      <c r="H77" s="100">
        <v>15499.99999995711</v>
      </c>
      <c r="I77" s="100">
        <v>19000.000000013039</v>
      </c>
      <c r="J77" s="100">
        <v>19000.000000021435</v>
      </c>
      <c r="K77" s="101">
        <v>19000.000000001401</v>
      </c>
    </row>
    <row r="78" spans="2:34" x14ac:dyDescent="0.25">
      <c r="AA78" s="9"/>
      <c r="AB78" s="9"/>
      <c r="AC78" s="9"/>
      <c r="AD78" s="9"/>
      <c r="AE78" s="9"/>
      <c r="AF78" s="9"/>
      <c r="AG78" s="9"/>
      <c r="AH78" s="9"/>
    </row>
    <row r="79" spans="2:34" x14ac:dyDescent="0.25">
      <c r="C79" s="165" t="s">
        <v>77</v>
      </c>
      <c r="D79" s="166"/>
      <c r="E79" s="166"/>
      <c r="F79" s="166"/>
      <c r="G79" s="166"/>
      <c r="H79" s="166"/>
      <c r="I79" s="166"/>
      <c r="J79" s="166"/>
      <c r="K79" s="167"/>
    </row>
    <row r="80" spans="2:34" x14ac:dyDescent="0.25">
      <c r="B80" s="60" t="s">
        <v>81</v>
      </c>
      <c r="C80" s="29">
        <v>2020</v>
      </c>
      <c r="D80" s="29">
        <v>2025</v>
      </c>
      <c r="E80" s="29">
        <v>2030</v>
      </c>
      <c r="F80" s="29">
        <v>2035</v>
      </c>
      <c r="G80" s="29">
        <v>2040</v>
      </c>
      <c r="H80" s="29">
        <v>2045</v>
      </c>
      <c r="I80" s="29">
        <v>2050</v>
      </c>
      <c r="J80" s="29">
        <v>2055</v>
      </c>
      <c r="K80" s="30">
        <v>2060</v>
      </c>
    </row>
    <row r="81" spans="2:11" x14ac:dyDescent="0.25">
      <c r="B81" s="59" t="s">
        <v>83</v>
      </c>
      <c r="C81" s="97">
        <v>0</v>
      </c>
      <c r="D81" s="97">
        <v>0</v>
      </c>
      <c r="E81" s="97">
        <v>0</v>
      </c>
      <c r="F81" s="97">
        <v>0</v>
      </c>
      <c r="G81" s="97">
        <v>0</v>
      </c>
      <c r="H81" s="97">
        <v>0</v>
      </c>
      <c r="I81" s="97">
        <v>0</v>
      </c>
      <c r="J81" s="97">
        <v>0</v>
      </c>
      <c r="K81" s="98">
        <v>0</v>
      </c>
    </row>
    <row r="82" spans="2:11" x14ac:dyDescent="0.25">
      <c r="B82" s="59" t="s">
        <v>84</v>
      </c>
      <c r="C82" s="97">
        <v>0</v>
      </c>
      <c r="D82" s="97">
        <v>0</v>
      </c>
      <c r="E82" s="97">
        <v>0</v>
      </c>
      <c r="F82" s="97">
        <v>0</v>
      </c>
      <c r="G82" s="97">
        <v>0</v>
      </c>
      <c r="H82" s="97">
        <v>0</v>
      </c>
      <c r="I82" s="97">
        <v>0</v>
      </c>
      <c r="J82" s="97">
        <v>0</v>
      </c>
      <c r="K82" s="98">
        <v>0</v>
      </c>
    </row>
    <row r="83" spans="2:11" x14ac:dyDescent="0.25">
      <c r="B83" s="59" t="s">
        <v>85</v>
      </c>
      <c r="C83" s="97">
        <v>0</v>
      </c>
      <c r="D83" s="97">
        <v>250</v>
      </c>
      <c r="E83" s="97">
        <v>250.00000014599698</v>
      </c>
      <c r="F83" s="97">
        <v>250.00000019505597</v>
      </c>
      <c r="G83" s="97">
        <v>250.00000023796599</v>
      </c>
      <c r="H83" s="97">
        <v>250.00000037697498</v>
      </c>
      <c r="I83" s="97">
        <v>1312.4999997299199</v>
      </c>
      <c r="J83" s="97">
        <v>1562.4999900199398</v>
      </c>
      <c r="K83" s="98">
        <v>1562.4999901000299</v>
      </c>
    </row>
    <row r="84" spans="2:11" x14ac:dyDescent="0.25">
      <c r="B84" s="59" t="s">
        <v>86</v>
      </c>
      <c r="C84" s="97">
        <v>0</v>
      </c>
      <c r="D84" s="97">
        <v>0</v>
      </c>
      <c r="E84" s="97">
        <v>0</v>
      </c>
      <c r="F84" s="97">
        <v>0</v>
      </c>
      <c r="G84" s="97">
        <v>0</v>
      </c>
      <c r="H84" s="97">
        <v>0</v>
      </c>
      <c r="I84" s="97">
        <v>0</v>
      </c>
      <c r="J84" s="97">
        <v>0</v>
      </c>
      <c r="K84" s="98">
        <v>0</v>
      </c>
    </row>
    <row r="85" spans="2:11" x14ac:dyDescent="0.25">
      <c r="B85" s="59" t="s">
        <v>87</v>
      </c>
      <c r="C85" s="97">
        <v>0</v>
      </c>
      <c r="D85" s="97">
        <v>0</v>
      </c>
      <c r="E85" s="97">
        <v>0</v>
      </c>
      <c r="F85" s="97">
        <v>0</v>
      </c>
      <c r="G85" s="97">
        <v>0</v>
      </c>
      <c r="H85" s="97">
        <v>0</v>
      </c>
      <c r="I85" s="97">
        <v>0</v>
      </c>
      <c r="J85" s="97">
        <v>0</v>
      </c>
      <c r="K85" s="98">
        <v>0</v>
      </c>
    </row>
    <row r="86" spans="2:11" x14ac:dyDescent="0.25">
      <c r="B86" s="59" t="s">
        <v>88</v>
      </c>
      <c r="C86" s="97">
        <v>0</v>
      </c>
      <c r="D86" s="97">
        <v>0</v>
      </c>
      <c r="E86" s="97">
        <v>0</v>
      </c>
      <c r="F86" s="97">
        <v>0</v>
      </c>
      <c r="G86" s="97">
        <v>0</v>
      </c>
      <c r="H86" s="97">
        <v>0</v>
      </c>
      <c r="I86" s="97">
        <v>0</v>
      </c>
      <c r="J86" s="97">
        <v>0</v>
      </c>
      <c r="K86" s="98">
        <v>0</v>
      </c>
    </row>
    <row r="87" spans="2:11" x14ac:dyDescent="0.25">
      <c r="B87" s="59" t="s">
        <v>89</v>
      </c>
      <c r="C87" s="97">
        <v>0</v>
      </c>
      <c r="D87" s="97">
        <v>0</v>
      </c>
      <c r="E87" s="97">
        <v>0</v>
      </c>
      <c r="F87" s="97">
        <v>0</v>
      </c>
      <c r="G87" s="97">
        <v>0</v>
      </c>
      <c r="H87" s="97">
        <v>0</v>
      </c>
      <c r="I87" s="97">
        <v>0</v>
      </c>
      <c r="J87" s="97">
        <v>0</v>
      </c>
      <c r="K87" s="98">
        <v>0</v>
      </c>
    </row>
    <row r="88" spans="2:11" x14ac:dyDescent="0.25">
      <c r="B88" s="59" t="s">
        <v>90</v>
      </c>
      <c r="C88" s="97">
        <v>0</v>
      </c>
      <c r="D88" s="97">
        <v>0</v>
      </c>
      <c r="E88" s="97">
        <v>1.5863448999999999E-7</v>
      </c>
      <c r="F88" s="97">
        <v>1.6800444269999999E-6</v>
      </c>
      <c r="G88" s="97">
        <v>937.50000159906801</v>
      </c>
      <c r="H88" s="97">
        <v>1874.9999993596898</v>
      </c>
      <c r="I88" s="97">
        <v>1999.9999998803598</v>
      </c>
      <c r="J88" s="97">
        <v>1999.9999999603599</v>
      </c>
      <c r="K88" s="98">
        <v>1999.9999995496598</v>
      </c>
    </row>
    <row r="89" spans="2:11" x14ac:dyDescent="0.25">
      <c r="B89" s="59" t="s">
        <v>91</v>
      </c>
      <c r="C89" s="97">
        <v>0</v>
      </c>
      <c r="D89" s="97">
        <v>0</v>
      </c>
      <c r="E89" s="97">
        <v>9.2664379999999991E-9</v>
      </c>
      <c r="F89" s="97">
        <v>1.3566127E-8</v>
      </c>
      <c r="G89" s="97">
        <v>1.5706799999999999E-8</v>
      </c>
      <c r="H89" s="97">
        <v>1.7856193E-8</v>
      </c>
      <c r="I89" s="97">
        <v>1.7588241999999999E-8</v>
      </c>
      <c r="J89" s="97">
        <v>1.7940419999999999E-8</v>
      </c>
      <c r="K89" s="98">
        <v>2.3464476E-8</v>
      </c>
    </row>
    <row r="90" spans="2:11" x14ac:dyDescent="0.25">
      <c r="B90" s="59" t="s">
        <v>92</v>
      </c>
      <c r="C90" s="97">
        <v>0</v>
      </c>
      <c r="D90" s="97">
        <v>250</v>
      </c>
      <c r="E90" s="97">
        <v>499.99999949100697</v>
      </c>
      <c r="F90" s="97">
        <v>1437.4999978300098</v>
      </c>
      <c r="G90" s="97">
        <v>1437.49999780999</v>
      </c>
      <c r="H90" s="97">
        <v>1437.4999997200998</v>
      </c>
      <c r="I90" s="97">
        <v>1187.5000003201899</v>
      </c>
      <c r="J90" s="97">
        <v>937.50000994912796</v>
      </c>
      <c r="K90" s="98">
        <v>937.50001068990196</v>
      </c>
    </row>
    <row r="91" spans="2:11" x14ac:dyDescent="0.25">
      <c r="B91" s="59" t="s">
        <v>93</v>
      </c>
      <c r="C91" s="97">
        <v>0</v>
      </c>
      <c r="D91" s="97">
        <v>0</v>
      </c>
      <c r="E91" s="97">
        <v>2.9325271999999997E-8</v>
      </c>
      <c r="F91" s="97">
        <v>4.3615973999999997E-8</v>
      </c>
      <c r="G91" s="97">
        <v>4.9821395999999994E-8</v>
      </c>
      <c r="H91" s="97">
        <v>5.7263421999999997E-8</v>
      </c>
      <c r="I91" s="97">
        <v>6.1939995999999996E-8</v>
      </c>
      <c r="J91" s="97">
        <v>5.9897137999999995E-8</v>
      </c>
      <c r="K91" s="98">
        <v>7.9949640000000002E-8</v>
      </c>
    </row>
    <row r="92" spans="2:11" x14ac:dyDescent="0.25">
      <c r="B92" s="59" t="s">
        <v>94</v>
      </c>
      <c r="C92" s="100">
        <v>0</v>
      </c>
      <c r="D92" s="100">
        <v>250</v>
      </c>
      <c r="E92" s="100">
        <v>250</v>
      </c>
      <c r="F92" s="100">
        <v>250.00000002194099</v>
      </c>
      <c r="G92" s="100">
        <v>250.000000027981</v>
      </c>
      <c r="H92" s="100">
        <v>250.00000004604698</v>
      </c>
      <c r="I92" s="100">
        <v>250</v>
      </c>
      <c r="J92" s="100">
        <v>250</v>
      </c>
      <c r="K92" s="101">
        <v>250</v>
      </c>
    </row>
    <row r="93" spans="2:11" x14ac:dyDescent="0.25">
      <c r="B93" s="104" t="s">
        <v>36</v>
      </c>
      <c r="C93" s="100">
        <v>0</v>
      </c>
      <c r="D93" s="100">
        <v>750</v>
      </c>
      <c r="E93" s="100">
        <v>999.99999983423015</v>
      </c>
      <c r="F93" s="100">
        <v>1937.4999997842333</v>
      </c>
      <c r="G93" s="100">
        <v>2874.999999740533</v>
      </c>
      <c r="H93" s="100">
        <v>3812.4999995779312</v>
      </c>
      <c r="I93" s="100">
        <v>4750.0000000099981</v>
      </c>
      <c r="J93" s="100">
        <v>4750.000000007265</v>
      </c>
      <c r="K93" s="101">
        <v>4750.0000004430058</v>
      </c>
    </row>
    <row r="95" spans="2:11" x14ac:dyDescent="0.25">
      <c r="C95" s="165" t="s">
        <v>77</v>
      </c>
      <c r="D95" s="166"/>
      <c r="E95" s="166"/>
      <c r="F95" s="166"/>
      <c r="G95" s="166"/>
      <c r="H95" s="166"/>
      <c r="I95" s="166"/>
      <c r="J95" s="166"/>
      <c r="K95" s="167"/>
    </row>
    <row r="96" spans="2:11" x14ac:dyDescent="0.25">
      <c r="B96" s="60" t="s">
        <v>79</v>
      </c>
      <c r="C96" s="29">
        <v>2020</v>
      </c>
      <c r="D96" s="29">
        <v>2025</v>
      </c>
      <c r="E96" s="29">
        <v>2030</v>
      </c>
      <c r="F96" s="29">
        <v>2035</v>
      </c>
      <c r="G96" s="29">
        <v>2040</v>
      </c>
      <c r="H96" s="29">
        <v>2045</v>
      </c>
      <c r="I96" s="29">
        <v>2050</v>
      </c>
      <c r="J96" s="29">
        <v>2055</v>
      </c>
      <c r="K96" s="30">
        <v>2060</v>
      </c>
    </row>
    <row r="97" spans="2:11" x14ac:dyDescent="0.25">
      <c r="B97" s="59" t="s">
        <v>83</v>
      </c>
      <c r="C97" s="97">
        <v>526.23599999998601</v>
      </c>
      <c r="D97" s="97">
        <v>3810.4620096497597</v>
      </c>
      <c r="E97" s="97">
        <v>5399.5569840694698</v>
      </c>
      <c r="F97" s="97">
        <v>5918.0452004895697</v>
      </c>
      <c r="G97" s="97">
        <v>10794.035801301299</v>
      </c>
      <c r="H97" s="97">
        <v>12168.7320480986</v>
      </c>
      <c r="I97" s="97">
        <v>8884.5060373000597</v>
      </c>
      <c r="J97" s="97">
        <v>7295.4110627009695</v>
      </c>
      <c r="K97" s="98">
        <v>7295.4110604301004</v>
      </c>
    </row>
    <row r="98" spans="2:11" x14ac:dyDescent="0.25">
      <c r="B98" s="59" t="s">
        <v>84</v>
      </c>
      <c r="C98" s="97">
        <v>144.86270000001099</v>
      </c>
      <c r="D98" s="97">
        <v>322.05850348296497</v>
      </c>
      <c r="E98" s="97">
        <v>1910.26100824019</v>
      </c>
      <c r="F98" s="97">
        <v>6255.24086853071</v>
      </c>
      <c r="G98" s="97">
        <v>7277.6761385888794</v>
      </c>
      <c r="H98" s="97">
        <v>7399.9999991893501</v>
      </c>
      <c r="I98" s="97">
        <v>7222.8041972593601</v>
      </c>
      <c r="J98" s="97">
        <v>7222.8041905517503</v>
      </c>
      <c r="K98" s="98">
        <v>7222.8041898687597</v>
      </c>
    </row>
    <row r="99" spans="2:11" x14ac:dyDescent="0.25">
      <c r="B99" s="59" t="s">
        <v>85</v>
      </c>
      <c r="C99" s="97">
        <v>116.28440000000299</v>
      </c>
      <c r="D99" s="97">
        <v>269.75460002598498</v>
      </c>
      <c r="E99" s="97">
        <v>331.35870043899598</v>
      </c>
      <c r="F99" s="97">
        <v>2467.1747375302598</v>
      </c>
      <c r="G99" s="97">
        <v>4599.74571330041</v>
      </c>
      <c r="H99" s="97">
        <v>4915.0572802998504</v>
      </c>
      <c r="I99" s="97">
        <v>4761.5870819806896</v>
      </c>
      <c r="J99" s="97">
        <v>6399.9999972709593</v>
      </c>
      <c r="K99" s="98">
        <v>6399.9999989793996</v>
      </c>
    </row>
    <row r="100" spans="2:11" x14ac:dyDescent="0.25">
      <c r="B100" s="59" t="s">
        <v>86</v>
      </c>
      <c r="C100" s="97">
        <v>157.67369999999698</v>
      </c>
      <c r="D100" s="97">
        <v>310.13310001794702</v>
      </c>
      <c r="E100" s="97">
        <v>371.33139999207094</v>
      </c>
      <c r="F100" s="97">
        <v>493.03250004689698</v>
      </c>
      <c r="G100" s="97">
        <v>614.73370005097308</v>
      </c>
      <c r="H100" s="97">
        <v>736.43490005098295</v>
      </c>
      <c r="I100" s="97">
        <v>583.97550066902102</v>
      </c>
      <c r="J100" s="97">
        <v>522.777203382945</v>
      </c>
      <c r="K100" s="98">
        <v>522.777211764914</v>
      </c>
    </row>
    <row r="101" spans="2:11" x14ac:dyDescent="0.25">
      <c r="B101" s="59" t="s">
        <v>87</v>
      </c>
      <c r="C101" s="97">
        <v>267.55260000004</v>
      </c>
      <c r="D101" s="97">
        <v>436.86710002891198</v>
      </c>
      <c r="E101" s="97">
        <v>504.831200161955</v>
      </c>
      <c r="F101" s="97">
        <v>639.98710003993904</v>
      </c>
      <c r="G101" s="97">
        <v>775.14290415796597</v>
      </c>
      <c r="H101" s="97">
        <v>1491.5690566301</v>
      </c>
      <c r="I101" s="97">
        <v>1322.2545591400999</v>
      </c>
      <c r="J101" s="97">
        <v>7199.9999989587996</v>
      </c>
      <c r="K101" s="98">
        <v>7199.9999986808389</v>
      </c>
    </row>
    <row r="102" spans="2:11" x14ac:dyDescent="0.25">
      <c r="B102" s="59" t="s">
        <v>88</v>
      </c>
      <c r="C102" s="97">
        <v>80.807799999992298</v>
      </c>
      <c r="D102" s="97">
        <v>369.02848662393097</v>
      </c>
      <c r="E102" s="97">
        <v>1001.82730387994</v>
      </c>
      <c r="F102" s="97">
        <v>1001.8273044098599</v>
      </c>
      <c r="G102" s="97">
        <v>1001.8273047599899</v>
      </c>
      <c r="H102" s="97">
        <v>921.01957978210191</v>
      </c>
      <c r="I102" s="97">
        <v>632.79889975795993</v>
      </c>
      <c r="J102" s="97">
        <v>2017.6168346702098</v>
      </c>
      <c r="K102" s="98">
        <v>4999.9999991702989</v>
      </c>
    </row>
    <row r="103" spans="2:11" x14ac:dyDescent="0.25">
      <c r="B103" s="59" t="s">
        <v>89</v>
      </c>
      <c r="C103" s="97">
        <v>60.605800000007797</v>
      </c>
      <c r="D103" s="97">
        <v>132.39610002797698</v>
      </c>
      <c r="E103" s="97">
        <v>161.21320158298201</v>
      </c>
      <c r="F103" s="97">
        <v>218.52000186896498</v>
      </c>
      <c r="G103" s="97">
        <v>275.82684483596699</v>
      </c>
      <c r="H103" s="97">
        <v>2999.9999989603998</v>
      </c>
      <c r="I103" s="97">
        <v>2928.20969992032</v>
      </c>
      <c r="J103" s="97">
        <v>2999.9999971799502</v>
      </c>
      <c r="K103" s="98">
        <v>2999.9999971603597</v>
      </c>
    </row>
    <row r="104" spans="2:11" x14ac:dyDescent="0.25">
      <c r="B104" s="59" t="s">
        <v>90</v>
      </c>
      <c r="C104" s="97">
        <v>87.706000000005005</v>
      </c>
      <c r="D104" s="97">
        <v>153.949700013018</v>
      </c>
      <c r="E104" s="97">
        <v>180.54040000301998</v>
      </c>
      <c r="F104" s="97">
        <v>233.41959998995301</v>
      </c>
      <c r="G104" s="97">
        <v>286.29879995500301</v>
      </c>
      <c r="H104" s="97">
        <v>339.17799999502802</v>
      </c>
      <c r="I104" s="97">
        <v>392.05719971098097</v>
      </c>
      <c r="J104" s="97">
        <v>392.05719957404699</v>
      </c>
      <c r="K104" s="98">
        <v>2799.9999991396999</v>
      </c>
    </row>
    <row r="105" spans="2:11" x14ac:dyDescent="0.25">
      <c r="B105" s="59" t="s">
        <v>91</v>
      </c>
      <c r="C105" s="97">
        <v>1272.7225000001099</v>
      </c>
      <c r="D105" s="97">
        <v>1593.3364000399099</v>
      </c>
      <c r="E105" s="97">
        <v>1722.03310040009</v>
      </c>
      <c r="F105" s="97">
        <v>1977.9642000198498</v>
      </c>
      <c r="G105" s="97">
        <v>2233.8952004201496</v>
      </c>
      <c r="H105" s="97">
        <v>2489.8262002296096</v>
      </c>
      <c r="I105" s="97">
        <v>2169.2123005202898</v>
      </c>
      <c r="J105" s="97">
        <v>2040.5156007896899</v>
      </c>
      <c r="K105" s="98">
        <v>8830.3604477704503</v>
      </c>
    </row>
    <row r="106" spans="2:11" x14ac:dyDescent="0.25">
      <c r="B106" s="59" t="s">
        <v>92</v>
      </c>
      <c r="C106" s="97">
        <v>991.86620000004393</v>
      </c>
      <c r="D106" s="97">
        <v>1407.2641005797</v>
      </c>
      <c r="E106" s="97">
        <v>1574.0079009901099</v>
      </c>
      <c r="F106" s="97">
        <v>2605.7205851002695</v>
      </c>
      <c r="G106" s="97">
        <v>2605.7205892202601</v>
      </c>
      <c r="H106" s="97">
        <v>2568.7859029803799</v>
      </c>
      <c r="I106" s="97">
        <v>4153.8080264297496</v>
      </c>
      <c r="J106" s="97">
        <v>3987.0642270194894</v>
      </c>
      <c r="K106" s="98">
        <v>6564.24336825104</v>
      </c>
    </row>
    <row r="107" spans="2:11" x14ac:dyDescent="0.25">
      <c r="B107" s="59" t="s">
        <v>93</v>
      </c>
      <c r="C107" s="97">
        <v>274.45080000002099</v>
      </c>
      <c r="D107" s="97">
        <v>394.74990002592097</v>
      </c>
      <c r="E107" s="97">
        <v>443.03880004304597</v>
      </c>
      <c r="F107" s="97">
        <v>539.06790137103997</v>
      </c>
      <c r="G107" s="97">
        <v>635.09700373400403</v>
      </c>
      <c r="H107" s="97">
        <v>3819.3970302901998</v>
      </c>
      <c r="I107" s="97">
        <v>3699.0979310796197</v>
      </c>
      <c r="J107" s="97">
        <v>4757.3499174892995</v>
      </c>
      <c r="K107" s="98">
        <v>5199.9999493407695</v>
      </c>
    </row>
    <row r="108" spans="2:11" x14ac:dyDescent="0.25">
      <c r="B108" s="59" t="s">
        <v>94</v>
      </c>
      <c r="C108" s="100">
        <v>657.79499999994187</v>
      </c>
      <c r="D108" s="100">
        <v>6399.999999440759</v>
      </c>
      <c r="E108" s="100">
        <v>6399.9999996891693</v>
      </c>
      <c r="F108" s="100">
        <v>6399.9999997909299</v>
      </c>
      <c r="G108" s="100">
        <v>6399.9999997992691</v>
      </c>
      <c r="H108" s="100">
        <v>5742.2050001099697</v>
      </c>
      <c r="I108" s="100">
        <v>7.1494953299999993E-7</v>
      </c>
      <c r="J108" s="100">
        <v>4.6818269499999998E-7</v>
      </c>
      <c r="K108" s="101">
        <v>4.0163426199999998E-7</v>
      </c>
    </row>
    <row r="109" spans="2:11" x14ac:dyDescent="0.25">
      <c r="B109" s="104" t="s">
        <v>36</v>
      </c>
      <c r="C109" s="100">
        <v>4638.5635000001585</v>
      </c>
      <c r="D109" s="100">
        <v>15599.999999956784</v>
      </c>
      <c r="E109" s="100">
        <v>19999.999999491039</v>
      </c>
      <c r="F109" s="100">
        <v>28749.999999188243</v>
      </c>
      <c r="G109" s="100">
        <v>37500.000000124164</v>
      </c>
      <c r="H109" s="100">
        <v>45592.204996616572</v>
      </c>
      <c r="I109" s="100">
        <v>36750.311434483097</v>
      </c>
      <c r="J109" s="100">
        <v>44835.596230056297</v>
      </c>
      <c r="K109" s="101">
        <v>60035.596220958265</v>
      </c>
    </row>
    <row r="111" spans="2:11" x14ac:dyDescent="0.25">
      <c r="C111" s="165" t="s">
        <v>77</v>
      </c>
      <c r="D111" s="166"/>
      <c r="E111" s="166"/>
      <c r="F111" s="166"/>
      <c r="G111" s="166"/>
      <c r="H111" s="166"/>
      <c r="I111" s="166"/>
      <c r="J111" s="166"/>
      <c r="K111" s="167"/>
    </row>
    <row r="112" spans="2:11" x14ac:dyDescent="0.25">
      <c r="B112" s="60" t="s">
        <v>80</v>
      </c>
      <c r="C112" s="28">
        <v>2020</v>
      </c>
      <c r="D112" s="29">
        <v>2025</v>
      </c>
      <c r="E112" s="29">
        <v>2030</v>
      </c>
      <c r="F112" s="29">
        <v>2035</v>
      </c>
      <c r="G112" s="29">
        <v>2040</v>
      </c>
      <c r="H112" s="29">
        <v>2045</v>
      </c>
      <c r="I112" s="29">
        <v>2050</v>
      </c>
      <c r="J112" s="29">
        <v>2055</v>
      </c>
      <c r="K112" s="30">
        <v>2060</v>
      </c>
    </row>
    <row r="113" spans="2:11" x14ac:dyDescent="0.25">
      <c r="B113" s="47" t="s">
        <v>83</v>
      </c>
      <c r="C113" s="96">
        <v>0</v>
      </c>
      <c r="D113" s="97">
        <v>4.3118479999999995E-9</v>
      </c>
      <c r="E113" s="97">
        <v>4.8972336999999995E-8</v>
      </c>
      <c r="F113" s="97">
        <v>1.3716075699999999E-7</v>
      </c>
      <c r="G113" s="97">
        <v>2.3032829199999997E-7</v>
      </c>
      <c r="H113" s="97">
        <v>8.1206029299999998E-7</v>
      </c>
      <c r="I113" s="97">
        <v>3315.4939626603596</v>
      </c>
      <c r="J113" s="97">
        <v>4904.5889372400698</v>
      </c>
      <c r="K113" s="98">
        <v>4904.5889395498598</v>
      </c>
    </row>
    <row r="114" spans="2:11" x14ac:dyDescent="0.25">
      <c r="B114" s="59" t="s">
        <v>84</v>
      </c>
      <c r="C114" s="96">
        <v>0</v>
      </c>
      <c r="D114" s="97">
        <v>3.290794E-9</v>
      </c>
      <c r="E114" s="97">
        <v>4.3747396999999999E-8</v>
      </c>
      <c r="F114" s="97">
        <v>1.0902671599999999E-7</v>
      </c>
      <c r="G114" s="97">
        <v>1.69335592E-7</v>
      </c>
      <c r="H114" s="97">
        <v>3.3922222999999998E-7</v>
      </c>
      <c r="I114" s="97">
        <v>177.19580267796599</v>
      </c>
      <c r="J114" s="97">
        <v>177.19580938296397</v>
      </c>
      <c r="K114" s="98">
        <v>177.195810117001</v>
      </c>
    </row>
    <row r="115" spans="2:11" x14ac:dyDescent="0.25">
      <c r="B115" s="59" t="s">
        <v>85</v>
      </c>
      <c r="C115" s="96">
        <v>0</v>
      </c>
      <c r="D115" s="97">
        <v>2.9079800000000001E-9</v>
      </c>
      <c r="E115" s="97">
        <v>3.6006402000000001E-8</v>
      </c>
      <c r="F115" s="97">
        <v>7.9114065999999991E-8</v>
      </c>
      <c r="G115" s="97">
        <v>1.1626651499999999E-7</v>
      </c>
      <c r="H115" s="97">
        <v>1.90371058E-7</v>
      </c>
      <c r="I115" s="97">
        <v>3.7974079700000002E-7</v>
      </c>
      <c r="J115" s="97">
        <v>6.6104851399999991E-7</v>
      </c>
      <c r="K115" s="98">
        <v>9.995355169999999E-7</v>
      </c>
    </row>
    <row r="116" spans="2:11" x14ac:dyDescent="0.25">
      <c r="B116" s="59" t="s">
        <v>86</v>
      </c>
      <c r="C116" s="96">
        <v>0</v>
      </c>
      <c r="D116" s="97">
        <v>3.2961969999999997E-9</v>
      </c>
      <c r="E116" s="97">
        <v>4.5220545999999999E-8</v>
      </c>
      <c r="F116" s="97">
        <v>1.1541562800000001E-7</v>
      </c>
      <c r="G116" s="97">
        <v>1.8383733999999997E-7</v>
      </c>
      <c r="H116" s="97">
        <v>4.1467983599999999E-7</v>
      </c>
      <c r="I116" s="97">
        <v>3787.3592485300996</v>
      </c>
      <c r="J116" s="97">
        <v>5877.2227873895999</v>
      </c>
      <c r="K116" s="98">
        <v>5877.2227882091993</v>
      </c>
    </row>
    <row r="117" spans="2:11" x14ac:dyDescent="0.25">
      <c r="B117" s="59" t="s">
        <v>87</v>
      </c>
      <c r="C117" s="96">
        <v>0</v>
      </c>
      <c r="D117" s="97">
        <v>2.988969E-9</v>
      </c>
      <c r="E117" s="97">
        <v>3.7060423999999998E-8</v>
      </c>
      <c r="F117" s="97">
        <v>8.2617041999999998E-8</v>
      </c>
      <c r="G117" s="97">
        <v>1.2283709499999998E-7</v>
      </c>
      <c r="H117" s="97">
        <v>2.061426E-7</v>
      </c>
      <c r="I117" s="97">
        <v>4.7073873099999999E-7</v>
      </c>
      <c r="J117" s="97">
        <v>8.6769051199999996E-7</v>
      </c>
      <c r="K117" s="98">
        <v>1.307458086E-6</v>
      </c>
    </row>
    <row r="118" spans="2:11" x14ac:dyDescent="0.25">
      <c r="B118" s="59" t="s">
        <v>88</v>
      </c>
      <c r="C118" s="96">
        <v>0</v>
      </c>
      <c r="D118" s="97">
        <v>2.9648500000000002E-9</v>
      </c>
      <c r="E118" s="97">
        <v>3.5482075999999997E-8</v>
      </c>
      <c r="F118" s="97">
        <v>6.8755368999999998E-8</v>
      </c>
      <c r="G118" s="97">
        <v>9.7821378999999998E-8</v>
      </c>
      <c r="H118" s="97">
        <v>1.58930282E-7</v>
      </c>
      <c r="I118" s="97">
        <v>3.0673660699999998E-7</v>
      </c>
      <c r="J118" s="97">
        <v>5.16685709E-7</v>
      </c>
      <c r="K118" s="98">
        <v>8.0883859499999991E-7</v>
      </c>
    </row>
    <row r="119" spans="2:11" x14ac:dyDescent="0.25">
      <c r="B119" s="59" t="s">
        <v>89</v>
      </c>
      <c r="C119" s="96">
        <v>0</v>
      </c>
      <c r="D119" s="97">
        <v>3.1297339999999997E-9</v>
      </c>
      <c r="E119" s="97">
        <v>4.0855296999999996E-8</v>
      </c>
      <c r="F119" s="97">
        <v>9.5967330999999998E-8</v>
      </c>
      <c r="G119" s="97">
        <v>1.4726439999999998E-7</v>
      </c>
      <c r="H119" s="97">
        <v>2.7521485899999998E-7</v>
      </c>
      <c r="I119" s="97">
        <v>9.3464725800000003E-7</v>
      </c>
      <c r="J119" s="97">
        <v>2.1628249899999997E-6</v>
      </c>
      <c r="K119" s="98">
        <v>2.8200512440000001E-6</v>
      </c>
    </row>
    <row r="120" spans="2:11" x14ac:dyDescent="0.25">
      <c r="B120" s="59" t="s">
        <v>90</v>
      </c>
      <c r="C120" s="96">
        <v>0</v>
      </c>
      <c r="D120" s="97">
        <v>2.8453440000000001E-9</v>
      </c>
      <c r="E120" s="97">
        <v>3.4086125000000002E-8</v>
      </c>
      <c r="F120" s="97">
        <v>7.313346499999999E-8</v>
      </c>
      <c r="G120" s="97">
        <v>1.06469572E-7</v>
      </c>
      <c r="H120" s="97">
        <v>1.6931220699999998E-7</v>
      </c>
      <c r="I120" s="97">
        <v>3.2964446699999998E-7</v>
      </c>
      <c r="J120" s="97">
        <v>5.5065796199999995E-7</v>
      </c>
      <c r="K120" s="98">
        <v>8.3874359999999999E-7</v>
      </c>
    </row>
    <row r="121" spans="2:11" x14ac:dyDescent="0.25">
      <c r="B121" s="59" t="s">
        <v>91</v>
      </c>
      <c r="C121" s="96">
        <v>0</v>
      </c>
      <c r="D121" s="97">
        <v>3.9135719999999996E-9</v>
      </c>
      <c r="E121" s="97">
        <v>4.8035507999999996E-8</v>
      </c>
      <c r="F121" s="97">
        <v>1.32876174E-7</v>
      </c>
      <c r="G121" s="97">
        <v>2.1934954099999999E-7</v>
      </c>
      <c r="H121" s="97">
        <v>6.0909443500000006E-7</v>
      </c>
      <c r="I121" s="97">
        <v>5569.6395457093795</v>
      </c>
      <c r="J121" s="97">
        <v>5569.6395511701603</v>
      </c>
      <c r="K121" s="98">
        <v>5569.6395521989798</v>
      </c>
    </row>
    <row r="122" spans="2:11" x14ac:dyDescent="0.25">
      <c r="B122" s="59" t="s">
        <v>92</v>
      </c>
      <c r="C122" s="96">
        <v>0</v>
      </c>
      <c r="D122" s="97">
        <v>7.9303559999999999E-9</v>
      </c>
      <c r="E122" s="97">
        <v>5.5390468999999996E-8</v>
      </c>
      <c r="F122" s="97">
        <v>1.4292431999999999E-7</v>
      </c>
      <c r="G122" s="97">
        <v>2.2688751999999999E-7</v>
      </c>
      <c r="H122" s="97">
        <v>1.5177216719999999E-6</v>
      </c>
      <c r="I122" s="97">
        <v>10000.000000299</v>
      </c>
      <c r="J122" s="97">
        <v>11435.756630599501</v>
      </c>
      <c r="K122" s="98">
        <v>11435.756631701201</v>
      </c>
    </row>
    <row r="123" spans="2:11" x14ac:dyDescent="0.25">
      <c r="B123" s="59" t="s">
        <v>93</v>
      </c>
      <c r="C123" s="96">
        <v>0</v>
      </c>
      <c r="D123" s="97">
        <v>3.294013E-9</v>
      </c>
      <c r="E123" s="97">
        <v>4.4869835999999998E-8</v>
      </c>
      <c r="F123" s="97">
        <v>1.1221484099999999E-7</v>
      </c>
      <c r="G123" s="97">
        <v>1.7619093799999998E-7</v>
      </c>
      <c r="H123" s="97">
        <v>3.6470233599999998E-7</v>
      </c>
      <c r="I123" s="97">
        <v>3.9673819130000003E-6</v>
      </c>
      <c r="J123" s="97">
        <v>4.9934328679999999E-5</v>
      </c>
      <c r="K123" s="98">
        <v>5.0632904793000003E-5</v>
      </c>
    </row>
    <row r="124" spans="2:11" x14ac:dyDescent="0.25">
      <c r="B124" s="59" t="s">
        <v>94</v>
      </c>
      <c r="C124" s="99">
        <v>0</v>
      </c>
      <c r="D124" s="100">
        <v>5.3682820000000002E-9</v>
      </c>
      <c r="E124" s="100">
        <v>5.8159326999999993E-8</v>
      </c>
      <c r="F124" s="100">
        <v>1.4275733299999998E-7</v>
      </c>
      <c r="G124" s="100">
        <v>1.88544124E-7</v>
      </c>
      <c r="H124" s="100">
        <v>657.79499982203799</v>
      </c>
      <c r="I124" s="100">
        <v>6399.9999992698495</v>
      </c>
      <c r="J124" s="100">
        <v>6399.9999995210401</v>
      </c>
      <c r="K124" s="101">
        <v>6399.9999995901999</v>
      </c>
    </row>
    <row r="125" spans="2:11" x14ac:dyDescent="0.25">
      <c r="B125" s="104" t="s">
        <v>36</v>
      </c>
      <c r="C125" s="100">
        <v>0</v>
      </c>
      <c r="D125" s="100">
        <v>4.6241939000000002E-8</v>
      </c>
      <c r="E125" s="100">
        <v>5.2788574399999991E-7</v>
      </c>
      <c r="F125" s="100">
        <v>1.2919630420000001E-6</v>
      </c>
      <c r="G125" s="100">
        <v>1.9851323079999997E-6</v>
      </c>
      <c r="H125" s="100">
        <v>657.79500487948985</v>
      </c>
      <c r="I125" s="100">
        <v>29249.688565535547</v>
      </c>
      <c r="J125" s="100">
        <v>34364.40376999657</v>
      </c>
      <c r="K125" s="101">
        <v>34364.403778773973</v>
      </c>
    </row>
    <row r="127" spans="2:11" x14ac:dyDescent="0.25">
      <c r="C127" s="165" t="s">
        <v>77</v>
      </c>
      <c r="D127" s="166"/>
      <c r="E127" s="166"/>
      <c r="F127" s="166"/>
      <c r="G127" s="166"/>
      <c r="H127" s="166"/>
      <c r="I127" s="166"/>
      <c r="J127" s="166"/>
      <c r="K127" s="167"/>
    </row>
    <row r="128" spans="2:11" x14ac:dyDescent="0.25">
      <c r="B128" s="60" t="s">
        <v>54</v>
      </c>
      <c r="C128" s="29">
        <v>2020</v>
      </c>
      <c r="D128" s="29">
        <v>2025</v>
      </c>
      <c r="E128" s="29">
        <v>2030</v>
      </c>
      <c r="F128" s="29">
        <v>2035</v>
      </c>
      <c r="G128" s="29">
        <v>2040</v>
      </c>
      <c r="H128" s="29">
        <v>2045</v>
      </c>
      <c r="I128" s="29">
        <v>2050</v>
      </c>
      <c r="J128" s="29">
        <v>2055</v>
      </c>
      <c r="K128" s="30">
        <v>2060</v>
      </c>
    </row>
    <row r="129" spans="2:11" x14ac:dyDescent="0.25">
      <c r="B129" s="59" t="s">
        <v>83</v>
      </c>
      <c r="C129" s="97">
        <v>436.39399999995197</v>
      </c>
      <c r="D129" s="97">
        <v>487.11620000003995</v>
      </c>
      <c r="E129" s="97">
        <v>537.838299999951</v>
      </c>
      <c r="F129" s="97">
        <v>605.00609999995095</v>
      </c>
      <c r="G129" s="97">
        <v>1356.1821985598899</v>
      </c>
      <c r="H129" s="97">
        <v>3656.3467995196497</v>
      </c>
      <c r="I129" s="97">
        <v>7956.51129931987</v>
      </c>
      <c r="J129" s="97">
        <v>11981.2021164</v>
      </c>
      <c r="K129" s="98">
        <v>11914.034318100699</v>
      </c>
    </row>
    <row r="130" spans="2:11" x14ac:dyDescent="0.25">
      <c r="B130" s="59" t="s">
        <v>84</v>
      </c>
      <c r="C130" s="97">
        <v>120.13089999998999</v>
      </c>
      <c r="D130" s="97">
        <v>146.53010001000899</v>
      </c>
      <c r="E130" s="97">
        <v>172.92930001903198</v>
      </c>
      <c r="F130" s="97">
        <v>207.88790001698101</v>
      </c>
      <c r="G130" s="97">
        <v>242.846500081009</v>
      </c>
      <c r="H130" s="97">
        <v>277.80500002204099</v>
      </c>
      <c r="I130" s="97">
        <v>312.76360004004903</v>
      </c>
      <c r="J130" s="97">
        <v>347.72219940504493</v>
      </c>
      <c r="K130" s="98">
        <v>312.763600411992</v>
      </c>
    </row>
    <row r="131" spans="2:11" x14ac:dyDescent="0.25">
      <c r="B131" s="59" t="s">
        <v>85</v>
      </c>
      <c r="C131" s="97">
        <v>96.431600000008885</v>
      </c>
      <c r="D131" s="97">
        <v>130.22719999999399</v>
      </c>
      <c r="E131" s="97">
        <v>164.022900021</v>
      </c>
      <c r="F131" s="97">
        <v>208.77600001402698</v>
      </c>
      <c r="G131" s="97">
        <v>253.52910007903699</v>
      </c>
      <c r="H131" s="97">
        <v>298.28230002102396</v>
      </c>
      <c r="I131" s="97">
        <v>343.03539999996502</v>
      </c>
      <c r="J131" s="97">
        <v>387.78849733201599</v>
      </c>
      <c r="K131" s="98">
        <v>343.03540004793695</v>
      </c>
    </row>
    <row r="132" spans="2:11" x14ac:dyDescent="0.25">
      <c r="B132" s="59" t="s">
        <v>86</v>
      </c>
      <c r="C132" s="97">
        <v>130.75479999999499</v>
      </c>
      <c r="D132" s="97">
        <v>154.67900000000301</v>
      </c>
      <c r="E132" s="97">
        <v>178.60320001001901</v>
      </c>
      <c r="F132" s="97">
        <v>210.284400010963</v>
      </c>
      <c r="G132" s="97">
        <v>241.96550004096497</v>
      </c>
      <c r="H132" s="97">
        <v>273.64670002300699</v>
      </c>
      <c r="I132" s="97">
        <v>305.32780000004897</v>
      </c>
      <c r="J132" s="97">
        <v>305.32780006603002</v>
      </c>
      <c r="K132" s="98">
        <v>305.327800017963</v>
      </c>
    </row>
    <row r="133" spans="2:11" x14ac:dyDescent="0.25">
      <c r="B133" s="59" t="s">
        <v>87</v>
      </c>
      <c r="C133" s="97">
        <v>221.87449999996798</v>
      </c>
      <c r="D133" s="97">
        <v>264.28849999999898</v>
      </c>
      <c r="E133" s="97">
        <v>306.70250002803499</v>
      </c>
      <c r="F133" s="97">
        <v>362.86840000002798</v>
      </c>
      <c r="G133" s="97">
        <v>419.03420006297699</v>
      </c>
      <c r="H133" s="97">
        <v>475.20010000001503</v>
      </c>
      <c r="I133" s="97">
        <v>531.36599999998805</v>
      </c>
      <c r="J133" s="97">
        <v>587.53190085699896</v>
      </c>
      <c r="K133" s="98">
        <v>531.36600584906</v>
      </c>
    </row>
    <row r="134" spans="2:11" x14ac:dyDescent="0.25">
      <c r="B134" s="59" t="s">
        <v>88</v>
      </c>
      <c r="C134" s="97">
        <v>67.011799999988895</v>
      </c>
      <c r="D134" s="97">
        <v>107.17890001401899</v>
      </c>
      <c r="E134" s="97">
        <v>200.53649612602698</v>
      </c>
      <c r="F134" s="97">
        <v>200.53650001202197</v>
      </c>
      <c r="G134" s="97">
        <v>253.72700002096099</v>
      </c>
      <c r="H134" s="97">
        <v>306.91750001703099</v>
      </c>
      <c r="I134" s="97">
        <v>360.10800000000694</v>
      </c>
      <c r="J134" s="97">
        <v>360.10800007307699</v>
      </c>
      <c r="K134" s="98">
        <v>360.10800002701296</v>
      </c>
    </row>
    <row r="135" spans="2:11" x14ac:dyDescent="0.25">
      <c r="B135" s="59" t="s">
        <v>89</v>
      </c>
      <c r="C135" s="97">
        <v>50.258900000002193</v>
      </c>
      <c r="D135" s="97">
        <v>80.035900006693709</v>
      </c>
      <c r="E135" s="97">
        <v>109.81300002397799</v>
      </c>
      <c r="F135" s="97">
        <v>149.24460001001199</v>
      </c>
      <c r="G135" s="97">
        <v>188.67630007001199</v>
      </c>
      <c r="H135" s="97">
        <v>228.10790002696697</v>
      </c>
      <c r="I135" s="97">
        <v>267.53960001498598</v>
      </c>
      <c r="J135" s="97">
        <v>306.97118444801004</v>
      </c>
      <c r="K135" s="98">
        <v>267.53960008297901</v>
      </c>
    </row>
    <row r="136" spans="2:11" x14ac:dyDescent="0.25">
      <c r="B136" s="59" t="s">
        <v>90</v>
      </c>
      <c r="C136" s="97">
        <v>72.7322999999963</v>
      </c>
      <c r="D136" s="97">
        <v>99.296600005321494</v>
      </c>
      <c r="E136" s="97">
        <v>125.860900011003</v>
      </c>
      <c r="F136" s="97">
        <v>161.038000009017</v>
      </c>
      <c r="G136" s="97">
        <v>196.215200022028</v>
      </c>
      <c r="H136" s="97">
        <v>231.392400013035</v>
      </c>
      <c r="I136" s="97">
        <v>266.56960000003301</v>
      </c>
      <c r="J136" s="97">
        <v>266.56960003899195</v>
      </c>
      <c r="K136" s="98">
        <v>266.56960002197201</v>
      </c>
    </row>
    <row r="137" spans="2:11" x14ac:dyDescent="0.25">
      <c r="B137" s="59" t="s">
        <v>91</v>
      </c>
      <c r="C137" s="97">
        <v>1055.4360999998698</v>
      </c>
      <c r="D137" s="97">
        <v>1099.8228999999001</v>
      </c>
      <c r="E137" s="97">
        <v>1144.20969999973</v>
      </c>
      <c r="F137" s="97">
        <v>1202.9879999999</v>
      </c>
      <c r="G137" s="97">
        <v>1261.7663000001098</v>
      </c>
      <c r="H137" s="97">
        <v>1320.54460000006</v>
      </c>
      <c r="I137" s="97">
        <v>1379.3228999997398</v>
      </c>
      <c r="J137" s="97">
        <v>1379.3228999997398</v>
      </c>
      <c r="K137" s="98">
        <v>1379.3228999997398</v>
      </c>
    </row>
    <row r="138" spans="2:11" x14ac:dyDescent="0.25">
      <c r="B138" s="59" t="s">
        <v>92</v>
      </c>
      <c r="C138" s="97">
        <v>822.52919999995993</v>
      </c>
      <c r="D138" s="97">
        <v>857.97530000004485</v>
      </c>
      <c r="E138" s="97">
        <v>893.42140000013899</v>
      </c>
      <c r="F138" s="97">
        <v>940.36020005210196</v>
      </c>
      <c r="G138" s="97">
        <v>987.29900029788303</v>
      </c>
      <c r="H138" s="97">
        <v>1034.2378001601999</v>
      </c>
      <c r="I138" s="97">
        <v>1081.1766001999699</v>
      </c>
      <c r="J138" s="97">
        <v>1081.1766004700501</v>
      </c>
      <c r="K138" s="98">
        <v>1081.1766002500999</v>
      </c>
    </row>
    <row r="139" spans="2:11" x14ac:dyDescent="0.25">
      <c r="B139" s="59" t="s">
        <v>93</v>
      </c>
      <c r="C139" s="97">
        <v>227.59499999997499</v>
      </c>
      <c r="D139" s="97">
        <v>264.41660000005999</v>
      </c>
      <c r="E139" s="97">
        <v>301.23820000001899</v>
      </c>
      <c r="F139" s="97">
        <v>349.99839999995498</v>
      </c>
      <c r="G139" s="97">
        <v>398.75870005796997</v>
      </c>
      <c r="H139" s="97">
        <v>447.51890002294095</v>
      </c>
      <c r="I139" s="97">
        <v>496.27920000009397</v>
      </c>
      <c r="J139" s="97">
        <v>496.27920009102394</v>
      </c>
      <c r="K139" s="98">
        <v>496.27920000009397</v>
      </c>
    </row>
    <row r="140" spans="2:11" x14ac:dyDescent="0.25">
      <c r="B140" s="59" t="s">
        <v>94</v>
      </c>
      <c r="C140" s="100">
        <v>545.49250000002689</v>
      </c>
      <c r="D140" s="100">
        <v>2231.7535998001399</v>
      </c>
      <c r="E140" s="100">
        <v>3864.8241035194997</v>
      </c>
      <c r="F140" s="100">
        <v>6151.0114996587999</v>
      </c>
      <c r="G140" s="100">
        <v>7699.9999999611991</v>
      </c>
      <c r="H140" s="100">
        <v>7699.9999999194697</v>
      </c>
      <c r="I140" s="100">
        <v>7699.9999999701795</v>
      </c>
      <c r="J140" s="100">
        <v>7699.9999999791598</v>
      </c>
      <c r="K140" s="101">
        <v>7699.9999998208095</v>
      </c>
    </row>
    <row r="141" spans="2:11" x14ac:dyDescent="0.25">
      <c r="B141" s="104" t="s">
        <v>36</v>
      </c>
      <c r="C141" s="100">
        <v>3846.6415999997325</v>
      </c>
      <c r="D141" s="100">
        <v>5923.3207998362241</v>
      </c>
      <c r="E141" s="100">
        <v>7999.9999997584328</v>
      </c>
      <c r="F141" s="100">
        <v>10749.999999783759</v>
      </c>
      <c r="G141" s="100">
        <v>13499.99999925404</v>
      </c>
      <c r="H141" s="100">
        <v>16249.99999974544</v>
      </c>
      <c r="I141" s="100">
        <v>20999.999999544929</v>
      </c>
      <c r="J141" s="100">
        <v>25199.999999160143</v>
      </c>
      <c r="K141" s="101">
        <v>24957.523024630362</v>
      </c>
    </row>
    <row r="143" spans="2:11" x14ac:dyDescent="0.25">
      <c r="C143" s="165" t="s">
        <v>77</v>
      </c>
      <c r="D143" s="166"/>
      <c r="E143" s="166"/>
      <c r="F143" s="166"/>
      <c r="G143" s="166"/>
      <c r="H143" s="166"/>
      <c r="I143" s="166"/>
      <c r="J143" s="166"/>
      <c r="K143" s="167"/>
    </row>
    <row r="144" spans="2:11" x14ac:dyDescent="0.25">
      <c r="B144" s="60" t="s">
        <v>74</v>
      </c>
      <c r="C144" s="29">
        <v>2020</v>
      </c>
      <c r="D144" s="29">
        <v>2025</v>
      </c>
      <c r="E144" s="29">
        <v>2030</v>
      </c>
      <c r="F144" s="29">
        <v>2035</v>
      </c>
      <c r="G144" s="29">
        <v>2040</v>
      </c>
      <c r="H144" s="29">
        <v>2045</v>
      </c>
      <c r="I144" s="29">
        <v>2050</v>
      </c>
      <c r="J144" s="29">
        <v>2055</v>
      </c>
      <c r="K144" s="30">
        <v>2060</v>
      </c>
    </row>
    <row r="145" spans="2:11" x14ac:dyDescent="0.25">
      <c r="B145" s="59" t="s">
        <v>83</v>
      </c>
      <c r="C145" s="97">
        <v>183.308799999998</v>
      </c>
      <c r="D145" s="97">
        <v>195.69560001202601</v>
      </c>
      <c r="E145" s="97">
        <v>208.082400015026</v>
      </c>
      <c r="F145" s="97">
        <v>256.31710001500301</v>
      </c>
      <c r="G145" s="97">
        <v>304.55170001898398</v>
      </c>
      <c r="H145" s="97">
        <v>352.78640004002</v>
      </c>
      <c r="I145" s="97">
        <v>401.021000000051</v>
      </c>
      <c r="J145" s="97">
        <v>401.021000000051</v>
      </c>
      <c r="K145" s="98">
        <v>401.02100003793396</v>
      </c>
    </row>
    <row r="146" spans="2:11" x14ac:dyDescent="0.25">
      <c r="B146" s="59" t="s">
        <v>84</v>
      </c>
      <c r="C146" s="97">
        <v>50.461399999988302</v>
      </c>
      <c r="D146" s="97">
        <v>56.390000010010397</v>
      </c>
      <c r="E146" s="97">
        <v>62.318600027808799</v>
      </c>
      <c r="F146" s="97">
        <v>85.404800012705692</v>
      </c>
      <c r="G146" s="97">
        <v>108.49090001499299</v>
      </c>
      <c r="H146" s="97">
        <v>131.57710001399499</v>
      </c>
      <c r="I146" s="97">
        <v>154.66320001000699</v>
      </c>
      <c r="J146" s="97">
        <v>154.66320001301699</v>
      </c>
      <c r="K146" s="98">
        <v>154.663200027004</v>
      </c>
    </row>
    <row r="147" spans="2:11" x14ac:dyDescent="0.25">
      <c r="B147" s="59" t="s">
        <v>85</v>
      </c>
      <c r="C147" s="97">
        <v>40.506400000007595</v>
      </c>
      <c r="D147" s="97">
        <v>45.715500006295393</v>
      </c>
      <c r="E147" s="97">
        <v>50.924600024594397</v>
      </c>
      <c r="F147" s="97">
        <v>71.209000012491003</v>
      </c>
      <c r="G147" s="97">
        <v>91.4933000151062</v>
      </c>
      <c r="H147" s="97">
        <v>111.777700013977</v>
      </c>
      <c r="I147" s="97">
        <v>132.06200000700298</v>
      </c>
      <c r="J147" s="97">
        <v>132.06200001099398</v>
      </c>
      <c r="K147" s="98">
        <v>132.06200002599499</v>
      </c>
    </row>
    <row r="148" spans="2:11" x14ac:dyDescent="0.25">
      <c r="B148" s="59" t="s">
        <v>86</v>
      </c>
      <c r="C148" s="97">
        <v>54.923999999999097</v>
      </c>
      <c r="D148" s="97">
        <v>60.0871000057058</v>
      </c>
      <c r="E148" s="97">
        <v>65.250200008900393</v>
      </c>
      <c r="F148" s="97">
        <v>85.355400010708493</v>
      </c>
      <c r="G148" s="97">
        <v>105.46070001298399</v>
      </c>
      <c r="H148" s="97">
        <v>125.56600001500699</v>
      </c>
      <c r="I148" s="97">
        <v>145.67119999998701</v>
      </c>
      <c r="J148" s="97">
        <v>145.67120000898998</v>
      </c>
      <c r="K148" s="98">
        <v>145.67120001497901</v>
      </c>
    </row>
    <row r="149" spans="2:11" x14ac:dyDescent="0.25">
      <c r="B149" s="59" t="s">
        <v>87</v>
      </c>
      <c r="C149" s="97">
        <v>93.199099999997003</v>
      </c>
      <c r="D149" s="97">
        <v>102.32620000699501</v>
      </c>
      <c r="E149" s="97">
        <v>111.453200015006</v>
      </c>
      <c r="F149" s="97">
        <v>146.994200010008</v>
      </c>
      <c r="G149" s="97">
        <v>182.535100013967</v>
      </c>
      <c r="H149" s="97">
        <v>218.07610001298698</v>
      </c>
      <c r="I149" s="97">
        <v>253.617000000041</v>
      </c>
      <c r="J149" s="97">
        <v>253.617000000041</v>
      </c>
      <c r="K149" s="98">
        <v>253.61700004597898</v>
      </c>
    </row>
    <row r="150" spans="2:11" x14ac:dyDescent="0.25">
      <c r="B150" s="59" t="s">
        <v>88</v>
      </c>
      <c r="C150" s="97">
        <v>28.148500000003899</v>
      </c>
      <c r="D150" s="97">
        <v>36.2567000144033</v>
      </c>
      <c r="E150" s="97">
        <v>237.96729936101099</v>
      </c>
      <c r="F150" s="97">
        <v>75.938000010794298</v>
      </c>
      <c r="G150" s="97">
        <v>107.51120000998699</v>
      </c>
      <c r="H150" s="97">
        <v>139.08440001200398</v>
      </c>
      <c r="I150" s="97">
        <v>170.65760000001902</v>
      </c>
      <c r="J150" s="97">
        <v>170.65760000903299</v>
      </c>
      <c r="K150" s="98">
        <v>170.65760001897399</v>
      </c>
    </row>
    <row r="151" spans="2:11" x14ac:dyDescent="0.25">
      <c r="B151" s="59" t="s">
        <v>89</v>
      </c>
      <c r="C151" s="97">
        <v>21.111399999996699</v>
      </c>
      <c r="D151" s="97">
        <v>28.5792000067011</v>
      </c>
      <c r="E151" s="97">
        <v>36.047000023104694</v>
      </c>
      <c r="F151" s="97">
        <v>65.126900009695206</v>
      </c>
      <c r="G151" s="97">
        <v>94.206800014486504</v>
      </c>
      <c r="H151" s="97">
        <v>123.286700016</v>
      </c>
      <c r="I151" s="97">
        <v>152.36659999999699</v>
      </c>
      <c r="J151" s="97">
        <v>152.36660001000499</v>
      </c>
      <c r="K151" s="98">
        <v>152.36660003599499</v>
      </c>
    </row>
    <row r="152" spans="2:11" x14ac:dyDescent="0.25">
      <c r="B152" s="59" t="s">
        <v>90</v>
      </c>
      <c r="C152" s="97">
        <v>30.551500000001198</v>
      </c>
      <c r="D152" s="97">
        <v>35.724400005302897</v>
      </c>
      <c r="E152" s="97">
        <v>40.897300009499297</v>
      </c>
      <c r="F152" s="97">
        <v>61.040700009095303</v>
      </c>
      <c r="G152" s="97">
        <v>81.184100010199387</v>
      </c>
      <c r="H152" s="97">
        <v>101.32750001001699</v>
      </c>
      <c r="I152" s="97">
        <v>121.470899999981</v>
      </c>
      <c r="J152" s="97">
        <v>121.47090000799</v>
      </c>
      <c r="K152" s="98">
        <v>121.47090001799999</v>
      </c>
    </row>
    <row r="153" spans="2:11" x14ac:dyDescent="0.25">
      <c r="B153" s="59" t="s">
        <v>91</v>
      </c>
      <c r="C153" s="97">
        <v>443.33949999989403</v>
      </c>
      <c r="D153" s="97">
        <v>457.43060000005499</v>
      </c>
      <c r="E153" s="97">
        <v>471.521699999948</v>
      </c>
      <c r="F153" s="97">
        <v>526.39279999998303</v>
      </c>
      <c r="G153" s="97">
        <v>581.26389999998105</v>
      </c>
      <c r="H153" s="97">
        <v>636.134999999863</v>
      </c>
      <c r="I153" s="97">
        <v>691.00609999994197</v>
      </c>
      <c r="J153" s="97">
        <v>691.00609999994197</v>
      </c>
      <c r="K153" s="98">
        <v>691.00609999994197</v>
      </c>
    </row>
    <row r="154" spans="2:11" x14ac:dyDescent="0.25">
      <c r="B154" s="59" t="s">
        <v>92</v>
      </c>
      <c r="C154" s="97">
        <v>345.50620000002596</v>
      </c>
      <c r="D154" s="97">
        <v>357.10429999992897</v>
      </c>
      <c r="E154" s="97">
        <v>368.70239999995698</v>
      </c>
      <c r="F154" s="97">
        <v>413.86579999992796</v>
      </c>
      <c r="G154" s="97">
        <v>459.02920000010096</v>
      </c>
      <c r="H154" s="97">
        <v>504.19260000005602</v>
      </c>
      <c r="I154" s="97">
        <v>549.35600000000704</v>
      </c>
      <c r="J154" s="97">
        <v>549.35600000000704</v>
      </c>
      <c r="K154" s="98">
        <v>549.35600000000704</v>
      </c>
    </row>
    <row r="155" spans="2:11" x14ac:dyDescent="0.25">
      <c r="B155" s="59" t="s">
        <v>93</v>
      </c>
      <c r="C155" s="97">
        <v>95.602100000010893</v>
      </c>
      <c r="D155" s="97">
        <v>101.91450000702199</v>
      </c>
      <c r="E155" s="97">
        <v>108.226900010013</v>
      </c>
      <c r="F155" s="97">
        <v>132.80760001202398</v>
      </c>
      <c r="G155" s="97">
        <v>157.38830001397898</v>
      </c>
      <c r="H155" s="97">
        <v>181.96900001496098</v>
      </c>
      <c r="I155" s="97">
        <v>206.549700000027</v>
      </c>
      <c r="J155" s="97">
        <v>206.549700000027</v>
      </c>
      <c r="K155" s="98">
        <v>206.549700014992</v>
      </c>
    </row>
    <row r="156" spans="2:11" x14ac:dyDescent="0.25">
      <c r="B156" s="59" t="s">
        <v>94</v>
      </c>
      <c r="C156" s="100">
        <v>229.13599999998598</v>
      </c>
      <c r="D156" s="100">
        <v>332.17329979904196</v>
      </c>
      <c r="E156" s="100">
        <v>240.60840015397096</v>
      </c>
      <c r="F156" s="100">
        <v>831.54769974295402</v>
      </c>
      <c r="G156" s="100">
        <v>1228.88479969019</v>
      </c>
      <c r="H156" s="100">
        <v>1626.2214996400799</v>
      </c>
      <c r="I156" s="100">
        <v>2023.55869982993</v>
      </c>
      <c r="J156" s="100">
        <v>2023.55869977</v>
      </c>
      <c r="K156" s="101">
        <v>2023.55869947001</v>
      </c>
    </row>
    <row r="157" spans="2:11" x14ac:dyDescent="0.25">
      <c r="B157" s="104" t="s">
        <v>36</v>
      </c>
      <c r="C157" s="100">
        <v>1615.7948999999085</v>
      </c>
      <c r="D157" s="100">
        <v>1809.3973998734878</v>
      </c>
      <c r="E157" s="100">
        <v>2001.9999996488393</v>
      </c>
      <c r="F157" s="100">
        <v>2751.99999984539</v>
      </c>
      <c r="G157" s="100">
        <v>3501.9999998149583</v>
      </c>
      <c r="H157" s="100">
        <v>4251.9999997889663</v>
      </c>
      <c r="I157" s="100">
        <v>5001.9999998469921</v>
      </c>
      <c r="J157" s="100">
        <v>5001.9999998300964</v>
      </c>
      <c r="K157" s="101">
        <v>5001.9999997098112</v>
      </c>
    </row>
    <row r="159" spans="2:11" x14ac:dyDescent="0.25">
      <c r="C159" s="165" t="s">
        <v>77</v>
      </c>
      <c r="D159" s="166"/>
      <c r="E159" s="166"/>
      <c r="F159" s="166"/>
      <c r="G159" s="166"/>
      <c r="H159" s="166"/>
      <c r="I159" s="166"/>
      <c r="J159" s="166"/>
      <c r="K159" s="167"/>
    </row>
    <row r="160" spans="2:11" x14ac:dyDescent="0.25">
      <c r="B160" s="47" t="s">
        <v>71</v>
      </c>
      <c r="C160" s="43">
        <v>2020</v>
      </c>
      <c r="D160" s="39">
        <v>2025</v>
      </c>
      <c r="E160" s="39">
        <v>2030</v>
      </c>
      <c r="F160" s="39">
        <v>2035</v>
      </c>
      <c r="G160" s="39">
        <v>2040</v>
      </c>
      <c r="H160" s="39">
        <v>2045</v>
      </c>
      <c r="I160" s="39">
        <v>2050</v>
      </c>
      <c r="J160" s="39">
        <v>2055</v>
      </c>
      <c r="K160" s="40">
        <v>2060</v>
      </c>
    </row>
    <row r="161" spans="2:11" x14ac:dyDescent="0.25">
      <c r="B161" s="24" t="s">
        <v>83</v>
      </c>
      <c r="C161" s="41">
        <v>13570</v>
      </c>
      <c r="D161" s="34">
        <v>13570</v>
      </c>
      <c r="E161" s="34">
        <v>11745</v>
      </c>
      <c r="F161" s="34">
        <v>1830</v>
      </c>
      <c r="G161" s="34">
        <v>0</v>
      </c>
      <c r="H161" s="34">
        <v>0</v>
      </c>
      <c r="I161" s="34">
        <v>0</v>
      </c>
      <c r="J161" s="34">
        <v>0</v>
      </c>
      <c r="K161" s="35">
        <v>0</v>
      </c>
    </row>
    <row r="162" spans="2:11" x14ac:dyDescent="0.25">
      <c r="B162" s="25" t="s">
        <v>84</v>
      </c>
      <c r="C162" s="42">
        <v>0</v>
      </c>
      <c r="D162" s="36">
        <v>0</v>
      </c>
      <c r="E162" s="36">
        <v>0</v>
      </c>
      <c r="F162" s="36">
        <v>0</v>
      </c>
      <c r="G162" s="36">
        <v>0</v>
      </c>
      <c r="H162" s="36">
        <v>0</v>
      </c>
      <c r="I162" s="36">
        <v>0</v>
      </c>
      <c r="J162" s="36">
        <v>0</v>
      </c>
      <c r="K162" s="37">
        <v>0</v>
      </c>
    </row>
    <row r="163" spans="2:11" x14ac:dyDescent="0.25">
      <c r="B163" s="25" t="s">
        <v>85</v>
      </c>
      <c r="C163" s="42">
        <v>0</v>
      </c>
      <c r="D163" s="36">
        <v>0</v>
      </c>
      <c r="E163" s="36">
        <v>0</v>
      </c>
      <c r="F163" s="36">
        <v>0</v>
      </c>
      <c r="G163" s="36">
        <v>0</v>
      </c>
      <c r="H163" s="36">
        <v>0</v>
      </c>
      <c r="I163" s="36">
        <v>0</v>
      </c>
      <c r="J163" s="36">
        <v>0</v>
      </c>
      <c r="K163" s="37">
        <v>0</v>
      </c>
    </row>
    <row r="164" spans="2:11" x14ac:dyDescent="0.25">
      <c r="B164" s="25" t="s">
        <v>86</v>
      </c>
      <c r="C164" s="42">
        <v>11630</v>
      </c>
      <c r="D164" s="36">
        <v>11630</v>
      </c>
      <c r="E164" s="36">
        <v>10320</v>
      </c>
      <c r="F164" s="36">
        <v>1810</v>
      </c>
      <c r="G164" s="36">
        <v>0</v>
      </c>
      <c r="H164" s="36">
        <v>0</v>
      </c>
      <c r="I164" s="36">
        <v>0</v>
      </c>
      <c r="J164" s="36">
        <v>0</v>
      </c>
      <c r="K164" s="37">
        <v>0</v>
      </c>
    </row>
    <row r="165" spans="2:11" x14ac:dyDescent="0.25">
      <c r="B165" s="25" t="s">
        <v>87</v>
      </c>
      <c r="C165" s="42">
        <v>10820</v>
      </c>
      <c r="D165" s="36">
        <v>10820</v>
      </c>
      <c r="E165" s="36">
        <v>5600</v>
      </c>
      <c r="F165" s="36">
        <v>3000</v>
      </c>
      <c r="G165" s="36">
        <v>0</v>
      </c>
      <c r="H165" s="36">
        <v>0</v>
      </c>
      <c r="I165" s="36">
        <v>0</v>
      </c>
      <c r="J165" s="36">
        <v>0</v>
      </c>
      <c r="K165" s="37">
        <v>0</v>
      </c>
    </row>
    <row r="166" spans="2:11" x14ac:dyDescent="0.25">
      <c r="B166" s="25" t="s">
        <v>88</v>
      </c>
      <c r="C166" s="42">
        <v>5460</v>
      </c>
      <c r="D166" s="36">
        <v>5460</v>
      </c>
      <c r="E166" s="36">
        <v>5460</v>
      </c>
      <c r="F166" s="36">
        <v>910</v>
      </c>
      <c r="G166" s="36">
        <v>0</v>
      </c>
      <c r="H166" s="36">
        <v>0</v>
      </c>
      <c r="I166" s="36">
        <v>0</v>
      </c>
      <c r="J166" s="36">
        <v>0</v>
      </c>
      <c r="K166" s="37">
        <v>0</v>
      </c>
    </row>
    <row r="167" spans="2:11" x14ac:dyDescent="0.25">
      <c r="B167" s="25" t="s">
        <v>89</v>
      </c>
      <c r="C167" s="42">
        <v>0</v>
      </c>
      <c r="D167" s="36">
        <v>0</v>
      </c>
      <c r="E167" s="36">
        <v>0</v>
      </c>
      <c r="F167" s="36">
        <v>0</v>
      </c>
      <c r="G167" s="36">
        <v>0</v>
      </c>
      <c r="H167" s="36">
        <v>0</v>
      </c>
      <c r="I167" s="36">
        <v>0</v>
      </c>
      <c r="J167" s="36">
        <v>0</v>
      </c>
      <c r="K167" s="37">
        <v>0</v>
      </c>
    </row>
    <row r="168" spans="2:11" x14ac:dyDescent="0.25">
      <c r="B168" s="25" t="s">
        <v>90</v>
      </c>
      <c r="C168" s="42">
        <v>10640</v>
      </c>
      <c r="D168" s="36">
        <v>10640</v>
      </c>
      <c r="E168" s="36">
        <v>3990</v>
      </c>
      <c r="F168" s="36">
        <v>0</v>
      </c>
      <c r="G168" s="36">
        <v>0</v>
      </c>
      <c r="H168" s="36">
        <v>0</v>
      </c>
      <c r="I168" s="36">
        <v>0</v>
      </c>
      <c r="J168" s="36">
        <v>0</v>
      </c>
      <c r="K168" s="37">
        <v>0</v>
      </c>
    </row>
    <row r="169" spans="2:11" x14ac:dyDescent="0.25">
      <c r="B169" s="25" t="s">
        <v>91</v>
      </c>
      <c r="C169" s="42">
        <v>6630</v>
      </c>
      <c r="D169" s="36">
        <v>6630</v>
      </c>
      <c r="E169" s="36">
        <v>6630</v>
      </c>
      <c r="F169" s="36">
        <v>4810</v>
      </c>
      <c r="G169" s="36">
        <v>0</v>
      </c>
      <c r="H169" s="36">
        <v>0</v>
      </c>
      <c r="I169" s="36">
        <v>0</v>
      </c>
      <c r="J169" s="36">
        <v>0</v>
      </c>
      <c r="K169" s="37">
        <v>0</v>
      </c>
    </row>
    <row r="170" spans="2:11" x14ac:dyDescent="0.25">
      <c r="B170" s="25" t="s">
        <v>92</v>
      </c>
      <c r="C170" s="42">
        <v>2620</v>
      </c>
      <c r="D170" s="36">
        <v>2620</v>
      </c>
      <c r="E170" s="36">
        <v>2620</v>
      </c>
      <c r="F170" s="36">
        <v>0</v>
      </c>
      <c r="G170" s="36">
        <v>0</v>
      </c>
      <c r="H170" s="36">
        <v>0</v>
      </c>
      <c r="I170" s="36">
        <v>0</v>
      </c>
      <c r="J170" s="36">
        <v>0</v>
      </c>
      <c r="K170" s="37">
        <v>0</v>
      </c>
    </row>
    <row r="171" spans="2:11" x14ac:dyDescent="0.25">
      <c r="B171" s="25" t="s">
        <v>93</v>
      </c>
      <c r="C171" s="42">
        <v>0</v>
      </c>
      <c r="D171" s="36">
        <v>0</v>
      </c>
      <c r="E171" s="36">
        <v>0</v>
      </c>
      <c r="F171" s="36">
        <v>0</v>
      </c>
      <c r="G171" s="36">
        <v>0</v>
      </c>
      <c r="H171" s="36">
        <v>0</v>
      </c>
      <c r="I171" s="36">
        <v>0</v>
      </c>
      <c r="J171" s="36">
        <v>0</v>
      </c>
      <c r="K171" s="37">
        <v>0</v>
      </c>
    </row>
    <row r="172" spans="2:11" x14ac:dyDescent="0.25">
      <c r="B172" s="25" t="s">
        <v>94</v>
      </c>
      <c r="C172" s="31">
        <v>0</v>
      </c>
      <c r="D172" s="32">
        <v>0</v>
      </c>
      <c r="E172" s="32">
        <v>0</v>
      </c>
      <c r="F172" s="32">
        <v>0</v>
      </c>
      <c r="G172" s="32">
        <v>0</v>
      </c>
      <c r="H172" s="32">
        <v>0</v>
      </c>
      <c r="I172" s="32">
        <v>0</v>
      </c>
      <c r="J172" s="32">
        <v>0</v>
      </c>
      <c r="K172" s="33">
        <v>0</v>
      </c>
    </row>
    <row r="173" spans="2:11" x14ac:dyDescent="0.25">
      <c r="B173" s="104" t="s">
        <v>36</v>
      </c>
      <c r="C173" s="99">
        <v>61370</v>
      </c>
      <c r="D173" s="100">
        <v>61370</v>
      </c>
      <c r="E173" s="100">
        <v>46365</v>
      </c>
      <c r="F173" s="100">
        <v>12360</v>
      </c>
      <c r="G173" s="100">
        <v>0</v>
      </c>
      <c r="H173" s="100">
        <v>0</v>
      </c>
      <c r="I173" s="100">
        <v>0</v>
      </c>
      <c r="J173" s="100">
        <v>0</v>
      </c>
      <c r="K173" s="101">
        <v>0</v>
      </c>
    </row>
    <row r="175" spans="2:11" x14ac:dyDescent="0.25">
      <c r="C175" s="165" t="s">
        <v>77</v>
      </c>
      <c r="D175" s="166"/>
      <c r="E175" s="166"/>
      <c r="F175" s="166"/>
      <c r="G175" s="166"/>
      <c r="H175" s="166"/>
      <c r="I175" s="166"/>
      <c r="J175" s="166"/>
      <c r="K175" s="167"/>
    </row>
    <row r="176" spans="2:11" x14ac:dyDescent="0.25">
      <c r="B176" s="60" t="s">
        <v>96</v>
      </c>
      <c r="C176" s="43">
        <v>2020</v>
      </c>
      <c r="D176" s="39">
        <v>2025</v>
      </c>
      <c r="E176" s="39">
        <v>2030</v>
      </c>
      <c r="F176" s="39">
        <v>2035</v>
      </c>
      <c r="G176" s="39">
        <v>2040</v>
      </c>
      <c r="H176" s="39">
        <v>2045</v>
      </c>
      <c r="I176" s="39">
        <v>2050</v>
      </c>
      <c r="J176" s="39">
        <v>2055</v>
      </c>
      <c r="K176" s="40">
        <v>2060</v>
      </c>
    </row>
    <row r="177" spans="2:11" x14ac:dyDescent="0.25">
      <c r="B177" s="24" t="s">
        <v>83</v>
      </c>
      <c r="C177" s="41">
        <v>0</v>
      </c>
      <c r="D177" s="34">
        <v>0</v>
      </c>
      <c r="E177" s="34">
        <v>0</v>
      </c>
      <c r="F177" s="34">
        <v>6867.4259660993002</v>
      </c>
      <c r="G177" s="34">
        <v>6867.4262657906393</v>
      </c>
      <c r="H177" s="34">
        <v>1293.9341648901668</v>
      </c>
      <c r="I177" s="34">
        <v>911.18247237218498</v>
      </c>
      <c r="J177" s="34">
        <v>0</v>
      </c>
      <c r="K177" s="35">
        <v>0</v>
      </c>
    </row>
    <row r="178" spans="2:11" x14ac:dyDescent="0.25">
      <c r="B178" s="25" t="s">
        <v>84</v>
      </c>
      <c r="C178" s="42">
        <v>0</v>
      </c>
      <c r="D178" s="36">
        <v>0</v>
      </c>
      <c r="E178" s="36">
        <v>0</v>
      </c>
      <c r="F178" s="36">
        <v>0</v>
      </c>
      <c r="G178" s="36">
        <v>0</v>
      </c>
      <c r="H178" s="36">
        <v>0</v>
      </c>
      <c r="I178" s="36">
        <v>0</v>
      </c>
      <c r="J178" s="36">
        <v>0</v>
      </c>
      <c r="K178" s="37">
        <v>0</v>
      </c>
    </row>
    <row r="179" spans="2:11" x14ac:dyDescent="0.25">
      <c r="B179" s="25" t="s">
        <v>85</v>
      </c>
      <c r="C179" s="42">
        <v>0</v>
      </c>
      <c r="D179" s="36">
        <v>0</v>
      </c>
      <c r="E179" s="36">
        <v>0</v>
      </c>
      <c r="F179" s="36">
        <v>0</v>
      </c>
      <c r="G179" s="36">
        <v>0</v>
      </c>
      <c r="H179" s="36">
        <v>0</v>
      </c>
      <c r="I179" s="36">
        <v>0</v>
      </c>
      <c r="J179" s="36">
        <v>0</v>
      </c>
      <c r="K179" s="37">
        <v>0</v>
      </c>
    </row>
    <row r="180" spans="2:11" x14ac:dyDescent="0.25">
      <c r="B180" s="25" t="s">
        <v>86</v>
      </c>
      <c r="C180" s="42">
        <v>0</v>
      </c>
      <c r="D180" s="36">
        <v>0</v>
      </c>
      <c r="E180" s="36">
        <v>1.05582794187E-4</v>
      </c>
      <c r="F180" s="36">
        <v>4920.0001741037831</v>
      </c>
      <c r="G180" s="36">
        <v>6730.0001722889583</v>
      </c>
      <c r="H180" s="36">
        <v>3120.0001725266643</v>
      </c>
      <c r="I180" s="36">
        <v>1309.99999979003</v>
      </c>
      <c r="J180" s="36">
        <v>0</v>
      </c>
      <c r="K180" s="37">
        <v>0</v>
      </c>
    </row>
    <row r="181" spans="2:11" x14ac:dyDescent="0.25">
      <c r="B181" s="25" t="s">
        <v>87</v>
      </c>
      <c r="C181" s="42">
        <v>0</v>
      </c>
      <c r="D181" s="36">
        <v>0</v>
      </c>
      <c r="E181" s="36">
        <v>5219.9999999798201</v>
      </c>
      <c r="F181" s="36">
        <v>7819.9999999798201</v>
      </c>
      <c r="G181" s="36">
        <v>10819.9999992785</v>
      </c>
      <c r="H181" s="36">
        <v>10819.99999914862</v>
      </c>
      <c r="I181" s="36">
        <v>2600.0000213690359</v>
      </c>
      <c r="J181" s="36">
        <v>0</v>
      </c>
      <c r="K181" s="37">
        <v>0</v>
      </c>
    </row>
    <row r="182" spans="2:11" x14ac:dyDescent="0.25">
      <c r="B182" s="25" t="s">
        <v>88</v>
      </c>
      <c r="C182" s="42">
        <v>0</v>
      </c>
      <c r="D182" s="36">
        <v>0</v>
      </c>
      <c r="E182" s="36">
        <v>0</v>
      </c>
      <c r="F182" s="36">
        <v>2730</v>
      </c>
      <c r="G182" s="36">
        <v>3639.9999999561965</v>
      </c>
      <c r="H182" s="36">
        <v>909.99999998411704</v>
      </c>
      <c r="I182" s="36">
        <v>0</v>
      </c>
      <c r="J182" s="36">
        <v>0</v>
      </c>
      <c r="K182" s="37">
        <v>0</v>
      </c>
    </row>
    <row r="183" spans="2:11" x14ac:dyDescent="0.25">
      <c r="B183" s="25" t="s">
        <v>89</v>
      </c>
      <c r="C183" s="42">
        <v>0</v>
      </c>
      <c r="D183" s="36">
        <v>0</v>
      </c>
      <c r="E183" s="36">
        <v>0</v>
      </c>
      <c r="F183" s="36">
        <v>0</v>
      </c>
      <c r="G183" s="36">
        <v>0</v>
      </c>
      <c r="H183" s="36">
        <v>0</v>
      </c>
      <c r="I183" s="36">
        <v>0</v>
      </c>
      <c r="J183" s="36">
        <v>0</v>
      </c>
      <c r="K183" s="37">
        <v>0</v>
      </c>
    </row>
    <row r="184" spans="2:11" x14ac:dyDescent="0.25">
      <c r="B184" s="25" t="s">
        <v>90</v>
      </c>
      <c r="C184" s="42">
        <v>0</v>
      </c>
      <c r="D184" s="36">
        <v>0</v>
      </c>
      <c r="E184" s="36">
        <v>6164.9998227505703</v>
      </c>
      <c r="F184" s="36">
        <v>10154.999822591339</v>
      </c>
      <c r="G184" s="36">
        <v>5257.9359193792397</v>
      </c>
      <c r="H184" s="36">
        <v>4904.28196738939</v>
      </c>
      <c r="I184" s="36">
        <v>3636.3460477208196</v>
      </c>
      <c r="J184" s="36">
        <v>0</v>
      </c>
      <c r="K184" s="37">
        <v>0</v>
      </c>
    </row>
    <row r="185" spans="2:11" x14ac:dyDescent="0.25">
      <c r="B185" s="25" t="s">
        <v>91</v>
      </c>
      <c r="C185" s="42">
        <v>0</v>
      </c>
      <c r="D185" s="36">
        <v>0</v>
      </c>
      <c r="E185" s="36">
        <v>0</v>
      </c>
      <c r="F185" s="36">
        <v>2619.9999985098798</v>
      </c>
      <c r="G185" s="36">
        <v>4537.1376470800196</v>
      </c>
      <c r="H185" s="36">
        <v>4186.7836983397392</v>
      </c>
      <c r="I185" s="36">
        <v>1892.4714589727623</v>
      </c>
      <c r="J185" s="36">
        <v>0</v>
      </c>
      <c r="K185" s="37">
        <v>0</v>
      </c>
    </row>
    <row r="186" spans="2:11" x14ac:dyDescent="0.25">
      <c r="B186" s="25" t="s">
        <v>92</v>
      </c>
      <c r="C186" s="42">
        <v>0</v>
      </c>
      <c r="D186" s="36">
        <v>0</v>
      </c>
      <c r="E186" s="36">
        <v>0</v>
      </c>
      <c r="F186" s="36">
        <v>0</v>
      </c>
      <c r="G186" s="36">
        <v>0</v>
      </c>
      <c r="H186" s="36">
        <v>0</v>
      </c>
      <c r="I186" s="36">
        <v>0</v>
      </c>
      <c r="J186" s="36">
        <v>0</v>
      </c>
      <c r="K186" s="37">
        <v>0</v>
      </c>
    </row>
    <row r="187" spans="2:11" x14ac:dyDescent="0.25">
      <c r="B187" s="25" t="s">
        <v>93</v>
      </c>
      <c r="C187" s="42">
        <v>0</v>
      </c>
      <c r="D187" s="36">
        <v>0</v>
      </c>
      <c r="E187" s="36">
        <v>0</v>
      </c>
      <c r="F187" s="36">
        <v>0</v>
      </c>
      <c r="G187" s="36">
        <v>0</v>
      </c>
      <c r="H187" s="36">
        <v>0</v>
      </c>
      <c r="I187" s="36">
        <v>0</v>
      </c>
      <c r="J187" s="36">
        <v>0</v>
      </c>
      <c r="K187" s="37">
        <v>0</v>
      </c>
    </row>
    <row r="188" spans="2:11" x14ac:dyDescent="0.25">
      <c r="B188" s="25" t="s">
        <v>94</v>
      </c>
      <c r="C188" s="31">
        <v>0</v>
      </c>
      <c r="D188" s="32">
        <v>0</v>
      </c>
      <c r="E188" s="32">
        <v>0</v>
      </c>
      <c r="F188" s="32">
        <v>0</v>
      </c>
      <c r="G188" s="32">
        <v>0</v>
      </c>
      <c r="H188" s="32">
        <v>0</v>
      </c>
      <c r="I188" s="32">
        <v>0</v>
      </c>
      <c r="J188" s="32">
        <v>0</v>
      </c>
      <c r="K188" s="33">
        <v>0</v>
      </c>
    </row>
    <row r="189" spans="2:11" x14ac:dyDescent="0.25">
      <c r="B189" s="104" t="s">
        <v>36</v>
      </c>
      <c r="C189" s="99">
        <v>0</v>
      </c>
      <c r="D189" s="100">
        <v>0</v>
      </c>
      <c r="E189" s="100">
        <v>11384.999928313184</v>
      </c>
      <c r="F189" s="100">
        <v>35112.42596128412</v>
      </c>
      <c r="G189" s="100">
        <v>37852.500003773544</v>
      </c>
      <c r="H189" s="100">
        <v>25235.000002278695</v>
      </c>
      <c r="I189" s="100">
        <v>10350.000000224833</v>
      </c>
      <c r="J189" s="100">
        <v>0</v>
      </c>
      <c r="K189" s="101">
        <v>0</v>
      </c>
    </row>
    <row r="191" spans="2:11" x14ac:dyDescent="0.25">
      <c r="C191" s="165" t="s">
        <v>77</v>
      </c>
      <c r="D191" s="166"/>
      <c r="E191" s="166"/>
      <c r="F191" s="166"/>
      <c r="G191" s="166"/>
      <c r="H191" s="166"/>
      <c r="I191" s="166"/>
      <c r="J191" s="166"/>
      <c r="K191" s="167"/>
    </row>
    <row r="192" spans="2:11" x14ac:dyDescent="0.25">
      <c r="B192" s="60" t="s">
        <v>97</v>
      </c>
      <c r="C192" s="28">
        <v>2020</v>
      </c>
      <c r="D192" s="29">
        <v>2025</v>
      </c>
      <c r="E192" s="29">
        <v>2030</v>
      </c>
      <c r="F192" s="29">
        <v>2035</v>
      </c>
      <c r="G192" s="29">
        <v>2040</v>
      </c>
      <c r="H192" s="29">
        <v>2045</v>
      </c>
      <c r="I192" s="29">
        <v>2050</v>
      </c>
      <c r="J192" s="29">
        <v>2055</v>
      </c>
      <c r="K192" s="30">
        <v>2060</v>
      </c>
    </row>
    <row r="193" spans="2:11" x14ac:dyDescent="0.25">
      <c r="B193" s="47" t="s">
        <v>83</v>
      </c>
      <c r="C193" s="97">
        <v>0</v>
      </c>
      <c r="D193" s="97">
        <v>0</v>
      </c>
      <c r="E193" s="97">
        <v>0</v>
      </c>
      <c r="F193" s="97">
        <v>0</v>
      </c>
      <c r="G193" s="97">
        <v>0</v>
      </c>
      <c r="H193" s="97">
        <v>0</v>
      </c>
      <c r="I193" s="97">
        <v>0</v>
      </c>
      <c r="J193" s="97">
        <v>0</v>
      </c>
      <c r="K193" s="98">
        <v>0</v>
      </c>
    </row>
    <row r="194" spans="2:11" x14ac:dyDescent="0.25">
      <c r="B194" s="59" t="s">
        <v>84</v>
      </c>
      <c r="C194" s="97">
        <v>0</v>
      </c>
      <c r="D194" s="97">
        <v>0</v>
      </c>
      <c r="E194" s="97">
        <v>0</v>
      </c>
      <c r="F194" s="97">
        <v>0</v>
      </c>
      <c r="G194" s="97">
        <v>0</v>
      </c>
      <c r="H194" s="97">
        <v>0</v>
      </c>
      <c r="I194" s="97">
        <v>0</v>
      </c>
      <c r="J194" s="97">
        <v>0</v>
      </c>
      <c r="K194" s="98">
        <v>0</v>
      </c>
    </row>
    <row r="195" spans="2:11" x14ac:dyDescent="0.25">
      <c r="B195" s="59" t="s">
        <v>85</v>
      </c>
      <c r="C195" s="97">
        <v>0</v>
      </c>
      <c r="D195" s="97">
        <v>0</v>
      </c>
      <c r="E195" s="97">
        <v>0</v>
      </c>
      <c r="F195" s="97">
        <v>0</v>
      </c>
      <c r="G195" s="97">
        <v>0</v>
      </c>
      <c r="H195" s="97">
        <v>0</v>
      </c>
      <c r="I195" s="97">
        <v>0</v>
      </c>
      <c r="J195" s="97">
        <v>0</v>
      </c>
      <c r="K195" s="98">
        <v>0</v>
      </c>
    </row>
    <row r="196" spans="2:11" x14ac:dyDescent="0.25">
      <c r="B196" s="59" t="s">
        <v>86</v>
      </c>
      <c r="C196" s="97">
        <v>0</v>
      </c>
      <c r="D196" s="97">
        <v>0</v>
      </c>
      <c r="E196" s="97">
        <v>0</v>
      </c>
      <c r="F196" s="97">
        <v>0</v>
      </c>
      <c r="G196" s="97">
        <v>0</v>
      </c>
      <c r="H196" s="97">
        <v>0</v>
      </c>
      <c r="I196" s="97">
        <v>0</v>
      </c>
      <c r="J196" s="97">
        <v>0</v>
      </c>
      <c r="K196" s="98">
        <v>0</v>
      </c>
    </row>
    <row r="197" spans="2:11" x14ac:dyDescent="0.25">
      <c r="B197" s="59" t="s">
        <v>87</v>
      </c>
      <c r="C197" s="97">
        <v>0</v>
      </c>
      <c r="D197" s="97">
        <v>0</v>
      </c>
      <c r="E197" s="97">
        <v>0</v>
      </c>
      <c r="F197" s="97">
        <v>0</v>
      </c>
      <c r="G197" s="97">
        <v>0</v>
      </c>
      <c r="H197" s="97">
        <v>0</v>
      </c>
      <c r="I197" s="97">
        <v>0</v>
      </c>
      <c r="J197" s="97">
        <v>0</v>
      </c>
      <c r="K197" s="98">
        <v>0</v>
      </c>
    </row>
    <row r="198" spans="2:11" x14ac:dyDescent="0.25">
      <c r="B198" s="59" t="s">
        <v>88</v>
      </c>
      <c r="C198" s="97">
        <v>0</v>
      </c>
      <c r="D198" s="97">
        <v>0</v>
      </c>
      <c r="E198" s="97">
        <v>0</v>
      </c>
      <c r="F198" s="97">
        <v>0</v>
      </c>
      <c r="G198" s="97">
        <v>0</v>
      </c>
      <c r="H198" s="97">
        <v>0</v>
      </c>
      <c r="I198" s="97">
        <v>0</v>
      </c>
      <c r="J198" s="97">
        <v>0</v>
      </c>
      <c r="K198" s="98">
        <v>0</v>
      </c>
    </row>
    <row r="199" spans="2:11" x14ac:dyDescent="0.25">
      <c r="B199" s="59" t="s">
        <v>89</v>
      </c>
      <c r="C199" s="97">
        <v>0</v>
      </c>
      <c r="D199" s="97">
        <v>0</v>
      </c>
      <c r="E199" s="97">
        <v>0</v>
      </c>
      <c r="F199" s="97">
        <v>0</v>
      </c>
      <c r="G199" s="97">
        <v>0</v>
      </c>
      <c r="H199" s="97">
        <v>0</v>
      </c>
      <c r="I199" s="97">
        <v>0</v>
      </c>
      <c r="J199" s="97">
        <v>0</v>
      </c>
      <c r="K199" s="98">
        <v>0</v>
      </c>
    </row>
    <row r="200" spans="2:11" x14ac:dyDescent="0.25">
      <c r="B200" s="59" t="s">
        <v>90</v>
      </c>
      <c r="C200" s="97">
        <v>0</v>
      </c>
      <c r="D200" s="97">
        <v>1600</v>
      </c>
      <c r="E200" s="97">
        <v>1600</v>
      </c>
      <c r="F200" s="97">
        <v>1600</v>
      </c>
      <c r="G200" s="97">
        <v>1600</v>
      </c>
      <c r="H200" s="97">
        <v>1600</v>
      </c>
      <c r="I200" s="97">
        <v>1600</v>
      </c>
      <c r="J200" s="97">
        <v>1600</v>
      </c>
      <c r="K200" s="98">
        <v>1600</v>
      </c>
    </row>
    <row r="201" spans="2:11" x14ac:dyDescent="0.25">
      <c r="B201" s="59" t="s">
        <v>91</v>
      </c>
      <c r="C201" s="97">
        <v>0</v>
      </c>
      <c r="D201" s="97">
        <v>0</v>
      </c>
      <c r="E201" s="97">
        <v>0</v>
      </c>
      <c r="F201" s="97">
        <v>0</v>
      </c>
      <c r="G201" s="97">
        <v>0</v>
      </c>
      <c r="H201" s="97">
        <v>0</v>
      </c>
      <c r="I201" s="97">
        <v>0</v>
      </c>
      <c r="J201" s="97">
        <v>0</v>
      </c>
      <c r="K201" s="98">
        <v>0</v>
      </c>
    </row>
    <row r="202" spans="2:11" x14ac:dyDescent="0.25">
      <c r="B202" s="59" t="s">
        <v>92</v>
      </c>
      <c r="C202" s="97">
        <v>0</v>
      </c>
      <c r="D202" s="97">
        <v>0</v>
      </c>
      <c r="E202" s="97">
        <v>0</v>
      </c>
      <c r="F202" s="97">
        <v>0</v>
      </c>
      <c r="G202" s="97">
        <v>0</v>
      </c>
      <c r="H202" s="97">
        <v>0</v>
      </c>
      <c r="I202" s="97">
        <v>0</v>
      </c>
      <c r="J202" s="97">
        <v>0</v>
      </c>
      <c r="K202" s="98">
        <v>0</v>
      </c>
    </row>
    <row r="203" spans="2:11" x14ac:dyDescent="0.25">
      <c r="B203" s="59" t="s">
        <v>93</v>
      </c>
      <c r="C203" s="97">
        <v>0</v>
      </c>
      <c r="D203" s="97">
        <v>0</v>
      </c>
      <c r="E203" s="97">
        <v>0</v>
      </c>
      <c r="F203" s="97">
        <v>0</v>
      </c>
      <c r="G203" s="97">
        <v>0</v>
      </c>
      <c r="H203" s="97">
        <v>0</v>
      </c>
      <c r="I203" s="97">
        <v>0</v>
      </c>
      <c r="J203" s="97">
        <v>0</v>
      </c>
      <c r="K203" s="98">
        <v>0</v>
      </c>
    </row>
    <row r="204" spans="2:11" x14ac:dyDescent="0.25">
      <c r="B204" s="59" t="s">
        <v>94</v>
      </c>
      <c r="C204" s="97">
        <v>0</v>
      </c>
      <c r="D204" s="97">
        <v>0</v>
      </c>
      <c r="E204" s="97">
        <v>0</v>
      </c>
      <c r="F204" s="97">
        <v>0</v>
      </c>
      <c r="G204" s="97">
        <v>0</v>
      </c>
      <c r="H204" s="97">
        <v>0</v>
      </c>
      <c r="I204" s="97">
        <v>0</v>
      </c>
      <c r="J204" s="97">
        <v>0</v>
      </c>
      <c r="K204" s="98">
        <v>0</v>
      </c>
    </row>
    <row r="205" spans="2:11" x14ac:dyDescent="0.25">
      <c r="B205" s="104" t="s">
        <v>36</v>
      </c>
      <c r="C205" s="124">
        <v>0</v>
      </c>
      <c r="D205" s="125">
        <v>1600</v>
      </c>
      <c r="E205" s="125">
        <v>1600</v>
      </c>
      <c r="F205" s="125">
        <v>1600</v>
      </c>
      <c r="G205" s="125">
        <v>1600</v>
      </c>
      <c r="H205" s="125">
        <v>1600</v>
      </c>
      <c r="I205" s="125">
        <v>1600</v>
      </c>
      <c r="J205" s="125">
        <v>1600</v>
      </c>
      <c r="K205" s="126">
        <v>1600</v>
      </c>
    </row>
  </sheetData>
  <mergeCells count="12">
    <mergeCell ref="C191:K191"/>
    <mergeCell ref="C143:K143"/>
    <mergeCell ref="C111:K111"/>
    <mergeCell ref="C127:K127"/>
    <mergeCell ref="C159:K159"/>
    <mergeCell ref="C175:K175"/>
    <mergeCell ref="AB2:AJ2"/>
    <mergeCell ref="C2:K2"/>
    <mergeCell ref="C47:K47"/>
    <mergeCell ref="C63:K63"/>
    <mergeCell ref="C95:K95"/>
    <mergeCell ref="C79:K79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B2:AH188"/>
  <sheetViews>
    <sheetView zoomScale="55" zoomScaleNormal="55" workbookViewId="0">
      <selection activeCell="D24" sqref="D24"/>
    </sheetView>
  </sheetViews>
  <sheetFormatPr baseColWidth="10" defaultRowHeight="15" x14ac:dyDescent="0.25"/>
  <cols>
    <col min="1" max="1" width="3.28515625" customWidth="1"/>
    <col min="2" max="2" width="45.5703125" bestFit="1" customWidth="1"/>
    <col min="3" max="3" width="18" bestFit="1" customWidth="1"/>
    <col min="4" max="5" width="13.85546875" bestFit="1" customWidth="1"/>
    <col min="6" max="7" width="13.42578125" bestFit="1" customWidth="1"/>
    <col min="8" max="8" width="13" bestFit="1" customWidth="1"/>
    <col min="9" max="11" width="13.85546875" bestFit="1" customWidth="1"/>
    <col min="12" max="12" width="15" customWidth="1"/>
    <col min="13" max="13" width="33.5703125" bestFit="1" customWidth="1"/>
  </cols>
  <sheetData>
    <row r="2" spans="2:22" x14ac:dyDescent="0.25">
      <c r="C2" s="165" t="s">
        <v>107</v>
      </c>
      <c r="D2" s="166"/>
      <c r="E2" s="166"/>
      <c r="F2" s="166"/>
      <c r="G2" s="166"/>
      <c r="H2" s="166"/>
      <c r="I2" s="166"/>
      <c r="J2" s="166"/>
      <c r="K2" s="167"/>
      <c r="M2" t="s">
        <v>110</v>
      </c>
      <c r="N2" s="165" t="s">
        <v>107</v>
      </c>
      <c r="O2" s="166"/>
      <c r="P2" s="166"/>
      <c r="Q2" s="166"/>
      <c r="R2" s="166"/>
      <c r="S2" s="166"/>
      <c r="T2" s="166"/>
      <c r="U2" s="166"/>
      <c r="V2" s="167"/>
    </row>
    <row r="3" spans="2:22" x14ac:dyDescent="0.25">
      <c r="B3" s="61" t="s">
        <v>20</v>
      </c>
      <c r="C3" s="43">
        <v>2020</v>
      </c>
      <c r="D3" s="39">
        <v>2025</v>
      </c>
      <c r="E3" s="39">
        <v>2030</v>
      </c>
      <c r="F3" s="39">
        <v>2035</v>
      </c>
      <c r="G3" s="39">
        <v>2040</v>
      </c>
      <c r="H3" s="39">
        <v>2045</v>
      </c>
      <c r="I3" s="39">
        <v>2050</v>
      </c>
      <c r="J3" s="39">
        <v>2055</v>
      </c>
      <c r="K3" s="40">
        <v>2060</v>
      </c>
      <c r="M3" s="109" t="s">
        <v>20</v>
      </c>
      <c r="N3" s="43">
        <v>2020</v>
      </c>
      <c r="O3" s="39">
        <v>2025</v>
      </c>
      <c r="P3" s="39">
        <v>2030</v>
      </c>
      <c r="Q3" s="39">
        <v>2035</v>
      </c>
      <c r="R3" s="39">
        <v>2040</v>
      </c>
      <c r="S3" s="39">
        <v>2045</v>
      </c>
      <c r="T3" s="39">
        <v>2050</v>
      </c>
      <c r="U3" s="39">
        <v>2055</v>
      </c>
      <c r="V3" s="40">
        <v>2060</v>
      </c>
    </row>
    <row r="4" spans="2:22" x14ac:dyDescent="0.25">
      <c r="B4" s="161" t="s">
        <v>21</v>
      </c>
      <c r="C4" s="66">
        <v>408.89148287999041</v>
      </c>
      <c r="D4" s="67">
        <v>406.43733901501457</v>
      </c>
      <c r="E4" s="67">
        <v>373.02863911617078</v>
      </c>
      <c r="F4" s="67">
        <v>304.56437501875331</v>
      </c>
      <c r="G4" s="67">
        <v>243.49298176204434</v>
      </c>
      <c r="H4" s="67">
        <v>164.18601790770074</v>
      </c>
      <c r="I4" s="67">
        <v>74.671917387053895</v>
      </c>
      <c r="J4" s="67">
        <v>10.232822794431399</v>
      </c>
      <c r="K4" s="105">
        <v>9.9973103480124301</v>
      </c>
      <c r="M4" s="106" t="s">
        <v>21</v>
      </c>
      <c r="N4" s="67">
        <v>408.89148287999041</v>
      </c>
      <c r="O4" s="67">
        <v>406.43733901501457</v>
      </c>
      <c r="P4" s="67">
        <v>373.02863911617078</v>
      </c>
      <c r="Q4" s="67">
        <v>304.56437501875331</v>
      </c>
      <c r="R4" s="67">
        <v>243.49298176204434</v>
      </c>
      <c r="S4" s="67">
        <v>164.18601790770074</v>
      </c>
      <c r="T4" s="67">
        <v>74.671917387053895</v>
      </c>
      <c r="U4" s="67">
        <v>10.232822794431399</v>
      </c>
      <c r="V4" s="105">
        <v>9.9973103480124301</v>
      </c>
    </row>
    <row r="5" spans="2:22" x14ac:dyDescent="0.25">
      <c r="B5" s="23" t="s">
        <v>57</v>
      </c>
      <c r="C5" s="65">
        <v>0.76080007691000362</v>
      </c>
      <c r="D5" s="68">
        <v>0.16472212084879509</v>
      </c>
      <c r="E5" s="68">
        <v>0.56891608630583068</v>
      </c>
      <c r="F5" s="68">
        <v>0.62111901905114075</v>
      </c>
      <c r="G5" s="68">
        <v>0.58046005065428508</v>
      </c>
      <c r="H5" s="68">
        <v>0.56212565709020623</v>
      </c>
      <c r="I5" s="68">
        <v>0.43001922523651859</v>
      </c>
      <c r="J5" s="68">
        <v>0.48146443811943346</v>
      </c>
      <c r="K5" s="69">
        <v>2.2012394257890975E-6</v>
      </c>
      <c r="M5" s="107" t="s">
        <v>109</v>
      </c>
      <c r="N5" s="68">
        <v>0.76343185153588389</v>
      </c>
      <c r="O5" s="68">
        <v>0.16969416836378309</v>
      </c>
      <c r="P5" s="68">
        <v>0.5817741744980629</v>
      </c>
      <c r="Q5" s="68">
        <v>0.63635716339180848</v>
      </c>
      <c r="R5" s="68">
        <v>0.59254825679877055</v>
      </c>
      <c r="S5" s="68">
        <v>0.59908201590052468</v>
      </c>
      <c r="T5" s="68">
        <v>0.48117620180859311</v>
      </c>
      <c r="U5" s="68">
        <v>0.48146672280298553</v>
      </c>
      <c r="V5" s="69">
        <v>4.3188116395359758E-6</v>
      </c>
    </row>
    <row r="6" spans="2:22" x14ac:dyDescent="0.25">
      <c r="B6" s="23" t="s">
        <v>56</v>
      </c>
      <c r="C6" s="65">
        <v>2.631774625880246E-3</v>
      </c>
      <c r="D6" s="68">
        <v>4.9720475149880108E-3</v>
      </c>
      <c r="E6" s="68">
        <v>1.2858088192232258E-2</v>
      </c>
      <c r="F6" s="68">
        <v>1.5238144340667708E-2</v>
      </c>
      <c r="G6" s="68">
        <v>1.2088206144485428E-2</v>
      </c>
      <c r="H6" s="68">
        <v>3.6956358810318495E-2</v>
      </c>
      <c r="I6" s="68">
        <v>5.1156976572074533E-2</v>
      </c>
      <c r="J6" s="68">
        <v>2.2846835520439838E-6</v>
      </c>
      <c r="K6" s="69">
        <v>2.1175722137468778E-6</v>
      </c>
      <c r="M6" s="107" t="s">
        <v>22</v>
      </c>
      <c r="N6" s="68">
        <v>21.214986206282859</v>
      </c>
      <c r="O6" s="68">
        <v>6.8087513218090745</v>
      </c>
      <c r="P6" s="68">
        <v>4.4222513219809043</v>
      </c>
      <c r="Q6" s="68">
        <v>2.0357513220763637</v>
      </c>
      <c r="R6" s="68">
        <v>0</v>
      </c>
      <c r="S6" s="68">
        <v>0</v>
      </c>
      <c r="T6" s="68">
        <v>0</v>
      </c>
      <c r="U6" s="68">
        <v>0</v>
      </c>
      <c r="V6" s="69">
        <v>0</v>
      </c>
    </row>
    <row r="7" spans="2:22" x14ac:dyDescent="0.25">
      <c r="B7" s="23" t="s">
        <v>58</v>
      </c>
      <c r="C7" s="65">
        <v>8.6738714302828708</v>
      </c>
      <c r="D7" s="68">
        <v>0</v>
      </c>
      <c r="E7" s="68">
        <v>0</v>
      </c>
      <c r="F7" s="68">
        <v>0</v>
      </c>
      <c r="G7" s="68">
        <v>0</v>
      </c>
      <c r="H7" s="68">
        <v>0</v>
      </c>
      <c r="I7" s="68">
        <v>0</v>
      </c>
      <c r="J7" s="68">
        <v>0</v>
      </c>
      <c r="K7" s="69">
        <v>0</v>
      </c>
      <c r="M7" s="107" t="s">
        <v>69</v>
      </c>
      <c r="N7" s="68">
        <v>13.300290426871463</v>
      </c>
      <c r="O7" s="68">
        <v>31.202530401003539</v>
      </c>
      <c r="P7" s="68">
        <v>39.573679584857736</v>
      </c>
      <c r="Q7" s="68">
        <v>55.002571745431496</v>
      </c>
      <c r="R7" s="68">
        <v>70.526408502639541</v>
      </c>
      <c r="S7" s="68">
        <v>85.275914114898256</v>
      </c>
      <c r="T7" s="68">
        <v>123.46409808979702</v>
      </c>
      <c r="U7" s="68">
        <v>144.7243872315311</v>
      </c>
      <c r="V7" s="69">
        <v>162.81232035352178</v>
      </c>
    </row>
    <row r="8" spans="2:22" x14ac:dyDescent="0.25">
      <c r="B8" s="23" t="s">
        <v>103</v>
      </c>
      <c r="C8" s="65">
        <v>12.54111477599999</v>
      </c>
      <c r="D8" s="68">
        <v>6.8087513218090745</v>
      </c>
      <c r="E8" s="68">
        <v>4.4222513219809043</v>
      </c>
      <c r="F8" s="68">
        <v>2.0357513220763637</v>
      </c>
      <c r="G8" s="68">
        <v>0</v>
      </c>
      <c r="H8" s="68">
        <v>0</v>
      </c>
      <c r="I8" s="68">
        <v>0</v>
      </c>
      <c r="J8" s="68">
        <v>0</v>
      </c>
      <c r="K8" s="69">
        <v>0</v>
      </c>
      <c r="M8" s="107" t="s">
        <v>70</v>
      </c>
      <c r="N8" s="68">
        <v>34.788272598718017</v>
      </c>
      <c r="O8" s="68">
        <v>52.528131542580311</v>
      </c>
      <c r="P8" s="68">
        <v>70.355046444793672</v>
      </c>
      <c r="Q8" s="68">
        <v>92.759339784844244</v>
      </c>
      <c r="R8" s="68">
        <v>115.11804204176454</v>
      </c>
      <c r="S8" s="68">
        <v>141.51337418169942</v>
      </c>
      <c r="T8" s="68">
        <v>175.11117102622472</v>
      </c>
      <c r="U8" s="68">
        <v>209.94613491683947</v>
      </c>
      <c r="V8" s="69">
        <v>251.35467970822438</v>
      </c>
    </row>
    <row r="9" spans="2:22" x14ac:dyDescent="0.25">
      <c r="B9" s="161" t="s">
        <v>98</v>
      </c>
      <c r="C9" s="66">
        <v>5.97194223859207</v>
      </c>
      <c r="D9" s="67">
        <v>21.223107378937268</v>
      </c>
      <c r="E9" s="67">
        <v>26.541807910481221</v>
      </c>
      <c r="F9" s="67">
        <v>37.030108429486987</v>
      </c>
      <c r="G9" s="67">
        <v>47.854750840248997</v>
      </c>
      <c r="H9" s="67">
        <v>58.211586559264518</v>
      </c>
      <c r="I9" s="67">
        <v>89.487607786008724</v>
      </c>
      <c r="J9" s="67">
        <v>105.48671624894217</v>
      </c>
      <c r="K9" s="105">
        <v>123.85035484331316</v>
      </c>
      <c r="M9" s="107" t="s">
        <v>111</v>
      </c>
      <c r="N9" s="68">
        <v>0</v>
      </c>
      <c r="O9" s="68">
        <v>9.6130183583355588</v>
      </c>
      <c r="P9" s="68">
        <v>19.97776346267052</v>
      </c>
      <c r="Q9" s="68">
        <v>35.26452521234696</v>
      </c>
      <c r="R9" s="68">
        <v>51.431744166495676</v>
      </c>
      <c r="S9" s="68">
        <v>67.217512547328425</v>
      </c>
      <c r="T9" s="68">
        <v>80.622881652983637</v>
      </c>
      <c r="U9" s="68">
        <v>80.668596670692267</v>
      </c>
      <c r="V9" s="69">
        <v>80.668596672084561</v>
      </c>
    </row>
    <row r="10" spans="2:22" x14ac:dyDescent="0.25">
      <c r="B10" s="23" t="s">
        <v>99</v>
      </c>
      <c r="C10" s="65">
        <v>7.3283481882793922</v>
      </c>
      <c r="D10" s="68">
        <v>9.9794230220662712</v>
      </c>
      <c r="E10" s="68">
        <v>13.031871674376514</v>
      </c>
      <c r="F10" s="68">
        <v>17.972463315944513</v>
      </c>
      <c r="G10" s="68">
        <v>22.671657662390544</v>
      </c>
      <c r="H10" s="68">
        <v>27.064327555633746</v>
      </c>
      <c r="I10" s="68">
        <v>33.976490303788296</v>
      </c>
      <c r="J10" s="68">
        <v>39.237670982588931</v>
      </c>
      <c r="K10" s="69">
        <v>38.961965510208628</v>
      </c>
      <c r="M10" s="107" t="s">
        <v>37</v>
      </c>
      <c r="N10" s="68">
        <v>63.525599465424307</v>
      </c>
      <c r="O10" s="68">
        <v>63.525599412490024</v>
      </c>
      <c r="P10" s="68">
        <v>63.525599296447801</v>
      </c>
      <c r="Q10" s="68">
        <v>63.525599531050219</v>
      </c>
      <c r="R10" s="68">
        <v>63.525599759908566</v>
      </c>
      <c r="S10" s="68">
        <v>63.525597737205786</v>
      </c>
      <c r="T10" s="68">
        <v>63.525599785437379</v>
      </c>
      <c r="U10" s="68">
        <v>63.525599336051748</v>
      </c>
      <c r="V10" s="69">
        <v>63.525584455859246</v>
      </c>
    </row>
    <row r="11" spans="2:22" x14ac:dyDescent="0.25">
      <c r="B11" s="23" t="s">
        <v>82</v>
      </c>
      <c r="C11" s="65">
        <v>0</v>
      </c>
      <c r="D11" s="68">
        <v>6.9072818888911147</v>
      </c>
      <c r="E11" s="68">
        <v>16.345810813611759</v>
      </c>
      <c r="F11" s="68">
        <v>28.159261888601467</v>
      </c>
      <c r="G11" s="68">
        <v>40.551441527476186</v>
      </c>
      <c r="H11" s="68">
        <v>52.562170597118339</v>
      </c>
      <c r="I11" s="68">
        <v>62.259709706692291</v>
      </c>
      <c r="J11" s="68">
        <v>62.259709706691552</v>
      </c>
      <c r="K11" s="69">
        <v>62.259709706635064</v>
      </c>
      <c r="M11" s="108" t="s">
        <v>35</v>
      </c>
      <c r="N11" s="71">
        <v>7.5937610677679972</v>
      </c>
      <c r="O11" s="71">
        <v>8.0083513092743956</v>
      </c>
      <c r="P11" s="71">
        <v>8.0083513092743956</v>
      </c>
      <c r="Q11" s="71">
        <v>8.0083513092743956</v>
      </c>
      <c r="R11" s="71">
        <v>8.0083513092743956</v>
      </c>
      <c r="S11" s="71">
        <v>8.0083513092743956</v>
      </c>
      <c r="T11" s="71">
        <v>8.0083513092743956</v>
      </c>
      <c r="U11" s="71">
        <v>8.0083513092743956</v>
      </c>
      <c r="V11" s="72">
        <v>8.0083513092743956</v>
      </c>
    </row>
    <row r="12" spans="2:22" x14ac:dyDescent="0.25">
      <c r="B12" s="23" t="s">
        <v>81</v>
      </c>
      <c r="C12" s="65">
        <v>0</v>
      </c>
      <c r="D12" s="68">
        <v>2.7057364694444432</v>
      </c>
      <c r="E12" s="68">
        <v>3.6319526490587606</v>
      </c>
      <c r="F12" s="68">
        <v>7.1052633237454907</v>
      </c>
      <c r="G12" s="68">
        <v>10.88030263901949</v>
      </c>
      <c r="H12" s="68">
        <v>14.655341950210087</v>
      </c>
      <c r="I12" s="68">
        <v>18.363171946291345</v>
      </c>
      <c r="J12" s="68">
        <v>18.408886964000715</v>
      </c>
      <c r="K12" s="69">
        <v>18.408886965449501</v>
      </c>
      <c r="M12" s="44"/>
      <c r="N12" s="46"/>
    </row>
    <row r="13" spans="2:22" x14ac:dyDescent="0.25">
      <c r="B13" s="23" t="s">
        <v>70</v>
      </c>
      <c r="C13" s="65">
        <v>34.788272598718017</v>
      </c>
      <c r="D13" s="68">
        <v>52.528131542580311</v>
      </c>
      <c r="E13" s="68">
        <v>70.355046444793672</v>
      </c>
      <c r="F13" s="68">
        <v>92.759339784844244</v>
      </c>
      <c r="G13" s="68">
        <v>115.11804204176454</v>
      </c>
      <c r="H13" s="68">
        <v>141.51337418169942</v>
      </c>
      <c r="I13" s="68">
        <v>175.11117102622472</v>
      </c>
      <c r="J13" s="68">
        <v>209.94613491683947</v>
      </c>
      <c r="K13" s="69">
        <v>251.35467970822438</v>
      </c>
      <c r="M13" t="s">
        <v>110</v>
      </c>
      <c r="N13" s="165" t="s">
        <v>107</v>
      </c>
      <c r="O13" s="166"/>
      <c r="P13" s="166"/>
      <c r="Q13" s="166"/>
      <c r="R13" s="166"/>
      <c r="S13" s="166"/>
      <c r="T13" s="166"/>
      <c r="U13" s="166"/>
      <c r="V13" s="167"/>
    </row>
    <row r="14" spans="2:22" x14ac:dyDescent="0.25">
      <c r="B14" s="23" t="s">
        <v>106</v>
      </c>
      <c r="C14" s="65">
        <v>0.46126655999999999</v>
      </c>
      <c r="D14" s="68">
        <v>0.46126655999999999</v>
      </c>
      <c r="E14" s="68">
        <v>0.46126655999999999</v>
      </c>
      <c r="F14" s="68">
        <v>0.46126655999999999</v>
      </c>
      <c r="G14" s="68">
        <v>0.46126655999999999</v>
      </c>
      <c r="H14" s="68">
        <v>0.46126655999999999</v>
      </c>
      <c r="I14" s="68">
        <v>0.46126655999999999</v>
      </c>
      <c r="J14" s="68">
        <v>0.46126655999999999</v>
      </c>
      <c r="K14" s="69">
        <v>0.46126655999999999</v>
      </c>
      <c r="M14" s="130" t="s">
        <v>120</v>
      </c>
      <c r="N14" s="43">
        <v>2020</v>
      </c>
      <c r="O14" s="39">
        <v>2025</v>
      </c>
      <c r="P14" s="39">
        <v>2030</v>
      </c>
      <c r="Q14" s="39">
        <v>2035</v>
      </c>
      <c r="R14" s="39">
        <v>2040</v>
      </c>
      <c r="S14" s="39">
        <v>2045</v>
      </c>
      <c r="T14" s="39">
        <v>2050</v>
      </c>
      <c r="U14" s="39">
        <v>2055</v>
      </c>
      <c r="V14" s="40">
        <v>2060</v>
      </c>
    </row>
    <row r="15" spans="2:22" x14ac:dyDescent="0.25">
      <c r="B15" s="23" t="s">
        <v>101</v>
      </c>
      <c r="C15" s="65">
        <v>2.3799584888399989</v>
      </c>
      <c r="D15" s="68">
        <v>2.3799584888399989</v>
      </c>
      <c r="E15" s="68">
        <v>2.3799584888399989</v>
      </c>
      <c r="F15" s="68">
        <v>2.3799584888399989</v>
      </c>
      <c r="G15" s="68">
        <v>2.3799584888399989</v>
      </c>
      <c r="H15" s="68">
        <v>2.3799584888399989</v>
      </c>
      <c r="I15" s="68">
        <v>2.3799584888399989</v>
      </c>
      <c r="J15" s="68">
        <v>2.3799584888399989</v>
      </c>
      <c r="K15" s="69">
        <v>2.3799584888399989</v>
      </c>
      <c r="M15" s="106" t="s">
        <v>21</v>
      </c>
      <c r="N15" s="67">
        <v>408.89148287999041</v>
      </c>
      <c r="O15" s="67">
        <v>406.43733901501457</v>
      </c>
      <c r="P15" s="67">
        <v>373.02863911617078</v>
      </c>
      <c r="Q15" s="67">
        <v>304.56437501875331</v>
      </c>
      <c r="R15" s="67">
        <v>243.49298176204434</v>
      </c>
      <c r="S15" s="67">
        <v>164.18601790770074</v>
      </c>
      <c r="T15" s="67">
        <v>74.671917387053895</v>
      </c>
      <c r="U15" s="67">
        <v>10.232822794431399</v>
      </c>
      <c r="V15" s="105">
        <v>9.9973103480124301</v>
      </c>
    </row>
    <row r="16" spans="2:22" x14ac:dyDescent="0.25">
      <c r="B16" s="23" t="s">
        <v>102</v>
      </c>
      <c r="C16" s="65">
        <v>1.6037893462559989</v>
      </c>
      <c r="D16" s="68">
        <v>1.9621097277623976</v>
      </c>
      <c r="E16" s="68">
        <v>1.9621097277623976</v>
      </c>
      <c r="F16" s="68">
        <v>1.9621097277623976</v>
      </c>
      <c r="G16" s="68">
        <v>1.9621097277623976</v>
      </c>
      <c r="H16" s="68">
        <v>1.9621097277623976</v>
      </c>
      <c r="I16" s="68">
        <v>1.9621097277623976</v>
      </c>
      <c r="J16" s="68">
        <v>1.9621097277623976</v>
      </c>
      <c r="K16" s="69">
        <v>1.9621097277623976</v>
      </c>
      <c r="M16" s="107" t="s">
        <v>109</v>
      </c>
      <c r="N16" s="68">
        <v>0.76343185153588389</v>
      </c>
      <c r="O16" s="68">
        <v>0.16969416836378309</v>
      </c>
      <c r="P16" s="68">
        <v>0.5817741744980629</v>
      </c>
      <c r="Q16" s="68">
        <v>0.63635716339180848</v>
      </c>
      <c r="R16" s="68">
        <v>0.59254825679877055</v>
      </c>
      <c r="S16" s="68">
        <v>0.59908201590052468</v>
      </c>
      <c r="T16" s="68">
        <v>0.48117620180859311</v>
      </c>
      <c r="U16" s="68">
        <v>0.48146672280298553</v>
      </c>
      <c r="V16" s="69">
        <v>4.3188116395359758E-6</v>
      </c>
    </row>
    <row r="17" spans="2:22" x14ac:dyDescent="0.25">
      <c r="B17" s="23" t="s">
        <v>104</v>
      </c>
      <c r="C17" s="65">
        <v>3.144046932672</v>
      </c>
      <c r="D17" s="68">
        <v>3.144046932672</v>
      </c>
      <c r="E17" s="68">
        <v>3.144046932672</v>
      </c>
      <c r="F17" s="68">
        <v>3.144046932672</v>
      </c>
      <c r="G17" s="68">
        <v>3.144046932672</v>
      </c>
      <c r="H17" s="68">
        <v>3.144046932672</v>
      </c>
      <c r="I17" s="68">
        <v>3.144046932672</v>
      </c>
      <c r="J17" s="68">
        <v>3.144046932672</v>
      </c>
      <c r="K17" s="69">
        <v>3.144046932672</v>
      </c>
      <c r="M17" s="107" t="s">
        <v>22</v>
      </c>
      <c r="N17" s="68">
        <v>21.214986206282859</v>
      </c>
      <c r="O17" s="68">
        <v>6.8087513218090745</v>
      </c>
      <c r="P17" s="68">
        <v>4.4222513219809043</v>
      </c>
      <c r="Q17" s="68">
        <v>2.0357513220763637</v>
      </c>
      <c r="R17" s="68">
        <v>0</v>
      </c>
      <c r="S17" s="68">
        <v>0</v>
      </c>
      <c r="T17" s="68">
        <v>0</v>
      </c>
      <c r="U17" s="68">
        <v>0</v>
      </c>
      <c r="V17" s="69">
        <v>0</v>
      </c>
    </row>
    <row r="18" spans="2:22" x14ac:dyDescent="0.25">
      <c r="B18" s="38" t="s">
        <v>100</v>
      </c>
      <c r="C18" s="65">
        <v>4.69974E-3</v>
      </c>
      <c r="D18" s="68">
        <v>6.0969599999999999E-2</v>
      </c>
      <c r="E18" s="68">
        <v>6.0969599999999999E-2</v>
      </c>
      <c r="F18" s="68">
        <v>6.0969599999999999E-2</v>
      </c>
      <c r="G18" s="68">
        <v>6.0969599999999999E-2</v>
      </c>
      <c r="H18" s="68">
        <v>6.0969599999999999E-2</v>
      </c>
      <c r="I18" s="68">
        <v>6.0969599999999999E-2</v>
      </c>
      <c r="J18" s="68">
        <v>6.0969599999999999E-2</v>
      </c>
      <c r="K18" s="69">
        <v>6.0969599999999999E-2</v>
      </c>
      <c r="M18" s="108" t="s">
        <v>119</v>
      </c>
      <c r="N18" s="71">
        <v>119.20792355878179</v>
      </c>
      <c r="O18" s="71">
        <v>164.87763102368385</v>
      </c>
      <c r="P18" s="71">
        <v>201.44044009804412</v>
      </c>
      <c r="Q18" s="71">
        <v>254.5603875829473</v>
      </c>
      <c r="R18" s="71">
        <v>308.61014578008275</v>
      </c>
      <c r="S18" s="71">
        <v>365.54074989040629</v>
      </c>
      <c r="T18" s="71">
        <v>450.73210186371716</v>
      </c>
      <c r="U18" s="71">
        <v>506.873069464389</v>
      </c>
      <c r="V18" s="72">
        <v>566.36953249896442</v>
      </c>
    </row>
    <row r="19" spans="2:22" x14ac:dyDescent="0.25">
      <c r="B19" s="164" t="s">
        <v>37</v>
      </c>
      <c r="C19" s="66">
        <v>63.525599465424307</v>
      </c>
      <c r="D19" s="67">
        <v>63.525599412490024</v>
      </c>
      <c r="E19" s="67">
        <v>63.525599296447801</v>
      </c>
      <c r="F19" s="67">
        <v>63.525599531050219</v>
      </c>
      <c r="G19" s="67">
        <v>63.525599759908566</v>
      </c>
      <c r="H19" s="67">
        <v>63.525597737205786</v>
      </c>
      <c r="I19" s="67">
        <v>63.525599785437379</v>
      </c>
      <c r="J19" s="67">
        <v>63.525599336051748</v>
      </c>
      <c r="K19" s="105">
        <v>63.525584455859246</v>
      </c>
      <c r="M19" s="107" t="s">
        <v>121</v>
      </c>
      <c r="N19" s="15">
        <v>0.2167110147875459</v>
      </c>
      <c r="O19" s="15">
        <v>0.28511068360150182</v>
      </c>
      <c r="P19" s="15">
        <v>0.34762690185356354</v>
      </c>
      <c r="Q19" s="15">
        <v>0.45311820105073086</v>
      </c>
      <c r="R19" s="15">
        <v>0.55837264392196373</v>
      </c>
      <c r="S19" s="15">
        <v>0.68927575380043482</v>
      </c>
      <c r="T19" s="15">
        <v>0.85709220522135954</v>
      </c>
      <c r="U19" s="15">
        <v>0.97929955333856056</v>
      </c>
      <c r="V19" s="19">
        <v>0.98265459799434229</v>
      </c>
    </row>
    <row r="20" spans="2:22" x14ac:dyDescent="0.25">
      <c r="B20" s="164" t="s">
        <v>36</v>
      </c>
      <c r="C20" s="133">
        <v>550.07782449659089</v>
      </c>
      <c r="D20" s="110">
        <v>578.29341552887126</v>
      </c>
      <c r="E20" s="110">
        <v>579.47310471069397</v>
      </c>
      <c r="F20" s="110">
        <v>561.79687108716882</v>
      </c>
      <c r="G20" s="110">
        <v>552.69567579892589</v>
      </c>
      <c r="H20" s="110">
        <v>530.3258498140076</v>
      </c>
      <c r="I20" s="110">
        <v>525.88519545257964</v>
      </c>
      <c r="J20" s="110">
        <v>517.58735898162342</v>
      </c>
      <c r="K20" s="111">
        <v>576.36684716578861</v>
      </c>
      <c r="M20" s="108" t="s">
        <v>122</v>
      </c>
      <c r="N20" s="21">
        <v>0.74333387871832768</v>
      </c>
      <c r="O20" s="21">
        <v>0.70282200713510146</v>
      </c>
      <c r="P20" s="21">
        <v>0.6437376231678742</v>
      </c>
      <c r="Q20" s="21">
        <v>0.542125438380195</v>
      </c>
      <c r="R20" s="21">
        <v>0.44055525024702491</v>
      </c>
      <c r="S20" s="21">
        <v>0.30959459729387695</v>
      </c>
      <c r="T20" s="21">
        <v>0.14199281142111414</v>
      </c>
      <c r="U20" s="21">
        <v>1.977023321157793E-2</v>
      </c>
      <c r="V20" s="22">
        <v>1.7345394512493121E-2</v>
      </c>
    </row>
    <row r="22" spans="2:22" x14ac:dyDescent="0.25">
      <c r="B22" s="102" t="s">
        <v>169</v>
      </c>
      <c r="C22" s="43">
        <v>2020</v>
      </c>
      <c r="D22" s="39">
        <v>2025</v>
      </c>
      <c r="E22" s="39">
        <v>2030</v>
      </c>
      <c r="F22" s="39">
        <v>2035</v>
      </c>
      <c r="G22" s="39">
        <v>2040</v>
      </c>
      <c r="H22" s="39">
        <v>2045</v>
      </c>
      <c r="I22" s="39">
        <v>2050</v>
      </c>
      <c r="J22" s="39">
        <v>2055</v>
      </c>
      <c r="K22" s="40">
        <v>2060</v>
      </c>
      <c r="M22" s="134" t="s">
        <v>112</v>
      </c>
      <c r="N22" s="125">
        <v>467.67852966098656</v>
      </c>
      <c r="O22" s="125">
        <v>459.83744007997865</v>
      </c>
      <c r="P22" s="125">
        <v>458.62823001136053</v>
      </c>
      <c r="Q22" s="125">
        <v>471.31204451771714</v>
      </c>
      <c r="R22" s="125">
        <v>481.22261655320654</v>
      </c>
      <c r="S22" s="125">
        <v>488.61239951268169</v>
      </c>
      <c r="T22" s="125">
        <v>519.12010885506675</v>
      </c>
      <c r="U22" s="125">
        <v>521.93855405312422</v>
      </c>
      <c r="V22" s="126">
        <v>540.18842150158025</v>
      </c>
    </row>
    <row r="23" spans="2:22" x14ac:dyDescent="0.25">
      <c r="B23" s="24" t="s">
        <v>64</v>
      </c>
      <c r="C23" s="41">
        <v>3.0650999156052672</v>
      </c>
      <c r="D23" s="34">
        <v>3.8566373271561072</v>
      </c>
      <c r="E23" s="34">
        <v>5.8270920439274194</v>
      </c>
      <c r="F23" s="34">
        <v>5.8291772847573826</v>
      </c>
      <c r="G23" s="34">
        <v>6.5171806392578837</v>
      </c>
      <c r="H23" s="34">
        <v>6.7462481658761053</v>
      </c>
      <c r="I23" s="34">
        <v>6.5596736001065556</v>
      </c>
      <c r="J23" s="34">
        <v>7.0117583428563641</v>
      </c>
      <c r="K23" s="35">
        <v>10.215253319604789</v>
      </c>
    </row>
    <row r="24" spans="2:22" x14ac:dyDescent="0.25">
      <c r="B24" s="26" t="s">
        <v>63</v>
      </c>
      <c r="C24" s="31">
        <v>2.1252157036899895E-6</v>
      </c>
      <c r="D24" s="32">
        <v>3.9829152014953135E-6</v>
      </c>
      <c r="E24" s="32">
        <v>6.946818255577103E-6</v>
      </c>
      <c r="F24" s="32">
        <v>7.920989322727684E-2</v>
      </c>
      <c r="G24" s="32">
        <v>8.1284731822778192E-2</v>
      </c>
      <c r="H24" s="32">
        <v>8.7879215817297879E-2</v>
      </c>
      <c r="I24" s="32">
        <v>8.090124002506853E-2</v>
      </c>
      <c r="J24" s="32">
        <v>1.0633727031265065E-5</v>
      </c>
      <c r="K24" s="33">
        <v>9.2559427536462372E-6</v>
      </c>
    </row>
    <row r="26" spans="2:22" x14ac:dyDescent="0.25">
      <c r="B26" s="102" t="s">
        <v>118</v>
      </c>
      <c r="C26" s="43">
        <v>2020</v>
      </c>
      <c r="D26" s="39">
        <v>2025</v>
      </c>
      <c r="E26" s="39">
        <v>2030</v>
      </c>
      <c r="F26" s="39">
        <v>2035</v>
      </c>
      <c r="G26" s="39">
        <v>2040</v>
      </c>
      <c r="H26" s="39">
        <v>2045</v>
      </c>
      <c r="I26" s="39">
        <v>2050</v>
      </c>
      <c r="J26" s="39">
        <v>2055</v>
      </c>
      <c r="K26" s="40">
        <v>2060</v>
      </c>
    </row>
    <row r="27" spans="2:22" x14ac:dyDescent="0.25">
      <c r="B27" s="24" t="s">
        <v>139</v>
      </c>
      <c r="C27" s="41">
        <v>0</v>
      </c>
      <c r="D27" s="34">
        <v>1.5973045520964124</v>
      </c>
      <c r="E27" s="34">
        <v>11.699024403730201</v>
      </c>
      <c r="F27" s="34">
        <v>21.965824456934346</v>
      </c>
      <c r="G27" s="34">
        <v>30.937507492687157</v>
      </c>
      <c r="H27" s="34">
        <v>38.2708387247038</v>
      </c>
      <c r="I27" s="34">
        <v>61.788124664458238</v>
      </c>
      <c r="J27" s="34">
        <v>63.703938304060657</v>
      </c>
      <c r="K27" s="35">
        <v>76.116895354947346</v>
      </c>
    </row>
    <row r="28" spans="2:22" x14ac:dyDescent="0.25">
      <c r="B28" s="26" t="s">
        <v>153</v>
      </c>
      <c r="C28" s="31">
        <v>0</v>
      </c>
      <c r="D28" s="32">
        <v>7.8147663832654954</v>
      </c>
      <c r="E28" s="32">
        <v>14.733417738439314</v>
      </c>
      <c r="F28" s="32">
        <v>21.00804845688187</v>
      </c>
      <c r="G28" s="32">
        <v>27.643267939809522</v>
      </c>
      <c r="H28" s="32">
        <v>34.850705038236946</v>
      </c>
      <c r="I28" s="32">
        <v>41.390823095183812</v>
      </c>
      <c r="J28" s="32">
        <v>41.558886709349466</v>
      </c>
      <c r="K28" s="33">
        <v>42.647151895090602</v>
      </c>
    </row>
    <row r="31" spans="2:22" x14ac:dyDescent="0.25">
      <c r="C31" s="165" t="s">
        <v>107</v>
      </c>
      <c r="D31" s="166"/>
      <c r="E31" s="166"/>
      <c r="F31" s="166"/>
      <c r="G31" s="166"/>
      <c r="H31" s="166"/>
      <c r="I31" s="166"/>
      <c r="J31" s="166"/>
      <c r="K31" s="167"/>
    </row>
    <row r="32" spans="2:22" x14ac:dyDescent="0.25">
      <c r="B32" s="134" t="s">
        <v>108</v>
      </c>
      <c r="C32" s="39">
        <v>2020</v>
      </c>
      <c r="D32" s="39">
        <v>2025</v>
      </c>
      <c r="E32" s="39">
        <v>2030</v>
      </c>
      <c r="F32" s="39">
        <v>2035</v>
      </c>
      <c r="G32" s="39">
        <v>2040</v>
      </c>
      <c r="H32" s="39">
        <v>2045</v>
      </c>
      <c r="I32" s="39">
        <v>2050</v>
      </c>
      <c r="J32" s="39">
        <v>2055</v>
      </c>
      <c r="K32" s="40">
        <v>2060</v>
      </c>
    </row>
    <row r="33" spans="2:11" x14ac:dyDescent="0.25">
      <c r="B33" s="47" t="s">
        <v>79</v>
      </c>
      <c r="C33" s="78">
        <v>5.97194223859207</v>
      </c>
      <c r="D33" s="78">
        <v>21.223107378910278</v>
      </c>
      <c r="E33" s="78">
        <v>26.541807910115942</v>
      </c>
      <c r="F33" s="78">
        <v>37.030108428582523</v>
      </c>
      <c r="G33" s="78">
        <v>47.854750838880072</v>
      </c>
      <c r="H33" s="78">
        <v>57.054523615987478</v>
      </c>
      <c r="I33" s="78">
        <v>44.653291607076213</v>
      </c>
      <c r="J33" s="78">
        <v>53.348790143015627</v>
      </c>
      <c r="K33" s="79">
        <v>71.712428728291584</v>
      </c>
    </row>
    <row r="34" spans="2:11" x14ac:dyDescent="0.25">
      <c r="B34" s="59" t="s">
        <v>80</v>
      </c>
      <c r="C34" s="80">
        <v>0</v>
      </c>
      <c r="D34" s="80">
        <v>2.6990746055000001E-11</v>
      </c>
      <c r="E34" s="80">
        <v>3.6527991733000001E-10</v>
      </c>
      <c r="F34" s="80">
        <v>9.0446673339799984E-10</v>
      </c>
      <c r="G34" s="80">
        <v>1.3689268202970003E-9</v>
      </c>
      <c r="H34" s="80">
        <v>1.1570629432770425</v>
      </c>
      <c r="I34" s="80">
        <v>44.834316178932511</v>
      </c>
      <c r="J34" s="80">
        <v>52.137926105926546</v>
      </c>
      <c r="K34" s="81">
        <v>52.137926115021571</v>
      </c>
    </row>
    <row r="35" spans="2:11" x14ac:dyDescent="0.25">
      <c r="B35" s="103" t="s">
        <v>76</v>
      </c>
      <c r="C35" s="82">
        <v>5.97194223859207</v>
      </c>
      <c r="D35" s="82">
        <v>21.223107378937268</v>
      </c>
      <c r="E35" s="82">
        <v>26.541807910481221</v>
      </c>
      <c r="F35" s="82">
        <v>37.030108429486987</v>
      </c>
      <c r="G35" s="82">
        <v>47.854750840248997</v>
      </c>
      <c r="H35" s="82">
        <v>58.211586559264518</v>
      </c>
      <c r="I35" s="82">
        <v>89.487607786008724</v>
      </c>
      <c r="J35" s="82">
        <v>105.48671624894217</v>
      </c>
      <c r="K35" s="83">
        <v>123.85035484331316</v>
      </c>
    </row>
    <row r="36" spans="2:11" x14ac:dyDescent="0.25">
      <c r="B36" s="59" t="s">
        <v>73</v>
      </c>
      <c r="C36" s="80">
        <v>5.3111395325973181</v>
      </c>
      <c r="D36" s="80">
        <v>7.7070464641111505</v>
      </c>
      <c r="E36" s="80">
        <v>10.588971068279136</v>
      </c>
      <c r="F36" s="80">
        <v>14.458420531052537</v>
      </c>
      <c r="G36" s="80">
        <v>18.169659056823228</v>
      </c>
      <c r="H36" s="80">
        <v>21.574373255325391</v>
      </c>
      <c r="I36" s="80">
        <v>27.498580147533193</v>
      </c>
      <c r="J36" s="141">
        <v>32.75976082636484</v>
      </c>
      <c r="K36" s="81">
        <v>32.484055354224431</v>
      </c>
    </row>
    <row r="37" spans="2:11" x14ac:dyDescent="0.25">
      <c r="B37" s="59" t="s">
        <v>74</v>
      </c>
      <c r="C37" s="80">
        <v>2.0172086556820736</v>
      </c>
      <c r="D37" s="80">
        <v>2.2723765579551198</v>
      </c>
      <c r="E37" s="80">
        <v>2.4429006060973779</v>
      </c>
      <c r="F37" s="80">
        <v>3.5140427848919749</v>
      </c>
      <c r="G37" s="80">
        <v>4.5019986055673176</v>
      </c>
      <c r="H37" s="80">
        <v>5.4899543003083568</v>
      </c>
      <c r="I37" s="80">
        <v>6.4779101562551027</v>
      </c>
      <c r="J37" s="80">
        <v>6.4779101562240911</v>
      </c>
      <c r="K37" s="81">
        <v>6.4779101559841967</v>
      </c>
    </row>
    <row r="38" spans="2:11" x14ac:dyDescent="0.25">
      <c r="B38" s="103" t="s">
        <v>75</v>
      </c>
      <c r="C38" s="82">
        <v>7.3283481882793922</v>
      </c>
      <c r="D38" s="82">
        <v>9.9794230220662712</v>
      </c>
      <c r="E38" s="82">
        <v>13.031871674376514</v>
      </c>
      <c r="F38" s="82">
        <v>17.972463315944513</v>
      </c>
      <c r="G38" s="82">
        <v>22.671657662390544</v>
      </c>
      <c r="H38" s="82">
        <v>27.064327555633746</v>
      </c>
      <c r="I38" s="82">
        <v>33.976490303788296</v>
      </c>
      <c r="J38" s="82">
        <v>39.237670982588931</v>
      </c>
      <c r="K38" s="83">
        <v>38.961965510208628</v>
      </c>
    </row>
    <row r="39" spans="2:11" x14ac:dyDescent="0.25">
      <c r="B39" s="59" t="s">
        <v>70</v>
      </c>
      <c r="C39" s="80">
        <v>34.788272598718017</v>
      </c>
      <c r="D39" s="80">
        <v>52.528131542580311</v>
      </c>
      <c r="E39" s="80">
        <v>70.355046444793672</v>
      </c>
      <c r="F39" s="80">
        <v>92.759339784844244</v>
      </c>
      <c r="G39" s="80">
        <v>115.11804204176454</v>
      </c>
      <c r="H39" s="80">
        <v>141.51337418169942</v>
      </c>
      <c r="I39" s="80">
        <v>175.11117102622472</v>
      </c>
      <c r="J39" s="80">
        <v>209.94613491683947</v>
      </c>
      <c r="K39" s="81">
        <v>251.35467970822438</v>
      </c>
    </row>
    <row r="40" spans="2:11" x14ac:dyDescent="0.25">
      <c r="B40" s="59" t="s">
        <v>82</v>
      </c>
      <c r="C40" s="80">
        <v>0</v>
      </c>
      <c r="D40" s="80">
        <v>6.9072818888911147</v>
      </c>
      <c r="E40" s="80">
        <v>16.345810813611759</v>
      </c>
      <c r="F40" s="80">
        <v>28.159261888601467</v>
      </c>
      <c r="G40" s="80">
        <v>40.551441527476186</v>
      </c>
      <c r="H40" s="80">
        <v>52.562170597118339</v>
      </c>
      <c r="I40" s="80">
        <v>62.259709706692291</v>
      </c>
      <c r="J40" s="80">
        <v>62.259709706691552</v>
      </c>
      <c r="K40" s="81">
        <v>62.259709706635064</v>
      </c>
    </row>
    <row r="41" spans="2:11" x14ac:dyDescent="0.25">
      <c r="B41" s="59" t="s">
        <v>81</v>
      </c>
      <c r="C41" s="80">
        <v>0</v>
      </c>
      <c r="D41" s="80">
        <v>2.7057364694444432</v>
      </c>
      <c r="E41" s="80">
        <v>3.6319526490587606</v>
      </c>
      <c r="F41" s="80">
        <v>7.1052633237454907</v>
      </c>
      <c r="G41" s="80">
        <v>10.88030263901949</v>
      </c>
      <c r="H41" s="80">
        <v>14.655341950210087</v>
      </c>
      <c r="I41" s="80">
        <v>18.363171946291345</v>
      </c>
      <c r="J41" s="80">
        <v>18.408886964000715</v>
      </c>
      <c r="K41" s="81">
        <v>18.408886965449501</v>
      </c>
    </row>
    <row r="42" spans="2:11" x14ac:dyDescent="0.25">
      <c r="B42" s="59" t="s">
        <v>37</v>
      </c>
      <c r="C42" s="84">
        <v>63.525599465424307</v>
      </c>
      <c r="D42" s="84">
        <v>63.525599412490024</v>
      </c>
      <c r="E42" s="84">
        <v>63.525599296447801</v>
      </c>
      <c r="F42" s="84">
        <v>63.525599531050219</v>
      </c>
      <c r="G42" s="84">
        <v>63.525599759908566</v>
      </c>
      <c r="H42" s="84">
        <v>63.525597737205786</v>
      </c>
      <c r="I42" s="84">
        <v>63.525599785437379</v>
      </c>
      <c r="J42" s="84">
        <v>63.525599336051748</v>
      </c>
      <c r="K42" s="85">
        <v>63.525584455859246</v>
      </c>
    </row>
    <row r="43" spans="2:11" x14ac:dyDescent="0.25">
      <c r="B43" s="27" t="s">
        <v>35</v>
      </c>
      <c r="C43" s="86">
        <v>7.5937610677679972</v>
      </c>
      <c r="D43" s="86">
        <v>8.0083513092743956</v>
      </c>
      <c r="E43" s="86">
        <v>8.0083513092743956</v>
      </c>
      <c r="F43" s="86">
        <v>8.0083513092743956</v>
      </c>
      <c r="G43" s="86">
        <v>8.0083513092743956</v>
      </c>
      <c r="H43" s="86">
        <v>8.0083513092743956</v>
      </c>
      <c r="I43" s="86">
        <v>8.0083513092743956</v>
      </c>
      <c r="J43" s="86">
        <v>8.0083513092743956</v>
      </c>
      <c r="K43" s="87">
        <v>8.0083513092743956</v>
      </c>
    </row>
    <row r="44" spans="2:11" x14ac:dyDescent="0.25">
      <c r="B44" s="104" t="s">
        <v>36</v>
      </c>
      <c r="C44" s="32">
        <v>119.20792355878177</v>
      </c>
      <c r="D44" s="32">
        <v>164.87763102368382</v>
      </c>
      <c r="E44" s="32">
        <v>201.44044009804412</v>
      </c>
      <c r="F44" s="32">
        <v>254.56038758294727</v>
      </c>
      <c r="G44" s="32">
        <v>308.61014578008275</v>
      </c>
      <c r="H44" s="32">
        <v>365.54074989040623</v>
      </c>
      <c r="I44" s="32">
        <v>450.73210186371716</v>
      </c>
      <c r="J44" s="32">
        <v>506.873069464389</v>
      </c>
      <c r="K44" s="33">
        <v>566.36953249896442</v>
      </c>
    </row>
    <row r="46" spans="2:11" x14ac:dyDescent="0.25">
      <c r="C46" s="165" t="s">
        <v>107</v>
      </c>
      <c r="D46" s="166"/>
      <c r="E46" s="166"/>
      <c r="F46" s="166"/>
      <c r="G46" s="166"/>
      <c r="H46" s="166"/>
      <c r="I46" s="166"/>
      <c r="J46" s="166"/>
      <c r="K46" s="167"/>
    </row>
    <row r="47" spans="2:11" x14ac:dyDescent="0.25">
      <c r="B47" s="64" t="s">
        <v>78</v>
      </c>
      <c r="C47" s="28">
        <v>2020</v>
      </c>
      <c r="D47" s="29">
        <v>2025</v>
      </c>
      <c r="E47" s="29">
        <v>2030</v>
      </c>
      <c r="F47" s="29">
        <v>2035</v>
      </c>
      <c r="G47" s="29">
        <v>2040</v>
      </c>
      <c r="H47" s="29">
        <v>2045</v>
      </c>
      <c r="I47" s="29">
        <v>2050</v>
      </c>
      <c r="J47" s="29">
        <v>2055</v>
      </c>
      <c r="K47" s="30">
        <v>2060</v>
      </c>
    </row>
    <row r="48" spans="2:11" x14ac:dyDescent="0.25">
      <c r="B48" s="47" t="s">
        <v>83</v>
      </c>
      <c r="C48" s="90">
        <v>1.0755095100713101</v>
      </c>
      <c r="D48" s="91">
        <v>1.4914362575491651</v>
      </c>
      <c r="E48" s="91">
        <v>11.280848398543551</v>
      </c>
      <c r="F48" s="91">
        <v>15.975497997493648</v>
      </c>
      <c r="G48" s="91">
        <v>15.826499191371482</v>
      </c>
      <c r="H48" s="91">
        <v>28.331455325592501</v>
      </c>
      <c r="I48" s="91">
        <v>32.827504564790104</v>
      </c>
      <c r="J48" s="91">
        <v>35.481707784305399</v>
      </c>
      <c r="K48" s="92">
        <v>35.481707784393706</v>
      </c>
    </row>
    <row r="49" spans="2:11" x14ac:dyDescent="0.25">
      <c r="B49" s="59" t="s">
        <v>84</v>
      </c>
      <c r="C49" s="90">
        <v>1.86911290091343</v>
      </c>
      <c r="D49" s="91">
        <v>10.04133288030393</v>
      </c>
      <c r="E49" s="91">
        <v>15.07142795408803</v>
      </c>
      <c r="F49" s="91">
        <v>23.82293212110503</v>
      </c>
      <c r="G49" s="91">
        <v>23.241051068494787</v>
      </c>
      <c r="H49" s="91">
        <v>22.140768962897802</v>
      </c>
      <c r="I49" s="91">
        <v>34.2836720911424</v>
      </c>
      <c r="J49" s="91">
        <v>38.787172190521503</v>
      </c>
      <c r="K49" s="92">
        <v>38.787172195450793</v>
      </c>
    </row>
    <row r="50" spans="2:11" x14ac:dyDescent="0.25">
      <c r="B50" s="59" t="s">
        <v>85</v>
      </c>
      <c r="C50" s="90">
        <v>2.1412637046582099</v>
      </c>
      <c r="D50" s="91">
        <v>2.3759529106449762</v>
      </c>
      <c r="E50" s="91">
        <v>2.6985299462889856</v>
      </c>
      <c r="F50" s="91">
        <v>3.3305148513865763</v>
      </c>
      <c r="G50" s="91">
        <v>3.73127715313941</v>
      </c>
      <c r="H50" s="91">
        <v>4.1925333668909097</v>
      </c>
      <c r="I50" s="91">
        <v>4.4411605973329804</v>
      </c>
      <c r="J50" s="91">
        <v>4.4411605973329804</v>
      </c>
      <c r="K50" s="92">
        <v>4.4411605973329804</v>
      </c>
    </row>
    <row r="51" spans="2:11" x14ac:dyDescent="0.25">
      <c r="B51" s="59" t="s">
        <v>86</v>
      </c>
      <c r="C51" s="90">
        <v>2.2577015068246697</v>
      </c>
      <c r="D51" s="91">
        <v>2.5400844205862518</v>
      </c>
      <c r="E51" s="91">
        <v>2.8410266583138819</v>
      </c>
      <c r="F51" s="91">
        <v>3.4587470872455199</v>
      </c>
      <c r="G51" s="91">
        <v>11.069826348963266</v>
      </c>
      <c r="H51" s="91">
        <v>10.104669887443499</v>
      </c>
      <c r="I51" s="91">
        <v>26.289109386420801</v>
      </c>
      <c r="J51" s="91">
        <v>26.289109386606199</v>
      </c>
      <c r="K51" s="92">
        <v>26.289109386621398</v>
      </c>
    </row>
    <row r="52" spans="2:11" x14ac:dyDescent="0.25">
      <c r="B52" s="59" t="s">
        <v>87</v>
      </c>
      <c r="C52" s="90">
        <v>7.5383030460478393</v>
      </c>
      <c r="D52" s="91">
        <v>8.3722832414378878</v>
      </c>
      <c r="E52" s="91">
        <v>8.0882923028908582</v>
      </c>
      <c r="F52" s="91">
        <v>9.2149498764601798</v>
      </c>
      <c r="G52" s="91">
        <v>10.266354865684018</v>
      </c>
      <c r="H52" s="91">
        <v>11.5889164411844</v>
      </c>
      <c r="I52" s="91">
        <v>14.0889288491638</v>
      </c>
      <c r="J52" s="91">
        <v>18.2636997045127</v>
      </c>
      <c r="K52" s="92">
        <v>24.126352992633699</v>
      </c>
    </row>
    <row r="53" spans="2:11" x14ac:dyDescent="0.25">
      <c r="B53" s="59" t="s">
        <v>88</v>
      </c>
      <c r="C53" s="90">
        <v>10.920203868464901</v>
      </c>
      <c r="D53" s="91">
        <v>10.960743108322912</v>
      </c>
      <c r="E53" s="91">
        <v>11.107772120847956</v>
      </c>
      <c r="F53" s="91">
        <v>11.924972967075108</v>
      </c>
      <c r="G53" s="91">
        <v>18.518519945089889</v>
      </c>
      <c r="H53" s="91">
        <v>15.0986087450454</v>
      </c>
      <c r="I53" s="91">
        <v>17.943147017742103</v>
      </c>
      <c r="J53" s="91">
        <v>17.943147017734397</v>
      </c>
      <c r="K53" s="92">
        <v>17.943147017723302</v>
      </c>
    </row>
    <row r="54" spans="2:11" x14ac:dyDescent="0.25">
      <c r="B54" s="59" t="s">
        <v>89</v>
      </c>
      <c r="C54" s="90">
        <v>0.20025224818933302</v>
      </c>
      <c r="D54" s="91">
        <v>0.29140275151762352</v>
      </c>
      <c r="E54" s="91">
        <v>0.38255351358614598</v>
      </c>
      <c r="F54" s="91">
        <v>0.48024242465003908</v>
      </c>
      <c r="G54" s="91">
        <v>0.60915400236783901</v>
      </c>
      <c r="H54" s="91">
        <v>0.75533068228123901</v>
      </c>
      <c r="I54" s="91">
        <v>0.85292234671903999</v>
      </c>
      <c r="J54" s="91">
        <v>0.85292234671903999</v>
      </c>
      <c r="K54" s="92">
        <v>0.85292234686692792</v>
      </c>
    </row>
    <row r="55" spans="2:11" x14ac:dyDescent="0.25">
      <c r="B55" s="59" t="s">
        <v>90</v>
      </c>
      <c r="C55" s="90">
        <v>1.72309657728999</v>
      </c>
      <c r="D55" s="91">
        <v>1.9613670718928689</v>
      </c>
      <c r="E55" s="91">
        <v>2.2277246112617091</v>
      </c>
      <c r="F55" s="91">
        <v>2.7169644027048498</v>
      </c>
      <c r="G55" s="91">
        <v>3.1189614500243952</v>
      </c>
      <c r="H55" s="91">
        <v>3.6549657400595201</v>
      </c>
      <c r="I55" s="91">
        <v>3.91007340305599</v>
      </c>
      <c r="J55" s="91">
        <v>3.91007340305599</v>
      </c>
      <c r="K55" s="92">
        <v>3.91007340305599</v>
      </c>
    </row>
    <row r="56" spans="2:11" x14ac:dyDescent="0.25">
      <c r="B56" s="59" t="s">
        <v>91</v>
      </c>
      <c r="C56" s="90">
        <v>2.2631318986939597</v>
      </c>
      <c r="D56" s="91">
        <v>3.0563979458867636</v>
      </c>
      <c r="E56" s="91">
        <v>3.8655250401756396</v>
      </c>
      <c r="F56" s="91">
        <v>4.8574571041323589</v>
      </c>
      <c r="G56" s="91">
        <v>6.0366338366681802</v>
      </c>
      <c r="H56" s="91">
        <v>7.4652888970192306</v>
      </c>
      <c r="I56" s="91">
        <v>8.3146100525048308</v>
      </c>
      <c r="J56" s="91">
        <v>23.121862181611998</v>
      </c>
      <c r="K56" s="92">
        <v>49.318028407192898</v>
      </c>
    </row>
    <row r="57" spans="2:11" x14ac:dyDescent="0.25">
      <c r="B57" s="59" t="s">
        <v>92</v>
      </c>
      <c r="C57" s="90">
        <v>2.5803803682862099</v>
      </c>
      <c r="D57" s="91">
        <v>8.1576159721727599</v>
      </c>
      <c r="E57" s="91">
        <v>9.1848918445276091</v>
      </c>
      <c r="F57" s="91">
        <v>12.764385816620122</v>
      </c>
      <c r="G57" s="91">
        <v>17.973647697066763</v>
      </c>
      <c r="H57" s="91">
        <v>28.865681542686698</v>
      </c>
      <c r="I57" s="91">
        <v>23.265431882505897</v>
      </c>
      <c r="J57" s="91">
        <v>31.209384066619801</v>
      </c>
      <c r="K57" s="92">
        <v>31.209384066646301</v>
      </c>
    </row>
    <row r="58" spans="2:11" x14ac:dyDescent="0.25">
      <c r="B58" s="59" t="s">
        <v>93</v>
      </c>
      <c r="C58" s="90">
        <v>2.1828785654581599</v>
      </c>
      <c r="D58" s="91">
        <v>2.4917911454534907</v>
      </c>
      <c r="E58" s="91">
        <v>2.8204850408150488</v>
      </c>
      <c r="F58" s="91">
        <v>3.4558155546329696</v>
      </c>
      <c r="G58" s="91">
        <v>3.9748310460996401</v>
      </c>
      <c r="H58" s="91">
        <v>4.7462823845535196</v>
      </c>
      <c r="I58" s="91">
        <v>5.0770240065020804</v>
      </c>
      <c r="J58" s="91">
        <v>5.0770240246357199</v>
      </c>
      <c r="K58" s="92">
        <v>14.4267492970096</v>
      </c>
    </row>
    <row r="59" spans="2:11" x14ac:dyDescent="0.25">
      <c r="B59" s="59" t="s">
        <v>94</v>
      </c>
      <c r="C59" s="93">
        <v>3.643840382E-2</v>
      </c>
      <c r="D59" s="94">
        <v>0.787723836811692</v>
      </c>
      <c r="E59" s="94">
        <v>0.78596901345426706</v>
      </c>
      <c r="F59" s="94">
        <v>0.75685958133785203</v>
      </c>
      <c r="G59" s="94">
        <v>0.75128543679484394</v>
      </c>
      <c r="H59" s="94">
        <v>4.56887220604471</v>
      </c>
      <c r="I59" s="94">
        <v>3.8175868283447003</v>
      </c>
      <c r="J59" s="94">
        <v>4.5688722131837496</v>
      </c>
      <c r="K59" s="95">
        <v>4.5688722132967996</v>
      </c>
    </row>
    <row r="60" spans="2:11" x14ac:dyDescent="0.25">
      <c r="B60" s="104" t="s">
        <v>36</v>
      </c>
      <c r="C60" s="94">
        <v>34.788272598718017</v>
      </c>
      <c r="D60" s="94">
        <v>52.528131542580311</v>
      </c>
      <c r="E60" s="94">
        <v>70.355046444793672</v>
      </c>
      <c r="F60" s="94">
        <v>92.759339784844244</v>
      </c>
      <c r="G60" s="94">
        <v>115.11804204176454</v>
      </c>
      <c r="H60" s="94">
        <v>141.51337418169942</v>
      </c>
      <c r="I60" s="94">
        <v>175.11117102622472</v>
      </c>
      <c r="J60" s="94">
        <v>209.94613491683947</v>
      </c>
      <c r="K60" s="95">
        <v>251.35467970822438</v>
      </c>
    </row>
    <row r="62" spans="2:11" x14ac:dyDescent="0.25">
      <c r="B62" s="131"/>
      <c r="C62" s="165" t="s">
        <v>107</v>
      </c>
      <c r="D62" s="166"/>
      <c r="E62" s="166"/>
      <c r="F62" s="166"/>
      <c r="G62" s="166"/>
      <c r="H62" s="166"/>
      <c r="I62" s="166"/>
      <c r="J62" s="166"/>
      <c r="K62" s="167"/>
    </row>
    <row r="63" spans="2:11" x14ac:dyDescent="0.25">
      <c r="B63" s="64" t="s">
        <v>82</v>
      </c>
      <c r="C63" s="28">
        <v>2020</v>
      </c>
      <c r="D63" s="29">
        <v>2025</v>
      </c>
      <c r="E63" s="29">
        <v>2030</v>
      </c>
      <c r="F63" s="29">
        <v>2035</v>
      </c>
      <c r="G63" s="29">
        <v>2040</v>
      </c>
      <c r="H63" s="29">
        <v>2045</v>
      </c>
      <c r="I63" s="29">
        <v>2050</v>
      </c>
      <c r="J63" s="29">
        <v>2055</v>
      </c>
      <c r="K63" s="30">
        <v>2060</v>
      </c>
    </row>
    <row r="64" spans="2:11" x14ac:dyDescent="0.25">
      <c r="B64" s="47" t="s">
        <v>83</v>
      </c>
      <c r="C64" s="90">
        <v>0</v>
      </c>
      <c r="D64" s="91">
        <v>0</v>
      </c>
      <c r="E64" s="91">
        <v>0</v>
      </c>
      <c r="F64" s="91">
        <v>0</v>
      </c>
      <c r="G64" s="91">
        <v>0</v>
      </c>
      <c r="H64" s="91">
        <v>0</v>
      </c>
      <c r="I64" s="91">
        <v>0</v>
      </c>
      <c r="J64" s="91">
        <v>0</v>
      </c>
      <c r="K64" s="92">
        <v>0</v>
      </c>
    </row>
    <row r="65" spans="2:34" x14ac:dyDescent="0.25">
      <c r="B65" s="59" t="s">
        <v>84</v>
      </c>
      <c r="C65" s="90">
        <v>0</v>
      </c>
      <c r="D65" s="91">
        <v>0</v>
      </c>
      <c r="E65" s="91">
        <v>0</v>
      </c>
      <c r="F65" s="91">
        <v>0</v>
      </c>
      <c r="G65" s="91">
        <v>0</v>
      </c>
      <c r="H65" s="91">
        <v>0</v>
      </c>
      <c r="I65" s="91">
        <v>0</v>
      </c>
      <c r="J65" s="91">
        <v>0</v>
      </c>
      <c r="K65" s="92">
        <v>0</v>
      </c>
    </row>
    <row r="66" spans="2:34" x14ac:dyDescent="0.25">
      <c r="B66" s="59" t="s">
        <v>85</v>
      </c>
      <c r="C66" s="90">
        <v>0</v>
      </c>
      <c r="D66" s="91">
        <v>1.474709341E-12</v>
      </c>
      <c r="E66" s="91">
        <v>3.4758680160839998E-9</v>
      </c>
      <c r="F66" s="91">
        <v>1.2027588326722999E-8</v>
      </c>
      <c r="G66" s="91">
        <v>2.4064033331537003</v>
      </c>
      <c r="H66" s="91">
        <v>14.417132394217699</v>
      </c>
      <c r="I66" s="91">
        <v>15.785529637777699</v>
      </c>
      <c r="J66" s="91">
        <v>15.7855296377765</v>
      </c>
      <c r="K66" s="92">
        <v>15.785529637747699</v>
      </c>
    </row>
    <row r="67" spans="2:34" x14ac:dyDescent="0.25">
      <c r="B67" s="59" t="s">
        <v>86</v>
      </c>
      <c r="C67" s="90">
        <v>0</v>
      </c>
      <c r="D67" s="91">
        <v>0</v>
      </c>
      <c r="E67" s="91">
        <v>0</v>
      </c>
      <c r="F67" s="91">
        <v>0</v>
      </c>
      <c r="G67" s="91">
        <v>0</v>
      </c>
      <c r="H67" s="91">
        <v>0</v>
      </c>
      <c r="I67" s="91">
        <v>0</v>
      </c>
      <c r="J67" s="91">
        <v>0</v>
      </c>
      <c r="K67" s="92">
        <v>0</v>
      </c>
    </row>
    <row r="68" spans="2:34" x14ac:dyDescent="0.25">
      <c r="B68" s="59" t="s">
        <v>87</v>
      </c>
      <c r="C68" s="90">
        <v>0</v>
      </c>
      <c r="D68" s="91">
        <v>0</v>
      </c>
      <c r="E68" s="91">
        <v>0</v>
      </c>
      <c r="F68" s="91">
        <v>0</v>
      </c>
      <c r="G68" s="91">
        <v>0</v>
      </c>
      <c r="H68" s="91">
        <v>0</v>
      </c>
      <c r="I68" s="91">
        <v>0</v>
      </c>
      <c r="J68" s="91">
        <v>0</v>
      </c>
      <c r="K68" s="92">
        <v>0</v>
      </c>
    </row>
    <row r="69" spans="2:34" x14ac:dyDescent="0.25">
      <c r="B69" s="59" t="s">
        <v>88</v>
      </c>
      <c r="C69" s="90">
        <v>0</v>
      </c>
      <c r="D69" s="91">
        <v>1.7036083722222199</v>
      </c>
      <c r="E69" s="91">
        <v>5.7922684635742101</v>
      </c>
      <c r="F69" s="91">
        <v>5.7922684653460994</v>
      </c>
      <c r="G69" s="91">
        <v>5.7922684654738301</v>
      </c>
      <c r="H69" s="91">
        <v>5.7922684655506504</v>
      </c>
      <c r="I69" s="91">
        <v>5.7922684655535992</v>
      </c>
      <c r="J69" s="91">
        <v>5.7922684655497694</v>
      </c>
      <c r="K69" s="92">
        <v>5.7922684655194097</v>
      </c>
    </row>
    <row r="70" spans="2:34" x14ac:dyDescent="0.25">
      <c r="B70" s="59" t="s">
        <v>89</v>
      </c>
      <c r="C70" s="90">
        <v>0</v>
      </c>
      <c r="D70" s="91">
        <v>0</v>
      </c>
      <c r="E70" s="91">
        <v>0</v>
      </c>
      <c r="F70" s="91">
        <v>0</v>
      </c>
      <c r="G70" s="91">
        <v>0</v>
      </c>
      <c r="H70" s="91">
        <v>0</v>
      </c>
      <c r="I70" s="91">
        <v>0</v>
      </c>
      <c r="J70" s="91">
        <v>0</v>
      </c>
      <c r="K70" s="92">
        <v>0</v>
      </c>
    </row>
    <row r="71" spans="2:34" x14ac:dyDescent="0.25">
      <c r="B71" s="59" t="s">
        <v>90</v>
      </c>
      <c r="C71" s="90">
        <v>0</v>
      </c>
      <c r="D71" s="91">
        <v>3.9247225722222101</v>
      </c>
      <c r="E71" s="91">
        <v>3.9247225727930699</v>
      </c>
      <c r="F71" s="91">
        <v>11.4218013487514</v>
      </c>
      <c r="G71" s="91">
        <v>21.407577665927601</v>
      </c>
      <c r="H71" s="91">
        <v>21.407577666603999</v>
      </c>
      <c r="I71" s="91">
        <v>21.407577666666601</v>
      </c>
      <c r="J71" s="91">
        <v>21.407577666666398</v>
      </c>
      <c r="K71" s="92">
        <v>21.407577666641302</v>
      </c>
    </row>
    <row r="72" spans="2:34" x14ac:dyDescent="0.25">
      <c r="B72" s="59" t="s">
        <v>91</v>
      </c>
      <c r="C72" s="90">
        <v>0</v>
      </c>
      <c r="D72" s="91">
        <v>1.27895094444444</v>
      </c>
      <c r="E72" s="91">
        <v>1.27895094444444</v>
      </c>
      <c r="F72" s="91">
        <v>1.2789509445107801</v>
      </c>
      <c r="G72" s="91">
        <v>1.2789509445341298</v>
      </c>
      <c r="H72" s="91">
        <v>1.2789509445787399</v>
      </c>
      <c r="I72" s="91">
        <v>6.1389645333825493</v>
      </c>
      <c r="J72" s="91">
        <v>6.1389645334477798</v>
      </c>
      <c r="K72" s="92">
        <v>6.1389645335245397</v>
      </c>
    </row>
    <row r="73" spans="2:34" x14ac:dyDescent="0.25">
      <c r="B73" s="59" t="s">
        <v>92</v>
      </c>
      <c r="C73" s="90">
        <v>0</v>
      </c>
      <c r="D73" s="91">
        <v>0</v>
      </c>
      <c r="E73" s="91">
        <v>1.19011772222E-10</v>
      </c>
      <c r="F73" s="91">
        <v>2.9086150404900001E-10</v>
      </c>
      <c r="G73" s="91">
        <v>3.5211408653799996E-10</v>
      </c>
      <c r="H73" s="91">
        <v>5.7035858036499992E-10</v>
      </c>
      <c r="I73" s="91">
        <v>2.2309566755412598</v>
      </c>
      <c r="J73" s="91">
        <v>2.2309566755261501</v>
      </c>
      <c r="K73" s="92">
        <v>2.2309566755243502</v>
      </c>
      <c r="AA73" s="9"/>
      <c r="AB73" s="9"/>
      <c r="AC73" s="9"/>
      <c r="AD73" s="9"/>
      <c r="AE73" s="9"/>
      <c r="AF73" s="9"/>
      <c r="AG73" s="9"/>
      <c r="AH73" s="9"/>
    </row>
    <row r="74" spans="2:34" x14ac:dyDescent="0.25">
      <c r="B74" s="59" t="s">
        <v>93</v>
      </c>
      <c r="C74" s="90">
        <v>0</v>
      </c>
      <c r="D74" s="91">
        <v>7.6970698100000004E-13</v>
      </c>
      <c r="E74" s="91">
        <v>2.4686861844029901</v>
      </c>
      <c r="F74" s="91">
        <v>6.78505846904695</v>
      </c>
      <c r="G74" s="91">
        <v>6.7850584693657998</v>
      </c>
      <c r="H74" s="91">
        <v>6.7850584757668395</v>
      </c>
      <c r="I74" s="91">
        <v>8.0232300777758194</v>
      </c>
      <c r="J74" s="91">
        <v>8.0232300777473196</v>
      </c>
      <c r="K74" s="92">
        <v>8.0232300777078596</v>
      </c>
    </row>
    <row r="75" spans="2:34" x14ac:dyDescent="0.25">
      <c r="B75" s="59" t="s">
        <v>94</v>
      </c>
      <c r="C75" s="93">
        <v>0</v>
      </c>
      <c r="D75" s="94">
        <v>0</v>
      </c>
      <c r="E75" s="94">
        <v>2.8811826448021698</v>
      </c>
      <c r="F75" s="94">
        <v>2.8811826486277901</v>
      </c>
      <c r="G75" s="94">
        <v>2.8811826486690095</v>
      </c>
      <c r="H75" s="94">
        <v>2.8811826498300497</v>
      </c>
      <c r="I75" s="94">
        <v>2.8811826499947597</v>
      </c>
      <c r="J75" s="94">
        <v>2.8811826499776299</v>
      </c>
      <c r="K75" s="95">
        <v>2.8811826499699102</v>
      </c>
    </row>
    <row r="76" spans="2:34" x14ac:dyDescent="0.25">
      <c r="B76" s="104" t="s">
        <v>36</v>
      </c>
      <c r="C76" s="94">
        <v>0</v>
      </c>
      <c r="D76" s="94">
        <v>6.9072818888911147</v>
      </c>
      <c r="E76" s="94">
        <v>16.345810813611759</v>
      </c>
      <c r="F76" s="94">
        <v>28.159261888601467</v>
      </c>
      <c r="G76" s="94">
        <v>40.551441527476186</v>
      </c>
      <c r="H76" s="94">
        <v>52.562170597118339</v>
      </c>
      <c r="I76" s="94">
        <v>62.259709706692291</v>
      </c>
      <c r="J76" s="94">
        <v>62.259709706691552</v>
      </c>
      <c r="K76" s="95">
        <v>62.259709706635064</v>
      </c>
    </row>
    <row r="78" spans="2:34" x14ac:dyDescent="0.25">
      <c r="B78" s="131"/>
      <c r="C78" s="165" t="s">
        <v>107</v>
      </c>
      <c r="D78" s="166"/>
      <c r="E78" s="166"/>
      <c r="F78" s="166"/>
      <c r="G78" s="166"/>
      <c r="H78" s="166"/>
      <c r="I78" s="166"/>
      <c r="J78" s="166"/>
      <c r="K78" s="167"/>
    </row>
    <row r="79" spans="2:34" x14ac:dyDescent="0.25">
      <c r="B79" s="60" t="s">
        <v>81</v>
      </c>
      <c r="C79" s="28">
        <v>2020</v>
      </c>
      <c r="D79" s="29">
        <v>2025</v>
      </c>
      <c r="E79" s="29">
        <v>2030</v>
      </c>
      <c r="F79" s="29">
        <v>2035</v>
      </c>
      <c r="G79" s="29">
        <v>2040</v>
      </c>
      <c r="H79" s="29">
        <v>2045</v>
      </c>
      <c r="I79" s="29">
        <v>2050</v>
      </c>
      <c r="J79" s="29">
        <v>2055</v>
      </c>
      <c r="K79" s="30">
        <v>2060</v>
      </c>
    </row>
    <row r="80" spans="2:34" x14ac:dyDescent="0.25">
      <c r="B80" s="59" t="s">
        <v>83</v>
      </c>
      <c r="C80" s="90">
        <v>0</v>
      </c>
      <c r="D80" s="91">
        <v>0</v>
      </c>
      <c r="E80" s="91">
        <v>0</v>
      </c>
      <c r="F80" s="91">
        <v>0</v>
      </c>
      <c r="G80" s="91">
        <v>0</v>
      </c>
      <c r="H80" s="91">
        <v>0</v>
      </c>
      <c r="I80" s="91">
        <v>0</v>
      </c>
      <c r="J80" s="91">
        <v>0</v>
      </c>
      <c r="K80" s="92">
        <v>0</v>
      </c>
    </row>
    <row r="81" spans="2:11" x14ac:dyDescent="0.25">
      <c r="B81" s="59" t="s">
        <v>84</v>
      </c>
      <c r="C81" s="90">
        <v>0</v>
      </c>
      <c r="D81" s="91">
        <v>0</v>
      </c>
      <c r="E81" s="91">
        <v>0</v>
      </c>
      <c r="F81" s="91">
        <v>0</v>
      </c>
      <c r="G81" s="91">
        <v>0</v>
      </c>
      <c r="H81" s="91">
        <v>0</v>
      </c>
      <c r="I81" s="91">
        <v>0</v>
      </c>
      <c r="J81" s="91">
        <v>0</v>
      </c>
      <c r="K81" s="92">
        <v>0</v>
      </c>
    </row>
    <row r="82" spans="2:11" x14ac:dyDescent="0.25">
      <c r="B82" s="59" t="s">
        <v>85</v>
      </c>
      <c r="C82" s="90">
        <v>0</v>
      </c>
      <c r="D82" s="91">
        <v>0.971931199999999</v>
      </c>
      <c r="E82" s="91">
        <v>0.971931200568522</v>
      </c>
      <c r="F82" s="91">
        <v>0.97193120075662598</v>
      </c>
      <c r="G82" s="91">
        <v>0.97193120092389595</v>
      </c>
      <c r="H82" s="91">
        <v>0.971931201464178</v>
      </c>
      <c r="I82" s="91">
        <v>5.1026387989396396</v>
      </c>
      <c r="J82" s="91">
        <v>6.0745699612182102</v>
      </c>
      <c r="K82" s="92">
        <v>6.0745699615080593</v>
      </c>
    </row>
    <row r="83" spans="2:11" x14ac:dyDescent="0.25">
      <c r="B83" s="59" t="s">
        <v>86</v>
      </c>
      <c r="C83" s="90">
        <v>0</v>
      </c>
      <c r="D83" s="91">
        <v>0</v>
      </c>
      <c r="E83" s="91">
        <v>0</v>
      </c>
      <c r="F83" s="91">
        <v>0</v>
      </c>
      <c r="G83" s="91">
        <v>0</v>
      </c>
      <c r="H83" s="91">
        <v>0</v>
      </c>
      <c r="I83" s="91">
        <v>0</v>
      </c>
      <c r="J83" s="91">
        <v>0</v>
      </c>
      <c r="K83" s="92">
        <v>0</v>
      </c>
    </row>
    <row r="84" spans="2:11" x14ac:dyDescent="0.25">
      <c r="B84" s="59" t="s">
        <v>87</v>
      </c>
      <c r="C84" s="90">
        <v>0</v>
      </c>
      <c r="D84" s="91">
        <v>0</v>
      </c>
      <c r="E84" s="91">
        <v>0</v>
      </c>
      <c r="F84" s="91">
        <v>0</v>
      </c>
      <c r="G84" s="91">
        <v>0</v>
      </c>
      <c r="H84" s="91">
        <v>0</v>
      </c>
      <c r="I84" s="91">
        <v>0</v>
      </c>
      <c r="J84" s="91">
        <v>0</v>
      </c>
      <c r="K84" s="92">
        <v>0</v>
      </c>
    </row>
    <row r="85" spans="2:11" x14ac:dyDescent="0.25">
      <c r="B85" s="59" t="s">
        <v>88</v>
      </c>
      <c r="C85" s="90">
        <v>0</v>
      </c>
      <c r="D85" s="91">
        <v>0</v>
      </c>
      <c r="E85" s="91">
        <v>0</v>
      </c>
      <c r="F85" s="91">
        <v>0</v>
      </c>
      <c r="G85" s="91">
        <v>0</v>
      </c>
      <c r="H85" s="91">
        <v>0</v>
      </c>
      <c r="I85" s="91">
        <v>0</v>
      </c>
      <c r="J85" s="91">
        <v>0</v>
      </c>
      <c r="K85" s="92">
        <v>0</v>
      </c>
    </row>
    <row r="86" spans="2:11" x14ac:dyDescent="0.25">
      <c r="B86" s="59" t="s">
        <v>89</v>
      </c>
      <c r="C86" s="90">
        <v>0</v>
      </c>
      <c r="D86" s="91">
        <v>0</v>
      </c>
      <c r="E86" s="91">
        <v>0</v>
      </c>
      <c r="F86" s="91">
        <v>0</v>
      </c>
      <c r="G86" s="91">
        <v>0</v>
      </c>
      <c r="H86" s="91">
        <v>0</v>
      </c>
      <c r="I86" s="91">
        <v>0</v>
      </c>
      <c r="J86" s="91">
        <v>0</v>
      </c>
      <c r="K86" s="92">
        <v>0</v>
      </c>
    </row>
    <row r="87" spans="2:11" x14ac:dyDescent="0.25">
      <c r="B87" s="59" t="s">
        <v>90</v>
      </c>
      <c r="C87" s="90">
        <v>0</v>
      </c>
      <c r="D87" s="91">
        <v>0</v>
      </c>
      <c r="E87" s="91">
        <v>3.2115849913599997E-10</v>
      </c>
      <c r="F87" s="91">
        <v>3.7775192699999994E-9</v>
      </c>
      <c r="G87" s="91">
        <v>3.7750393189392297</v>
      </c>
      <c r="H87" s="91">
        <v>7.5500786224157901</v>
      </c>
      <c r="I87" s="91">
        <v>8.05341719952545</v>
      </c>
      <c r="J87" s="91">
        <v>8.0534171998292798</v>
      </c>
      <c r="K87" s="92">
        <v>8.0534171981968399</v>
      </c>
    </row>
    <row r="88" spans="2:11" x14ac:dyDescent="0.25">
      <c r="B88" s="59" t="s">
        <v>91</v>
      </c>
      <c r="C88" s="90">
        <v>0</v>
      </c>
      <c r="D88" s="91">
        <v>0</v>
      </c>
      <c r="E88" s="91">
        <v>9.1975089469999995E-12</v>
      </c>
      <c r="F88" s="91">
        <v>1.8742607796000001E-11</v>
      </c>
      <c r="G88" s="91">
        <v>2.1168561936999999E-11</v>
      </c>
      <c r="H88" s="91">
        <v>2.4875747658000001E-11</v>
      </c>
      <c r="I88" s="91">
        <v>2.4161404448999999E-11</v>
      </c>
      <c r="J88" s="91">
        <v>2.4731268029999999E-11</v>
      </c>
      <c r="K88" s="92">
        <v>3.2542039287999996E-11</v>
      </c>
    </row>
    <row r="89" spans="2:11" x14ac:dyDescent="0.25">
      <c r="B89" s="59" t="s">
        <v>92</v>
      </c>
      <c r="C89" s="90">
        <v>0</v>
      </c>
      <c r="D89" s="91">
        <v>0.92621618055555499</v>
      </c>
      <c r="E89" s="91">
        <v>1.8524323592236498</v>
      </c>
      <c r="F89" s="91">
        <v>5.3257430301633599</v>
      </c>
      <c r="G89" s="91">
        <v>5.3257430300748894</v>
      </c>
      <c r="H89" s="91">
        <v>5.3257430371728702</v>
      </c>
      <c r="I89" s="91">
        <v>4.3995268588100993</v>
      </c>
      <c r="J89" s="91">
        <v>3.4733107139447097</v>
      </c>
      <c r="K89" s="92">
        <v>3.4733107166898498</v>
      </c>
    </row>
    <row r="90" spans="2:11" x14ac:dyDescent="0.25">
      <c r="B90" s="59" t="s">
        <v>93</v>
      </c>
      <c r="C90" s="90">
        <v>0</v>
      </c>
      <c r="D90" s="91">
        <v>0</v>
      </c>
      <c r="E90" s="91">
        <v>4.7343282360000004E-11</v>
      </c>
      <c r="F90" s="91">
        <v>7.0337717568000001E-11</v>
      </c>
      <c r="G90" s="91">
        <v>8.2350697213000003E-11</v>
      </c>
      <c r="H90" s="91">
        <v>9.5215530417999993E-11</v>
      </c>
      <c r="I90" s="91">
        <v>1.0310810381500001E-10</v>
      </c>
      <c r="J90" s="91">
        <v>9.4896793469000001E-11</v>
      </c>
      <c r="K90" s="92">
        <v>1.3332054397799998E-10</v>
      </c>
    </row>
    <row r="91" spans="2:11" x14ac:dyDescent="0.25">
      <c r="B91" s="59" t="s">
        <v>94</v>
      </c>
      <c r="C91" s="93">
        <v>0</v>
      </c>
      <c r="D91" s="94">
        <v>0.80758908888888903</v>
      </c>
      <c r="E91" s="94">
        <v>0.80758908888888903</v>
      </c>
      <c r="F91" s="94">
        <v>0.80758908895890502</v>
      </c>
      <c r="G91" s="94">
        <v>0.807589088977956</v>
      </c>
      <c r="H91" s="94">
        <v>0.80758908903715698</v>
      </c>
      <c r="I91" s="94">
        <v>0.80758908888888903</v>
      </c>
      <c r="J91" s="94">
        <v>0.80758908888888903</v>
      </c>
      <c r="K91" s="95">
        <v>0.80758908888888903</v>
      </c>
    </row>
    <row r="92" spans="2:11" x14ac:dyDescent="0.25">
      <c r="B92" s="104" t="s">
        <v>36</v>
      </c>
      <c r="C92" s="94">
        <v>0</v>
      </c>
      <c r="D92" s="94">
        <v>2.7057364694444432</v>
      </c>
      <c r="E92" s="94">
        <v>3.6319526490587606</v>
      </c>
      <c r="F92" s="94">
        <v>7.1052633237454907</v>
      </c>
      <c r="G92" s="94">
        <v>10.88030263901949</v>
      </c>
      <c r="H92" s="94">
        <v>14.655341950210087</v>
      </c>
      <c r="I92" s="94">
        <v>18.363171946291345</v>
      </c>
      <c r="J92" s="94">
        <v>18.408886964000715</v>
      </c>
      <c r="K92" s="95">
        <v>18.408886965449501</v>
      </c>
    </row>
    <row r="94" spans="2:11" x14ac:dyDescent="0.25">
      <c r="C94" s="165" t="s">
        <v>107</v>
      </c>
      <c r="D94" s="166"/>
      <c r="E94" s="166"/>
      <c r="F94" s="166"/>
      <c r="G94" s="166"/>
      <c r="H94" s="166"/>
      <c r="I94" s="166"/>
      <c r="J94" s="166"/>
      <c r="K94" s="167"/>
    </row>
    <row r="95" spans="2:11" x14ac:dyDescent="0.25">
      <c r="B95" s="60" t="s">
        <v>79</v>
      </c>
      <c r="C95" s="29">
        <v>2020</v>
      </c>
      <c r="D95" s="29">
        <v>2025</v>
      </c>
      <c r="E95" s="29">
        <v>2030</v>
      </c>
      <c r="F95" s="29">
        <v>2035</v>
      </c>
      <c r="G95" s="29">
        <v>2040</v>
      </c>
      <c r="H95" s="29">
        <v>2045</v>
      </c>
      <c r="I95" s="29">
        <v>2050</v>
      </c>
      <c r="J95" s="29">
        <v>2055</v>
      </c>
      <c r="K95" s="30">
        <v>2060</v>
      </c>
    </row>
    <row r="96" spans="2:11" x14ac:dyDescent="0.25">
      <c r="B96" s="59" t="s">
        <v>83</v>
      </c>
      <c r="C96" s="90">
        <v>0.68134155845546795</v>
      </c>
      <c r="D96" s="91">
        <v>4.9335775661354102</v>
      </c>
      <c r="E96" s="91">
        <v>6.9910507272258799</v>
      </c>
      <c r="F96" s="91">
        <v>7.6623608797429004</v>
      </c>
      <c r="G96" s="91">
        <v>13.9755265220574</v>
      </c>
      <c r="H96" s="91">
        <v>15.755407950167198</v>
      </c>
      <c r="I96" s="91">
        <v>11.5031719410375</v>
      </c>
      <c r="J96" s="91">
        <v>9.4456987797030987</v>
      </c>
      <c r="K96" s="92">
        <v>9.4456987767638694</v>
      </c>
    </row>
    <row r="97" spans="2:11" x14ac:dyDescent="0.25">
      <c r="B97" s="59" t="s">
        <v>84</v>
      </c>
      <c r="C97" s="90">
        <v>0.17002964697384698</v>
      </c>
      <c r="D97" s="91">
        <v>0.378009616362184</v>
      </c>
      <c r="E97" s="91">
        <v>2.2421299952175295</v>
      </c>
      <c r="F97" s="91">
        <v>7.3419617100324297</v>
      </c>
      <c r="G97" s="91">
        <v>8.5420243073908093</v>
      </c>
      <c r="H97" s="91">
        <v>8.6855994501631706</v>
      </c>
      <c r="I97" s="91">
        <v>8.4776194825972198</v>
      </c>
      <c r="J97" s="91">
        <v>8.4776194747140003</v>
      </c>
      <c r="K97" s="92">
        <v>8.477619473915599</v>
      </c>
    </row>
    <row r="98" spans="2:11" x14ac:dyDescent="0.25">
      <c r="B98" s="59" t="s">
        <v>85</v>
      </c>
      <c r="C98" s="90">
        <v>0.13451757297963901</v>
      </c>
      <c r="D98" s="91">
        <v>0.31205160877654997</v>
      </c>
      <c r="E98" s="91">
        <v>0.38331511508646399</v>
      </c>
      <c r="F98" s="91">
        <v>2.8540230487413099</v>
      </c>
      <c r="G98" s="91">
        <v>5.3209771016242593</v>
      </c>
      <c r="H98" s="91">
        <v>5.68572892324321</v>
      </c>
      <c r="I98" s="91">
        <v>5.5081948894236392</v>
      </c>
      <c r="J98" s="91">
        <v>7.403507836837349</v>
      </c>
      <c r="K98" s="92">
        <v>7.40350783882276</v>
      </c>
    </row>
    <row r="99" spans="2:11" x14ac:dyDescent="0.25">
      <c r="B99" s="59" t="s">
        <v>86</v>
      </c>
      <c r="C99" s="90">
        <v>0.18137454835445999</v>
      </c>
      <c r="D99" s="91">
        <v>0.35675100505339896</v>
      </c>
      <c r="E99" s="91">
        <v>0.42714837644642201</v>
      </c>
      <c r="F99" s="91">
        <v>0.56714307471761094</v>
      </c>
      <c r="G99" s="91">
        <v>0.70713788796088795</v>
      </c>
      <c r="H99" s="91">
        <v>0.84713270120064499</v>
      </c>
      <c r="I99" s="91">
        <v>0.67175624523211397</v>
      </c>
      <c r="J99" s="91">
        <v>0.60135887693173806</v>
      </c>
      <c r="K99" s="92">
        <v>0.60135888657313308</v>
      </c>
    </row>
    <row r="100" spans="2:11" x14ac:dyDescent="0.25">
      <c r="B100" s="59" t="s">
        <v>87</v>
      </c>
      <c r="C100" s="90">
        <v>0.29683408867639299</v>
      </c>
      <c r="D100" s="91">
        <v>0.48467870433585902</v>
      </c>
      <c r="E100" s="91">
        <v>0.56008093076071297</v>
      </c>
      <c r="F100" s="91">
        <v>0.71002856113118107</v>
      </c>
      <c r="G100" s="91">
        <v>0.85997608526261304</v>
      </c>
      <c r="H100" s="91">
        <v>1.65480934075407</v>
      </c>
      <c r="I100" s="91">
        <v>1.4669647279144098</v>
      </c>
      <c r="J100" s="91">
        <v>7.9879823188415093</v>
      </c>
      <c r="K100" s="92">
        <v>7.9879823185320991</v>
      </c>
    </row>
    <row r="101" spans="2:11" x14ac:dyDescent="0.25">
      <c r="B101" s="59" t="s">
        <v>88</v>
      </c>
      <c r="C101" s="90">
        <v>8.6147460905893092E-2</v>
      </c>
      <c r="D101" s="91">
        <v>0.39341334777827303</v>
      </c>
      <c r="E101" s="91">
        <v>1.0680265827709399</v>
      </c>
      <c r="F101" s="91">
        <v>1.06802658333692</v>
      </c>
      <c r="G101" s="91">
        <v>1.0680265837130101</v>
      </c>
      <c r="H101" s="91">
        <v>0.981879202784953</v>
      </c>
      <c r="I101" s="91">
        <v>0.67461332294853005</v>
      </c>
      <c r="J101" s="91">
        <v>2.1509379959383002</v>
      </c>
      <c r="K101" s="92">
        <v>5.3303926657820098</v>
      </c>
    </row>
    <row r="102" spans="2:11" x14ac:dyDescent="0.25">
      <c r="B102" s="59" t="s">
        <v>89</v>
      </c>
      <c r="C102" s="90">
        <v>6.6728171653486892E-2</v>
      </c>
      <c r="D102" s="91">
        <v>0.14577069668102899</v>
      </c>
      <c r="E102" s="91">
        <v>0.17749888934809899</v>
      </c>
      <c r="F102" s="91">
        <v>0.24059479776576501</v>
      </c>
      <c r="G102" s="91">
        <v>0.30369075317633504</v>
      </c>
      <c r="H102" s="91">
        <v>3.30305869885487</v>
      </c>
      <c r="I102" s="91">
        <v>3.22401617491311</v>
      </c>
      <c r="J102" s="91">
        <v>3.3030586968922</v>
      </c>
      <c r="K102" s="92">
        <v>3.30305869687714</v>
      </c>
    </row>
    <row r="103" spans="2:11" x14ac:dyDescent="0.25">
      <c r="B103" s="59" t="s">
        <v>90</v>
      </c>
      <c r="C103" s="90">
        <v>9.6870192369133495E-2</v>
      </c>
      <c r="D103" s="91">
        <v>0.17003553981990499</v>
      </c>
      <c r="E103" s="91">
        <v>0.19940463912065201</v>
      </c>
      <c r="F103" s="91">
        <v>0.25780906156613098</v>
      </c>
      <c r="G103" s="91">
        <v>0.31621348398829702</v>
      </c>
      <c r="H103" s="91">
        <v>0.37461790649342996</v>
      </c>
      <c r="I103" s="91">
        <v>0.43302232863968404</v>
      </c>
      <c r="J103" s="91">
        <v>0.43302232848826699</v>
      </c>
      <c r="K103" s="92">
        <v>3.0925653723829201</v>
      </c>
    </row>
    <row r="104" spans="2:11" x14ac:dyDescent="0.25">
      <c r="B104" s="59" t="s">
        <v>91</v>
      </c>
      <c r="C104" s="90">
        <v>1.5940473859362401</v>
      </c>
      <c r="D104" s="91">
        <v>1.995606837627</v>
      </c>
      <c r="E104" s="91">
        <v>2.1567956582765402</v>
      </c>
      <c r="F104" s="91">
        <v>2.4773418105841802</v>
      </c>
      <c r="G104" s="91">
        <v>2.7978878386130499</v>
      </c>
      <c r="H104" s="91">
        <v>3.1184338659111299</v>
      </c>
      <c r="I104" s="91">
        <v>2.71687441464237</v>
      </c>
      <c r="J104" s="91">
        <v>2.5556855947776</v>
      </c>
      <c r="K104" s="92">
        <v>11.0597659651944</v>
      </c>
    </row>
    <row r="105" spans="2:11" x14ac:dyDescent="0.25">
      <c r="B105" s="59" t="s">
        <v>92</v>
      </c>
      <c r="C105" s="90">
        <v>1.34784329825432</v>
      </c>
      <c r="D105" s="91">
        <v>1.9123259637650201</v>
      </c>
      <c r="E105" s="91">
        <v>2.1389134953348599</v>
      </c>
      <c r="F105" s="91">
        <v>3.5409040329728501</v>
      </c>
      <c r="G105" s="91">
        <v>3.5409040385680899</v>
      </c>
      <c r="H105" s="91">
        <v>3.4907136305028197</v>
      </c>
      <c r="I105" s="91">
        <v>5.6445943118677802</v>
      </c>
      <c r="J105" s="91">
        <v>5.41800678166436</v>
      </c>
      <c r="K105" s="92">
        <v>8.9201259524795393</v>
      </c>
    </row>
    <row r="106" spans="2:11" x14ac:dyDescent="0.25">
      <c r="B106" s="59" t="s">
        <v>93</v>
      </c>
      <c r="C106" s="90">
        <v>0.321442732542359</v>
      </c>
      <c r="D106" s="91">
        <v>0.46233964898334801</v>
      </c>
      <c r="E106" s="91">
        <v>0.51889665655261896</v>
      </c>
      <c r="F106" s="91">
        <v>0.63136802385898205</v>
      </c>
      <c r="G106" s="91">
        <v>0.74383939237854002</v>
      </c>
      <c r="H106" s="91">
        <v>4.4733606827873098</v>
      </c>
      <c r="I106" s="91">
        <v>4.3324637673100899</v>
      </c>
      <c r="J106" s="91">
        <v>5.5719114578623605</v>
      </c>
      <c r="K106" s="92">
        <v>6.0903527806689803</v>
      </c>
    </row>
    <row r="107" spans="2:11" x14ac:dyDescent="0.25">
      <c r="B107" s="59" t="s">
        <v>94</v>
      </c>
      <c r="C107" s="93">
        <v>0.99476558149083105</v>
      </c>
      <c r="D107" s="94">
        <v>9.6785468435923008</v>
      </c>
      <c r="E107" s="94">
        <v>9.6785468439752211</v>
      </c>
      <c r="F107" s="94">
        <v>9.67854684413226</v>
      </c>
      <c r="G107" s="94">
        <v>9.6785468441467888</v>
      </c>
      <c r="H107" s="94">
        <v>8.6837812631246791</v>
      </c>
      <c r="I107" s="94">
        <v>5.4976806000799997E-10</v>
      </c>
      <c r="J107" s="94">
        <v>3.6485181975699996E-10</v>
      </c>
      <c r="K107" s="95">
        <v>2.9913523391199997E-10</v>
      </c>
    </row>
    <row r="108" spans="2:11" x14ac:dyDescent="0.25">
      <c r="B108" s="104" t="s">
        <v>36</v>
      </c>
      <c r="C108" s="94">
        <v>5.97194223859207</v>
      </c>
      <c r="D108" s="94">
        <v>21.223107378910278</v>
      </c>
      <c r="E108" s="94">
        <v>26.541807910115942</v>
      </c>
      <c r="F108" s="94">
        <v>37.030108428582523</v>
      </c>
      <c r="G108" s="94">
        <v>47.854750838880072</v>
      </c>
      <c r="H108" s="94">
        <v>57.054523615987478</v>
      </c>
      <c r="I108" s="94">
        <v>44.653291607076213</v>
      </c>
      <c r="J108" s="94">
        <v>53.348790143015627</v>
      </c>
      <c r="K108" s="95">
        <v>71.712428728291584</v>
      </c>
    </row>
    <row r="110" spans="2:11" x14ac:dyDescent="0.25">
      <c r="C110" s="165" t="s">
        <v>107</v>
      </c>
      <c r="D110" s="166"/>
      <c r="E110" s="166"/>
      <c r="F110" s="166"/>
      <c r="G110" s="166"/>
      <c r="H110" s="166"/>
      <c r="I110" s="166"/>
      <c r="J110" s="166"/>
      <c r="K110" s="167"/>
    </row>
    <row r="111" spans="2:11" x14ac:dyDescent="0.25">
      <c r="B111" s="60" t="s">
        <v>80</v>
      </c>
      <c r="C111" s="28">
        <v>2020</v>
      </c>
      <c r="D111" s="29">
        <v>2025</v>
      </c>
      <c r="E111" s="29">
        <v>2030</v>
      </c>
      <c r="F111" s="29">
        <v>2035</v>
      </c>
      <c r="G111" s="29">
        <v>2040</v>
      </c>
      <c r="H111" s="29">
        <v>2045</v>
      </c>
      <c r="I111" s="29">
        <v>2050</v>
      </c>
      <c r="J111" s="29">
        <v>2055</v>
      </c>
      <c r="K111" s="30">
        <v>2060</v>
      </c>
    </row>
    <row r="112" spans="2:11" x14ac:dyDescent="0.25">
      <c r="B112" s="47" t="s">
        <v>83</v>
      </c>
      <c r="C112" s="90">
        <v>0</v>
      </c>
      <c r="D112" s="91">
        <v>2.7829659549999997E-12</v>
      </c>
      <c r="E112" s="91">
        <v>3.6092596946999993E-11</v>
      </c>
      <c r="F112" s="91">
        <v>1.0005989190799999E-10</v>
      </c>
      <c r="G112" s="91">
        <v>1.7073351450800001E-10</v>
      </c>
      <c r="H112" s="91">
        <v>6.2807720542600001E-10</v>
      </c>
      <c r="I112" s="91">
        <v>4.8916075884250398</v>
      </c>
      <c r="J112" s="91">
        <v>7.2361237069502398</v>
      </c>
      <c r="K112" s="92">
        <v>7.23612371036229</v>
      </c>
    </row>
    <row r="113" spans="2:11" x14ac:dyDescent="0.25">
      <c r="B113" s="59" t="s">
        <v>84</v>
      </c>
      <c r="C113" s="90">
        <v>0</v>
      </c>
      <c r="D113" s="91">
        <v>1.6774701139999999E-12</v>
      </c>
      <c r="E113" s="91">
        <v>2.9034167049999999E-11</v>
      </c>
      <c r="F113" s="91">
        <v>7.0530719732999995E-11</v>
      </c>
      <c r="G113" s="91">
        <v>1.1190543765200001E-10</v>
      </c>
      <c r="H113" s="91">
        <v>2.2906129720399998E-10</v>
      </c>
      <c r="I113" s="91">
        <v>0.23571980203238399</v>
      </c>
      <c r="J113" s="91">
        <v>0.23571981095205999</v>
      </c>
      <c r="K113" s="92">
        <v>0.23571981192779698</v>
      </c>
    </row>
    <row r="114" spans="2:11" x14ac:dyDescent="0.25">
      <c r="B114" s="59" t="s">
        <v>85</v>
      </c>
      <c r="C114" s="90">
        <v>0</v>
      </c>
      <c r="D114" s="91">
        <v>1.3493145170000001E-12</v>
      </c>
      <c r="E114" s="91">
        <v>2.4094433832E-11</v>
      </c>
      <c r="F114" s="91">
        <v>5.6915933950000002E-11</v>
      </c>
      <c r="G114" s="91">
        <v>7.3750926805999989E-11</v>
      </c>
      <c r="H114" s="91">
        <v>1.2345352763500001E-10</v>
      </c>
      <c r="I114" s="91">
        <v>2.5292838983199997E-10</v>
      </c>
      <c r="J114" s="91">
        <v>4.7024716260000007E-10</v>
      </c>
      <c r="K114" s="92">
        <v>7.0911800283699997E-10</v>
      </c>
    </row>
    <row r="115" spans="2:11" x14ac:dyDescent="0.25">
      <c r="B115" s="59" t="s">
        <v>86</v>
      </c>
      <c r="C115" s="90">
        <v>0</v>
      </c>
      <c r="D115" s="91">
        <v>1.620502259E-12</v>
      </c>
      <c r="E115" s="91">
        <v>2.9415363584E-11</v>
      </c>
      <c r="F115" s="91">
        <v>7.3340067161999997E-11</v>
      </c>
      <c r="G115" s="91">
        <v>1.1938911214E-10</v>
      </c>
      <c r="H115" s="91">
        <v>2.7620263237799999E-10</v>
      </c>
      <c r="I115" s="91">
        <v>4.9392919703612401</v>
      </c>
      <c r="J115" s="91">
        <v>7.6647915914123601</v>
      </c>
      <c r="K115" s="92">
        <v>7.6647915924799399</v>
      </c>
    </row>
    <row r="116" spans="2:11" x14ac:dyDescent="0.25">
      <c r="B116" s="59" t="s">
        <v>87</v>
      </c>
      <c r="C116" s="90">
        <v>0</v>
      </c>
      <c r="D116" s="91">
        <v>1.3034217249999999E-12</v>
      </c>
      <c r="E116" s="91">
        <v>2.3064441704000001E-11</v>
      </c>
      <c r="F116" s="91">
        <v>5.1700861255000001E-11</v>
      </c>
      <c r="G116" s="91">
        <v>7.4994604234999995E-11</v>
      </c>
      <c r="H116" s="91">
        <v>1.2876856115600001E-10</v>
      </c>
      <c r="I116" s="91">
        <v>3.0428164647900002E-10</v>
      </c>
      <c r="J116" s="91">
        <v>6.0728559596900001E-10</v>
      </c>
      <c r="K116" s="92">
        <v>9.1373745668699994E-10</v>
      </c>
    </row>
    <row r="117" spans="2:11" x14ac:dyDescent="0.25">
      <c r="B117" s="59" t="s">
        <v>88</v>
      </c>
      <c r="C117" s="90">
        <v>0</v>
      </c>
      <c r="D117" s="91">
        <v>1.1957865179999999E-12</v>
      </c>
      <c r="E117" s="91">
        <v>2.1117896658999999E-11</v>
      </c>
      <c r="F117" s="91">
        <v>4.1164190916999998E-11</v>
      </c>
      <c r="G117" s="91">
        <v>5.8779520515999994E-11</v>
      </c>
      <c r="H117" s="91">
        <v>9.3996943672000003E-11</v>
      </c>
      <c r="I117" s="91">
        <v>1.8657899836799998E-10</v>
      </c>
      <c r="J117" s="91">
        <v>3.3150063186300002E-10</v>
      </c>
      <c r="K117" s="92">
        <v>5.1999153898400002E-10</v>
      </c>
    </row>
    <row r="118" spans="2:11" x14ac:dyDescent="0.25">
      <c r="B118" s="59" t="s">
        <v>89</v>
      </c>
      <c r="C118" s="90">
        <v>0</v>
      </c>
      <c r="D118" s="91">
        <v>1.400317074E-12</v>
      </c>
      <c r="E118" s="91">
        <v>2.5303941459000001E-11</v>
      </c>
      <c r="F118" s="91">
        <v>5.9826812217999996E-11</v>
      </c>
      <c r="G118" s="91">
        <v>9.0159013065999999E-11</v>
      </c>
      <c r="H118" s="91">
        <v>1.7257511090299998E-10</v>
      </c>
      <c r="I118" s="91">
        <v>6.25315321166E-10</v>
      </c>
      <c r="J118" s="91">
        <v>1.7016621393800001E-9</v>
      </c>
      <c r="K118" s="92">
        <v>2.1580605357139999E-9</v>
      </c>
    </row>
    <row r="119" spans="2:11" x14ac:dyDescent="0.25">
      <c r="B119" s="59" t="s">
        <v>90</v>
      </c>
      <c r="C119" s="90">
        <v>0</v>
      </c>
      <c r="D119" s="91">
        <v>1.1689785770000001E-12</v>
      </c>
      <c r="E119" s="91">
        <v>2.0245483886999999E-11</v>
      </c>
      <c r="F119" s="91">
        <v>4.9046297700999997E-11</v>
      </c>
      <c r="G119" s="91">
        <v>6.3896308996999999E-11</v>
      </c>
      <c r="H119" s="91">
        <v>1.0419225836799999E-10</v>
      </c>
      <c r="I119" s="91">
        <v>2.08247043462E-10</v>
      </c>
      <c r="J119" s="91">
        <v>3.6801331023799999E-10</v>
      </c>
      <c r="K119" s="92">
        <v>5.5932760390900001E-10</v>
      </c>
    </row>
    <row r="120" spans="2:11" x14ac:dyDescent="0.25">
      <c r="B120" s="59" t="s">
        <v>91</v>
      </c>
      <c r="C120" s="90">
        <v>0</v>
      </c>
      <c r="D120" s="91">
        <v>2.3501626439999999E-12</v>
      </c>
      <c r="E120" s="91">
        <v>3.7371381534000001E-11</v>
      </c>
      <c r="F120" s="91">
        <v>9.3393892620000004E-11</v>
      </c>
      <c r="G120" s="91">
        <v>1.57571743652E-10</v>
      </c>
      <c r="H120" s="91">
        <v>4.4997755147700003E-10</v>
      </c>
      <c r="I120" s="91">
        <v>7.9531687696158091</v>
      </c>
      <c r="J120" s="91">
        <v>7.9531687774059998</v>
      </c>
      <c r="K120" s="92">
        <v>7.9531687788752192</v>
      </c>
    </row>
    <row r="121" spans="2:11" x14ac:dyDescent="0.25">
      <c r="B121" s="59" t="s">
        <v>92</v>
      </c>
      <c r="C121" s="90">
        <v>0</v>
      </c>
      <c r="D121" s="91">
        <v>5.9580469029999998E-12</v>
      </c>
      <c r="E121" s="91">
        <v>3.6862085917999994E-11</v>
      </c>
      <c r="F121" s="91">
        <v>1.09783449004E-10</v>
      </c>
      <c r="G121" s="91">
        <v>1.67163820254E-10</v>
      </c>
      <c r="H121" s="91">
        <v>1.2798490953359998E-9</v>
      </c>
      <c r="I121" s="91">
        <v>15.556913111505699</v>
      </c>
      <c r="J121" s="91">
        <v>17.790507226128899</v>
      </c>
      <c r="K121" s="92">
        <v>17.790507227937603</v>
      </c>
    </row>
    <row r="122" spans="2:11" x14ac:dyDescent="0.25">
      <c r="B122" s="59" t="s">
        <v>93</v>
      </c>
      <c r="C122" s="90">
        <v>0</v>
      </c>
      <c r="D122" s="91">
        <v>1.7034851449999998E-12</v>
      </c>
      <c r="E122" s="91">
        <v>3.1646978981999997E-11</v>
      </c>
      <c r="F122" s="91">
        <v>7.5870961746000006E-11</v>
      </c>
      <c r="G122" s="91">
        <v>1.18558645606E-10</v>
      </c>
      <c r="H122" s="91">
        <v>2.4939840054499999E-10</v>
      </c>
      <c r="I122" s="91">
        <v>3.3647805411949997E-9</v>
      </c>
      <c r="J122" s="91">
        <v>5.7115078336928998E-8</v>
      </c>
      <c r="K122" s="92">
        <v>5.5966690268667E-8</v>
      </c>
    </row>
    <row r="123" spans="2:11" x14ac:dyDescent="0.25">
      <c r="B123" s="59" t="s">
        <v>94</v>
      </c>
      <c r="C123" s="93">
        <v>0</v>
      </c>
      <c r="D123" s="94">
        <v>4.480294624E-12</v>
      </c>
      <c r="E123" s="94">
        <v>5.1031145774E-11</v>
      </c>
      <c r="F123" s="94">
        <v>1.2283365518399999E-10</v>
      </c>
      <c r="G123" s="94">
        <v>1.6202417286499999E-10</v>
      </c>
      <c r="H123" s="94">
        <v>1.15706293954149</v>
      </c>
      <c r="I123" s="94">
        <v>11.257614932050199</v>
      </c>
      <c r="J123" s="94">
        <v>11.257614932483198</v>
      </c>
      <c r="K123" s="95">
        <v>11.257614932611801</v>
      </c>
    </row>
    <row r="124" spans="2:11" x14ac:dyDescent="0.25">
      <c r="B124" s="104" t="s">
        <v>36</v>
      </c>
      <c r="C124" s="94">
        <v>0</v>
      </c>
      <c r="D124" s="94">
        <v>2.6990746055000001E-11</v>
      </c>
      <c r="E124" s="94">
        <v>3.6527991733000001E-10</v>
      </c>
      <c r="F124" s="94">
        <v>9.0446673339799984E-10</v>
      </c>
      <c r="G124" s="94">
        <v>1.3689268202970003E-9</v>
      </c>
      <c r="H124" s="94">
        <v>1.1570629432770425</v>
      </c>
      <c r="I124" s="94">
        <v>44.834316178932511</v>
      </c>
      <c r="J124" s="94">
        <v>52.137926105926546</v>
      </c>
      <c r="K124" s="95">
        <v>52.137926115021571</v>
      </c>
    </row>
    <row r="126" spans="2:11" x14ac:dyDescent="0.25">
      <c r="C126" s="165" t="s">
        <v>107</v>
      </c>
      <c r="D126" s="166"/>
      <c r="E126" s="166"/>
      <c r="F126" s="166"/>
      <c r="G126" s="166"/>
      <c r="H126" s="166"/>
      <c r="I126" s="166"/>
      <c r="J126" s="166"/>
      <c r="K126" s="167"/>
    </row>
    <row r="127" spans="2:11" x14ac:dyDescent="0.25">
      <c r="B127" s="60" t="s">
        <v>54</v>
      </c>
      <c r="C127" s="29">
        <v>2020</v>
      </c>
      <c r="D127" s="29">
        <v>2025</v>
      </c>
      <c r="E127" s="29">
        <v>2030</v>
      </c>
      <c r="F127" s="29">
        <v>2035</v>
      </c>
      <c r="G127" s="29">
        <v>2040</v>
      </c>
      <c r="H127" s="29">
        <v>2045</v>
      </c>
      <c r="I127" s="29">
        <v>2050</v>
      </c>
      <c r="J127" s="29">
        <v>2055</v>
      </c>
      <c r="K127" s="30">
        <v>2060</v>
      </c>
    </row>
    <row r="128" spans="2:11" x14ac:dyDescent="0.25">
      <c r="B128" s="59" t="s">
        <v>83</v>
      </c>
      <c r="C128" s="90">
        <v>0.54974575108631096</v>
      </c>
      <c r="D128" s="91">
        <v>0.61364285768206994</v>
      </c>
      <c r="E128" s="91">
        <v>0.67753983830319497</v>
      </c>
      <c r="F128" s="91">
        <v>0.76215422956387902</v>
      </c>
      <c r="G128" s="91">
        <v>1.7084455821012499</v>
      </c>
      <c r="H128" s="91">
        <v>4.6060695553469904</v>
      </c>
      <c r="I128" s="91">
        <v>10.023186112252899</v>
      </c>
      <c r="J128" s="91">
        <v>15.093275701262</v>
      </c>
      <c r="K128" s="92">
        <v>15.0086613122388</v>
      </c>
    </row>
    <row r="129" spans="2:11" x14ac:dyDescent="0.25">
      <c r="B129" s="59" t="s">
        <v>84</v>
      </c>
      <c r="C129" s="90">
        <v>0.13566860124066901</v>
      </c>
      <c r="D129" s="91">
        <v>0.16548226732686899</v>
      </c>
      <c r="E129" s="91">
        <v>0.19529593341205301</v>
      </c>
      <c r="F129" s="91">
        <v>0.234776070187587</v>
      </c>
      <c r="G129" s="91">
        <v>0.27425620703894799</v>
      </c>
      <c r="H129" s="91">
        <v>0.313736230817316</v>
      </c>
      <c r="I129" s="91">
        <v>0.353216367615452</v>
      </c>
      <c r="J129" s="91">
        <v>0.39269650367713499</v>
      </c>
      <c r="K129" s="92">
        <v>0.35321636803645601</v>
      </c>
    </row>
    <row r="130" spans="2:11" x14ac:dyDescent="0.25">
      <c r="B130" s="59" t="s">
        <v>85</v>
      </c>
      <c r="C130" s="90">
        <v>0.10746718623112399</v>
      </c>
      <c r="D130" s="91">
        <v>0.14513033854833701</v>
      </c>
      <c r="E130" s="91">
        <v>0.182793602332849</v>
      </c>
      <c r="F130" s="91">
        <v>0.23266822570701001</v>
      </c>
      <c r="G130" s="91">
        <v>0.28254284916092798</v>
      </c>
      <c r="H130" s="91">
        <v>0.332417583922275</v>
      </c>
      <c r="I130" s="91">
        <v>0.38229220728130697</v>
      </c>
      <c r="J130" s="91">
        <v>0.432166827689558</v>
      </c>
      <c r="K130" s="92">
        <v>0.382292207334612</v>
      </c>
    </row>
    <row r="131" spans="2:11" x14ac:dyDescent="0.25">
      <c r="B131" s="59" t="s">
        <v>86</v>
      </c>
      <c r="C131" s="90">
        <v>0.14469737900336899</v>
      </c>
      <c r="D131" s="91">
        <v>0.171172652069844</v>
      </c>
      <c r="E131" s="91">
        <v>0.19764792514740398</v>
      </c>
      <c r="F131" s="91">
        <v>0.23270733867412199</v>
      </c>
      <c r="G131" s="91">
        <v>0.26776664156965202</v>
      </c>
      <c r="H131" s="91">
        <v>0.30282605507586902</v>
      </c>
      <c r="I131" s="91">
        <v>0.33788535791316804</v>
      </c>
      <c r="J131" s="91">
        <v>0.33788535798596397</v>
      </c>
      <c r="K131" s="92">
        <v>0.33788535793339697</v>
      </c>
    </row>
    <row r="132" spans="2:11" x14ac:dyDescent="0.25">
      <c r="B132" s="59" t="s">
        <v>87</v>
      </c>
      <c r="C132" s="90">
        <v>0.23685124815922698</v>
      </c>
      <c r="D132" s="91">
        <v>0.282128235101961</v>
      </c>
      <c r="E132" s="91">
        <v>0.32740522207470801</v>
      </c>
      <c r="F132" s="91">
        <v>0.38736237583652899</v>
      </c>
      <c r="G132" s="91">
        <v>0.44731942294550703</v>
      </c>
      <c r="H132" s="91">
        <v>0.50727657667009807</v>
      </c>
      <c r="I132" s="91">
        <v>0.56723373046193293</v>
      </c>
      <c r="J132" s="91">
        <v>0.62719088516876398</v>
      </c>
      <c r="K132" s="92">
        <v>0.56723373670572297</v>
      </c>
    </row>
    <row r="133" spans="2:11" x14ac:dyDescent="0.25">
      <c r="B133" s="59" t="s">
        <v>88</v>
      </c>
      <c r="C133" s="90">
        <v>6.8885222087879894E-2</v>
      </c>
      <c r="D133" s="91">
        <v>0.110175257650606</v>
      </c>
      <c r="E133" s="91">
        <v>0.20614281473325</v>
      </c>
      <c r="F133" s="91">
        <v>0.20614281872871798</v>
      </c>
      <c r="G133" s="91">
        <v>0.26082034427022999</v>
      </c>
      <c r="H133" s="91">
        <v>0.31549786979823496</v>
      </c>
      <c r="I133" s="91">
        <v>0.37017539531279903</v>
      </c>
      <c r="J133" s="91">
        <v>0.37017539538751704</v>
      </c>
      <c r="K133" s="92">
        <v>0.37017539534017196</v>
      </c>
    </row>
    <row r="134" spans="2:11" x14ac:dyDescent="0.25">
      <c r="B134" s="59" t="s">
        <v>89</v>
      </c>
      <c r="C134" s="90">
        <v>5.3251107169213302E-2</v>
      </c>
      <c r="D134" s="91">
        <v>8.4800906678086596E-2</v>
      </c>
      <c r="E134" s="91">
        <v>0.116350812151363</v>
      </c>
      <c r="F134" s="91">
        <v>0.15813000661695301</v>
      </c>
      <c r="G134" s="91">
        <v>0.19990930711366597</v>
      </c>
      <c r="H134" s="91">
        <v>0.24168850154841801</v>
      </c>
      <c r="I134" s="91">
        <v>0.283467801969573</v>
      </c>
      <c r="J134" s="91">
        <v>0.32524697995531299</v>
      </c>
      <c r="K134" s="92">
        <v>0.28346780204211403</v>
      </c>
    </row>
    <row r="135" spans="2:11" x14ac:dyDescent="0.25">
      <c r="B135" s="59" t="s">
        <v>90</v>
      </c>
      <c r="C135" s="90">
        <v>7.7446105415236804E-2</v>
      </c>
      <c r="D135" s="91">
        <v>0.10573204685383299</v>
      </c>
      <c r="E135" s="91">
        <v>0.13401798829259301</v>
      </c>
      <c r="F135" s="91">
        <v>0.17147492825843702</v>
      </c>
      <c r="G135" s="91">
        <v>0.20893197472105599</v>
      </c>
      <c r="H135" s="91">
        <v>0.24638902115976399</v>
      </c>
      <c r="I135" s="91">
        <v>0.28384606759441805</v>
      </c>
      <c r="J135" s="91">
        <v>0.28384606763565601</v>
      </c>
      <c r="K135" s="92">
        <v>0.28384606761838799</v>
      </c>
    </row>
    <row r="136" spans="2:11" x14ac:dyDescent="0.25">
      <c r="B136" s="59" t="s">
        <v>91</v>
      </c>
      <c r="C136" s="90">
        <v>1.2880228113524899</v>
      </c>
      <c r="D136" s="91">
        <v>1.3421911413185901</v>
      </c>
      <c r="E136" s="91">
        <v>1.3963594712846998</v>
      </c>
      <c r="F136" s="91">
        <v>1.46809075962372</v>
      </c>
      <c r="G136" s="91">
        <v>1.53982204796275</v>
      </c>
      <c r="H136" s="91">
        <v>1.61155333630179</v>
      </c>
      <c r="I136" s="91">
        <v>1.68328462464082</v>
      </c>
      <c r="J136" s="91">
        <v>1.68328462464082</v>
      </c>
      <c r="K136" s="92">
        <v>1.68328462464082</v>
      </c>
    </row>
    <row r="137" spans="2:11" x14ac:dyDescent="0.25">
      <c r="B137" s="59" t="s">
        <v>92</v>
      </c>
      <c r="C137" s="90">
        <v>1.0886146727144199</v>
      </c>
      <c r="D137" s="91">
        <v>1.13552746869845</v>
      </c>
      <c r="E137" s="91">
        <v>1.1824402646824699</v>
      </c>
      <c r="F137" s="91">
        <v>1.2445636111319398</v>
      </c>
      <c r="G137" s="91">
        <v>1.3066869578381799</v>
      </c>
      <c r="H137" s="91">
        <v>1.3688103040406798</v>
      </c>
      <c r="I137" s="91">
        <v>1.4309336504628201</v>
      </c>
      <c r="J137" s="91">
        <v>1.43093365082103</v>
      </c>
      <c r="K137" s="92">
        <v>1.43093365053174</v>
      </c>
    </row>
    <row r="138" spans="2:11" x14ac:dyDescent="0.25">
      <c r="B138" s="59" t="s">
        <v>93</v>
      </c>
      <c r="C138" s="90">
        <v>0.76536151221357218</v>
      </c>
      <c r="D138" s="91">
        <v>0.297985324470664</v>
      </c>
      <c r="E138" s="91">
        <v>0.33948157101316195</v>
      </c>
      <c r="F138" s="91">
        <v>0.39443206965150202</v>
      </c>
      <c r="G138" s="91">
        <v>0.44938268105106</v>
      </c>
      <c r="H138" s="91">
        <v>0.50433317964945401</v>
      </c>
      <c r="I138" s="91">
        <v>0.55928379095730607</v>
      </c>
      <c r="J138" s="91">
        <v>0.55928379106038306</v>
      </c>
      <c r="K138" s="92">
        <v>0.55928379095730607</v>
      </c>
    </row>
    <row r="139" spans="2:11" x14ac:dyDescent="0.25">
      <c r="B139" s="59" t="s">
        <v>94</v>
      </c>
      <c r="C139" s="93">
        <v>0.79512793592380604</v>
      </c>
      <c r="D139" s="94">
        <v>3.2530779677118398</v>
      </c>
      <c r="E139" s="94">
        <v>5.6334956248513892</v>
      </c>
      <c r="F139" s="94">
        <v>8.9659180970721408</v>
      </c>
      <c r="G139" s="94">
        <v>11.223775041050001</v>
      </c>
      <c r="H139" s="94">
        <v>11.2237750409945</v>
      </c>
      <c r="I139" s="94">
        <v>11.223775041070699</v>
      </c>
      <c r="J139" s="94">
        <v>11.2237750410807</v>
      </c>
      <c r="K139" s="95">
        <v>11.223775040844901</v>
      </c>
    </row>
    <row r="140" spans="2:11" x14ac:dyDescent="0.25">
      <c r="B140" s="104" t="s">
        <v>36</v>
      </c>
      <c r="C140" s="94">
        <v>5.3111395325973181</v>
      </c>
      <c r="D140" s="94">
        <v>7.7070464641111505</v>
      </c>
      <c r="E140" s="94">
        <v>10.588971068279136</v>
      </c>
      <c r="F140" s="94">
        <v>14.458420531052537</v>
      </c>
      <c r="G140" s="94">
        <v>18.169659056823228</v>
      </c>
      <c r="H140" s="94">
        <v>21.574373255325391</v>
      </c>
      <c r="I140" s="94">
        <v>27.498580147533193</v>
      </c>
      <c r="J140" s="94">
        <v>32.75976082636484</v>
      </c>
      <c r="K140" s="95">
        <v>32.484055354224431</v>
      </c>
    </row>
    <row r="142" spans="2:11" x14ac:dyDescent="0.25">
      <c r="C142" s="165" t="s">
        <v>107</v>
      </c>
      <c r="D142" s="166"/>
      <c r="E142" s="166"/>
      <c r="F142" s="166"/>
      <c r="G142" s="166"/>
      <c r="H142" s="166"/>
      <c r="I142" s="166"/>
      <c r="J142" s="166"/>
      <c r="K142" s="167"/>
    </row>
    <row r="143" spans="2:11" x14ac:dyDescent="0.25">
      <c r="B143" s="60" t="s">
        <v>74</v>
      </c>
      <c r="C143" s="29">
        <v>2020</v>
      </c>
      <c r="D143" s="29">
        <v>2025</v>
      </c>
      <c r="E143" s="29">
        <v>2030</v>
      </c>
      <c r="F143" s="29">
        <v>2035</v>
      </c>
      <c r="G143" s="29">
        <v>2040</v>
      </c>
      <c r="H143" s="29">
        <v>2045</v>
      </c>
      <c r="I143" s="29">
        <v>2050</v>
      </c>
      <c r="J143" s="29">
        <v>2055</v>
      </c>
      <c r="K143" s="30">
        <v>2060</v>
      </c>
    </row>
    <row r="144" spans="2:11" x14ac:dyDescent="0.25">
      <c r="B144" s="59" t="s">
        <v>83</v>
      </c>
      <c r="C144" s="90">
        <v>0.23092259274126198</v>
      </c>
      <c r="D144" s="91">
        <v>0.24652681891275299</v>
      </c>
      <c r="E144" s="91">
        <v>0.26213104507365398</v>
      </c>
      <c r="F144" s="91">
        <v>0.32289453261006096</v>
      </c>
      <c r="G144" s="91">
        <v>0.38365789417702501</v>
      </c>
      <c r="H144" s="91">
        <v>0.44442138174010998</v>
      </c>
      <c r="I144" s="91">
        <v>0.50518474325124196</v>
      </c>
      <c r="J144" s="91">
        <v>0.50518474325124196</v>
      </c>
      <c r="K144" s="92">
        <v>0.50518474329863094</v>
      </c>
    </row>
    <row r="145" spans="2:11" x14ac:dyDescent="0.25">
      <c r="B145" s="59" t="s">
        <v>84</v>
      </c>
      <c r="C145" s="90">
        <v>5.6988065140990994E-2</v>
      </c>
      <c r="D145" s="91">
        <v>6.3683468827081591E-2</v>
      </c>
      <c r="E145" s="91">
        <v>7.0378872521995303E-2</v>
      </c>
      <c r="F145" s="91">
        <v>9.6451035969574703E-2</v>
      </c>
      <c r="G145" s="91">
        <v>0.122523086503255</v>
      </c>
      <c r="H145" s="91">
        <v>0.148595249966994</v>
      </c>
      <c r="I145" s="91">
        <v>0.17466730049236898</v>
      </c>
      <c r="J145" s="91">
        <v>0.174667300495772</v>
      </c>
      <c r="K145" s="92">
        <v>0.17466730051211099</v>
      </c>
    </row>
    <row r="146" spans="2:11" x14ac:dyDescent="0.25">
      <c r="B146" s="59" t="s">
        <v>85</v>
      </c>
      <c r="C146" s="90">
        <v>4.5141933062942001E-2</v>
      </c>
      <c r="D146" s="91">
        <v>5.0947159985134001E-2</v>
      </c>
      <c r="E146" s="91">
        <v>5.6752386920741402E-2</v>
      </c>
      <c r="F146" s="91">
        <v>7.9358123951869988E-2</v>
      </c>
      <c r="G146" s="91">
        <v>0.10196374955537101</v>
      </c>
      <c r="H146" s="91">
        <v>0.12456948659829699</v>
      </c>
      <c r="I146" s="91">
        <v>0.14717511219151902</v>
      </c>
      <c r="J146" s="91">
        <v>0.14717511219613799</v>
      </c>
      <c r="K146" s="92">
        <v>0.14717511221219601</v>
      </c>
    </row>
    <row r="147" spans="2:11" x14ac:dyDescent="0.25">
      <c r="B147" s="59" t="s">
        <v>86</v>
      </c>
      <c r="C147" s="90">
        <v>6.0780627895733297E-2</v>
      </c>
      <c r="D147" s="91">
        <v>6.6494276942308403E-2</v>
      </c>
      <c r="E147" s="91">
        <v>7.2207925986103691E-2</v>
      </c>
      <c r="F147" s="91">
        <v>9.4456973398531902E-2</v>
      </c>
      <c r="G147" s="91">
        <v>0.11670613147447799</v>
      </c>
      <c r="H147" s="91">
        <v>0.13895528954998998</v>
      </c>
      <c r="I147" s="91">
        <v>0.16120433694423097</v>
      </c>
      <c r="J147" s="91">
        <v>0.161204336954172</v>
      </c>
      <c r="K147" s="92">
        <v>0.161204336960588</v>
      </c>
    </row>
    <row r="148" spans="2:11" x14ac:dyDescent="0.25">
      <c r="B148" s="59" t="s">
        <v>87</v>
      </c>
      <c r="C148" s="90">
        <v>9.9490131413554395E-2</v>
      </c>
      <c r="D148" s="91">
        <v>0.109233319697067</v>
      </c>
      <c r="E148" s="91">
        <v>0.118976401230804</v>
      </c>
      <c r="F148" s="91">
        <v>0.15691645387118</v>
      </c>
      <c r="G148" s="91">
        <v>0.194856399772355</v>
      </c>
      <c r="H148" s="91">
        <v>0.23279645241674798</v>
      </c>
      <c r="I148" s="91">
        <v>0.27073639829903301</v>
      </c>
      <c r="J148" s="91">
        <v>0.27073639829903301</v>
      </c>
      <c r="K148" s="92">
        <v>0.27073639834789798</v>
      </c>
    </row>
    <row r="149" spans="2:11" x14ac:dyDescent="0.25">
      <c r="B149" s="59" t="s">
        <v>88</v>
      </c>
      <c r="C149" s="90">
        <v>2.8935436355099899E-2</v>
      </c>
      <c r="D149" s="91">
        <v>3.7270314074056295E-2</v>
      </c>
      <c r="E149" s="91">
        <v>0.24462005596279598</v>
      </c>
      <c r="F149" s="91">
        <v>7.8060968301864195E-2</v>
      </c>
      <c r="G149" s="91">
        <v>0.11051684762420799</v>
      </c>
      <c r="H149" s="91">
        <v>0.14297272694944399</v>
      </c>
      <c r="I149" s="91">
        <v>0.17542860626015999</v>
      </c>
      <c r="J149" s="91">
        <v>0.17542860626984</v>
      </c>
      <c r="K149" s="92">
        <v>0.17542860627958098</v>
      </c>
    </row>
    <row r="150" spans="2:11" x14ac:dyDescent="0.25">
      <c r="B150" s="59" t="s">
        <v>89</v>
      </c>
      <c r="C150" s="90">
        <v>2.2368285495546598E-2</v>
      </c>
      <c r="D150" s="91">
        <v>3.0280687447747298E-2</v>
      </c>
      <c r="E150" s="91">
        <v>3.8193089410217103E-2</v>
      </c>
      <c r="F150" s="91">
        <v>6.9004286445110988E-2</v>
      </c>
      <c r="G150" s="91">
        <v>9.9815483499216789E-2</v>
      </c>
      <c r="H150" s="91">
        <v>0.130626680550016</v>
      </c>
      <c r="I150" s="91">
        <v>0.161437877582053</v>
      </c>
      <c r="J150" s="91">
        <v>0.16143787759315797</v>
      </c>
      <c r="K150" s="92">
        <v>0.16143787762031001</v>
      </c>
    </row>
    <row r="151" spans="2:11" x14ac:dyDescent="0.25">
      <c r="B151" s="59" t="s">
        <v>90</v>
      </c>
      <c r="C151" s="90">
        <v>3.25315532382945E-2</v>
      </c>
      <c r="D151" s="91">
        <v>3.8039710674726196E-2</v>
      </c>
      <c r="E151" s="91">
        <v>4.3547868109928396E-2</v>
      </c>
      <c r="F151" s="91">
        <v>6.49967688017839E-2</v>
      </c>
      <c r="G151" s="91">
        <v>8.6445669495279903E-2</v>
      </c>
      <c r="H151" s="91">
        <v>0.107894570187204</v>
      </c>
      <c r="I151" s="91">
        <v>0.12934347086897599</v>
      </c>
      <c r="J151" s="91">
        <v>0.12934347087770598</v>
      </c>
      <c r="K151" s="92">
        <v>0.12934347088797399</v>
      </c>
    </row>
    <row r="152" spans="2:11" x14ac:dyDescent="0.25">
      <c r="B152" s="59" t="s">
        <v>91</v>
      </c>
      <c r="C152" s="90">
        <v>0.54103833398687695</v>
      </c>
      <c r="D152" s="91">
        <v>0.55823469313836904</v>
      </c>
      <c r="E152" s="91">
        <v>0.57543105228985902</v>
      </c>
      <c r="F152" s="91">
        <v>0.64239411000979507</v>
      </c>
      <c r="G152" s="91">
        <v>0.7093571677297309</v>
      </c>
      <c r="H152" s="91">
        <v>0.77632022544966506</v>
      </c>
      <c r="I152" s="91">
        <v>0.84328328316960199</v>
      </c>
      <c r="J152" s="91">
        <v>0.84328328316960199</v>
      </c>
      <c r="K152" s="92">
        <v>0.84328328316960199</v>
      </c>
    </row>
    <row r="153" spans="2:11" x14ac:dyDescent="0.25">
      <c r="B153" s="59" t="s">
        <v>92</v>
      </c>
      <c r="C153" s="90">
        <v>0.45727631169058197</v>
      </c>
      <c r="D153" s="91">
        <v>0.47262635863798402</v>
      </c>
      <c r="E153" s="91">
        <v>0.48797640558538702</v>
      </c>
      <c r="F153" s="91">
        <v>0.54775001594434991</v>
      </c>
      <c r="G153" s="91">
        <v>0.60752362630331491</v>
      </c>
      <c r="H153" s="91">
        <v>0.66729723666228002</v>
      </c>
      <c r="I153" s="91">
        <v>0.72707084702124503</v>
      </c>
      <c r="J153" s="91">
        <v>0.72707084702124503</v>
      </c>
      <c r="K153" s="92">
        <v>0.72707084702124503</v>
      </c>
    </row>
    <row r="154" spans="2:11" x14ac:dyDescent="0.25">
      <c r="B154" s="59" t="s">
        <v>93</v>
      </c>
      <c r="C154" s="90">
        <v>0.10773916156767999</v>
      </c>
      <c r="D154" s="91">
        <v>0.11485294551370699</v>
      </c>
      <c r="E154" s="91">
        <v>0.12196672945630499</v>
      </c>
      <c r="F154" s="91">
        <v>0.14966804573415302</v>
      </c>
      <c r="G154" s="91">
        <v>0.17736936201290301</v>
      </c>
      <c r="H154" s="91">
        <v>0.205070678289379</v>
      </c>
      <c r="I154" s="91">
        <v>0.232771994548823</v>
      </c>
      <c r="J154" s="91">
        <v>0.232771994548823</v>
      </c>
      <c r="K154" s="92">
        <v>0.23277199456579098</v>
      </c>
    </row>
    <row r="155" spans="2:11" x14ac:dyDescent="0.25">
      <c r="B155" s="59" t="s">
        <v>94</v>
      </c>
      <c r="C155" s="93">
        <v>0.33399622309351096</v>
      </c>
      <c r="D155" s="94">
        <v>0.48418680410418596</v>
      </c>
      <c r="E155" s="94">
        <v>0.35071877354958697</v>
      </c>
      <c r="F155" s="94">
        <v>1.2120914698537</v>
      </c>
      <c r="G155" s="94">
        <v>1.7912631874201799</v>
      </c>
      <c r="H155" s="94">
        <v>2.3704343219482298</v>
      </c>
      <c r="I155" s="94">
        <v>2.94960618562585</v>
      </c>
      <c r="J155" s="94">
        <v>2.9496061855473599</v>
      </c>
      <c r="K155" s="95">
        <v>2.9496061851082698</v>
      </c>
    </row>
    <row r="156" spans="2:11" x14ac:dyDescent="0.25">
      <c r="B156" s="104" t="s">
        <v>36</v>
      </c>
      <c r="C156" s="94">
        <v>2.0172086556820736</v>
      </c>
      <c r="D156" s="94">
        <v>2.2723765579551198</v>
      </c>
      <c r="E156" s="94">
        <v>2.4429006060973779</v>
      </c>
      <c r="F156" s="94">
        <v>3.5140427848919749</v>
      </c>
      <c r="G156" s="94">
        <v>4.5019986055673176</v>
      </c>
      <c r="H156" s="94">
        <v>5.4899543003083568</v>
      </c>
      <c r="I156" s="94">
        <v>6.4779101562551027</v>
      </c>
      <c r="J156" s="94">
        <v>6.4779101562240911</v>
      </c>
      <c r="K156" s="95">
        <v>6.4779101559841967</v>
      </c>
    </row>
    <row r="158" spans="2:11" x14ac:dyDescent="0.25">
      <c r="C158" s="165" t="s">
        <v>107</v>
      </c>
      <c r="D158" s="166"/>
      <c r="E158" s="166"/>
      <c r="F158" s="166"/>
      <c r="G158" s="166"/>
      <c r="H158" s="166"/>
      <c r="I158" s="166"/>
      <c r="J158" s="166"/>
      <c r="K158" s="167"/>
    </row>
    <row r="159" spans="2:11" x14ac:dyDescent="0.25">
      <c r="B159" s="60" t="s">
        <v>95</v>
      </c>
      <c r="C159" s="28">
        <v>2020</v>
      </c>
      <c r="D159" s="29">
        <v>2025</v>
      </c>
      <c r="E159" s="29">
        <v>2030</v>
      </c>
      <c r="F159" s="29">
        <v>2035</v>
      </c>
      <c r="G159" s="29">
        <v>2040</v>
      </c>
      <c r="H159" s="29">
        <v>2045</v>
      </c>
      <c r="I159" s="29">
        <v>2050</v>
      </c>
      <c r="J159" s="29">
        <v>2055</v>
      </c>
      <c r="K159" s="30">
        <v>2060</v>
      </c>
    </row>
    <row r="160" spans="2:11" x14ac:dyDescent="0.25">
      <c r="B160" s="47" t="s">
        <v>83</v>
      </c>
      <c r="C160" s="90">
        <v>90.980972113666411</v>
      </c>
      <c r="D160" s="91">
        <v>88.898864764338498</v>
      </c>
      <c r="E160" s="91">
        <v>74.384758010361097</v>
      </c>
      <c r="F160" s="91">
        <v>54.015591639052793</v>
      </c>
      <c r="G160" s="91">
        <v>42.379731881226498</v>
      </c>
      <c r="H160" s="91">
        <v>7.9654145485934205</v>
      </c>
      <c r="I160" s="91">
        <v>5.6578833440954899</v>
      </c>
      <c r="J160" s="91">
        <v>0</v>
      </c>
      <c r="K160" s="92">
        <v>0</v>
      </c>
    </row>
    <row r="161" spans="2:11" x14ac:dyDescent="0.25">
      <c r="B161" s="59" t="s">
        <v>84</v>
      </c>
      <c r="C161" s="90">
        <v>0</v>
      </c>
      <c r="D161" s="91">
        <v>0</v>
      </c>
      <c r="E161" s="91">
        <v>0</v>
      </c>
      <c r="F161" s="91">
        <v>0</v>
      </c>
      <c r="G161" s="91">
        <v>0</v>
      </c>
      <c r="H161" s="91">
        <v>0</v>
      </c>
      <c r="I161" s="91">
        <v>0</v>
      </c>
      <c r="J161" s="91">
        <v>0</v>
      </c>
      <c r="K161" s="92">
        <v>0</v>
      </c>
    </row>
    <row r="162" spans="2:11" x14ac:dyDescent="0.25">
      <c r="B162" s="59" t="s">
        <v>85</v>
      </c>
      <c r="C162" s="90">
        <v>0</v>
      </c>
      <c r="D162" s="91">
        <v>0</v>
      </c>
      <c r="E162" s="91">
        <v>0</v>
      </c>
      <c r="F162" s="91">
        <v>0</v>
      </c>
      <c r="G162" s="91">
        <v>0</v>
      </c>
      <c r="H162" s="91">
        <v>0</v>
      </c>
      <c r="I162" s="91">
        <v>0</v>
      </c>
      <c r="J162" s="91">
        <v>0</v>
      </c>
      <c r="K162" s="92">
        <v>0</v>
      </c>
    </row>
    <row r="163" spans="2:11" x14ac:dyDescent="0.25">
      <c r="B163" s="59" t="s">
        <v>86</v>
      </c>
      <c r="C163" s="90">
        <v>77.442718075391412</v>
      </c>
      <c r="D163" s="91">
        <v>75.395661966378199</v>
      </c>
      <c r="E163" s="91">
        <v>65.506290626788314</v>
      </c>
      <c r="F163" s="91">
        <v>41.908433451060027</v>
      </c>
      <c r="G163" s="91">
        <v>41.674424369030639</v>
      </c>
      <c r="H163" s="91">
        <v>19.190837523240354</v>
      </c>
      <c r="I163" s="91">
        <v>8.1556334607057899</v>
      </c>
      <c r="J163" s="91">
        <v>0</v>
      </c>
      <c r="K163" s="92">
        <v>0</v>
      </c>
    </row>
    <row r="164" spans="2:11" x14ac:dyDescent="0.25">
      <c r="B164" s="59" t="s">
        <v>87</v>
      </c>
      <c r="C164" s="90">
        <v>72.154052144001497</v>
      </c>
      <c r="D164" s="91">
        <v>71.405962363715901</v>
      </c>
      <c r="E164" s="91">
        <v>67.9168615469206</v>
      </c>
      <c r="F164" s="91">
        <v>66.800070673443201</v>
      </c>
      <c r="G164" s="91">
        <v>66.453980879915903</v>
      </c>
      <c r="H164" s="91">
        <v>65.718100094541001</v>
      </c>
      <c r="I164" s="91">
        <v>16.183534701423639</v>
      </c>
      <c r="J164" s="91">
        <v>0</v>
      </c>
      <c r="K164" s="92">
        <v>0</v>
      </c>
    </row>
    <row r="165" spans="2:11" x14ac:dyDescent="0.25">
      <c r="B165" s="59" t="s">
        <v>88</v>
      </c>
      <c r="C165" s="90">
        <v>36.245309639922603</v>
      </c>
      <c r="D165" s="91">
        <v>35.528515085575201</v>
      </c>
      <c r="E165" s="91">
        <v>34.825124132448501</v>
      </c>
      <c r="F165" s="91">
        <v>22.633647164843858</v>
      </c>
      <c r="G165" s="91">
        <v>22.375288612698679</v>
      </c>
      <c r="H165" s="91">
        <v>5.5248293631529295</v>
      </c>
      <c r="I165" s="91">
        <v>0</v>
      </c>
      <c r="J165" s="91">
        <v>0</v>
      </c>
      <c r="K165" s="92">
        <v>0</v>
      </c>
    </row>
    <row r="166" spans="2:11" x14ac:dyDescent="0.25">
      <c r="B166" s="59" t="s">
        <v>89</v>
      </c>
      <c r="C166" s="90">
        <v>0</v>
      </c>
      <c r="D166" s="91">
        <v>0</v>
      </c>
      <c r="E166" s="91">
        <v>0</v>
      </c>
      <c r="F166" s="91">
        <v>0</v>
      </c>
      <c r="G166" s="91">
        <v>0</v>
      </c>
      <c r="H166" s="91">
        <v>0</v>
      </c>
      <c r="I166" s="91">
        <v>0</v>
      </c>
      <c r="J166" s="91">
        <v>0</v>
      </c>
      <c r="K166" s="92">
        <v>0</v>
      </c>
    </row>
    <row r="167" spans="2:11" x14ac:dyDescent="0.25">
      <c r="B167" s="59" t="s">
        <v>90</v>
      </c>
      <c r="C167" s="90">
        <v>70.198002346967499</v>
      </c>
      <c r="D167" s="91">
        <v>67.412509579814397</v>
      </c>
      <c r="E167" s="91">
        <v>62.987432369616201</v>
      </c>
      <c r="F167" s="91">
        <v>62.526223661181298</v>
      </c>
      <c r="G167" s="91">
        <v>32.48799686754311</v>
      </c>
      <c r="H167" s="91">
        <v>29.923900600704865</v>
      </c>
      <c r="I167" s="91">
        <v>22.634582056739198</v>
      </c>
      <c r="J167" s="91">
        <v>0</v>
      </c>
      <c r="K167" s="92">
        <v>0</v>
      </c>
    </row>
    <row r="168" spans="2:11" x14ac:dyDescent="0.25">
      <c r="B168" s="59" t="s">
        <v>91</v>
      </c>
      <c r="C168" s="90">
        <v>44.309331538700704</v>
      </c>
      <c r="D168" s="91">
        <v>42.417462758372899</v>
      </c>
      <c r="E168" s="91">
        <v>41.918453073858501</v>
      </c>
      <c r="F168" s="91">
        <v>46.7817659355619</v>
      </c>
      <c r="G168" s="91">
        <v>28.0928115777991</v>
      </c>
      <c r="H168" s="91">
        <v>25.844347921497999</v>
      </c>
      <c r="I168" s="91">
        <v>11.756638259077876</v>
      </c>
      <c r="J168" s="91">
        <v>0</v>
      </c>
      <c r="K168" s="92">
        <v>0</v>
      </c>
    </row>
    <row r="169" spans="2:11" x14ac:dyDescent="0.25">
      <c r="B169" s="59" t="s">
        <v>92</v>
      </c>
      <c r="C169" s="90">
        <v>17.561097021340302</v>
      </c>
      <c r="D169" s="91">
        <v>16.774301895914199</v>
      </c>
      <c r="E169" s="91">
        <v>16.167039547149599</v>
      </c>
      <c r="F169" s="91">
        <v>0</v>
      </c>
      <c r="G169" s="91">
        <v>0</v>
      </c>
      <c r="H169" s="91">
        <v>0</v>
      </c>
      <c r="I169" s="91">
        <v>0</v>
      </c>
      <c r="J169" s="91">
        <v>0</v>
      </c>
      <c r="K169" s="92">
        <v>0</v>
      </c>
    </row>
    <row r="170" spans="2:11" x14ac:dyDescent="0.25">
      <c r="B170" s="59" t="s">
        <v>93</v>
      </c>
      <c r="C170" s="90">
        <v>0</v>
      </c>
      <c r="D170" s="91">
        <v>0</v>
      </c>
      <c r="E170" s="91">
        <v>0</v>
      </c>
      <c r="F170" s="91">
        <v>0</v>
      </c>
      <c r="G170" s="91">
        <v>0</v>
      </c>
      <c r="H170" s="91">
        <v>0</v>
      </c>
      <c r="I170" s="91">
        <v>0</v>
      </c>
      <c r="J170" s="91">
        <v>0</v>
      </c>
      <c r="K170" s="92">
        <v>0</v>
      </c>
    </row>
    <row r="171" spans="2:11" x14ac:dyDescent="0.25">
      <c r="B171" s="59" t="s">
        <v>94</v>
      </c>
      <c r="C171" s="93">
        <v>0</v>
      </c>
      <c r="D171" s="94">
        <v>0</v>
      </c>
      <c r="E171" s="94">
        <v>0</v>
      </c>
      <c r="F171" s="94">
        <v>0</v>
      </c>
      <c r="G171" s="94">
        <v>0</v>
      </c>
      <c r="H171" s="94">
        <v>0</v>
      </c>
      <c r="I171" s="94">
        <v>0</v>
      </c>
      <c r="J171" s="94">
        <v>0</v>
      </c>
      <c r="K171" s="95">
        <v>0</v>
      </c>
    </row>
    <row r="172" spans="2:11" x14ac:dyDescent="0.25">
      <c r="B172" s="104" t="s">
        <v>36</v>
      </c>
      <c r="C172" s="94">
        <v>408.89148287999041</v>
      </c>
      <c r="D172" s="94">
        <v>397.83327841410932</v>
      </c>
      <c r="E172" s="94">
        <v>363.70595930714279</v>
      </c>
      <c r="F172" s="94">
        <v>294.66573252514308</v>
      </c>
      <c r="G172" s="94">
        <v>233.46423418821394</v>
      </c>
      <c r="H172" s="94">
        <v>154.16743005173055</v>
      </c>
      <c r="I172" s="94">
        <v>64.388271822042</v>
      </c>
      <c r="J172" s="94">
        <v>0</v>
      </c>
      <c r="K172" s="95">
        <v>0</v>
      </c>
    </row>
    <row r="174" spans="2:11" x14ac:dyDescent="0.25">
      <c r="C174" s="165" t="s">
        <v>107</v>
      </c>
      <c r="D174" s="166"/>
      <c r="E174" s="166"/>
      <c r="F174" s="166"/>
      <c r="G174" s="166"/>
      <c r="H174" s="166"/>
      <c r="I174" s="166"/>
      <c r="J174" s="166"/>
      <c r="K174" s="167"/>
    </row>
    <row r="175" spans="2:11" x14ac:dyDescent="0.25">
      <c r="B175" s="60" t="s">
        <v>97</v>
      </c>
      <c r="C175" s="28">
        <v>2020</v>
      </c>
      <c r="D175" s="29">
        <v>2025</v>
      </c>
      <c r="E175" s="29">
        <v>2030</v>
      </c>
      <c r="F175" s="29">
        <v>2035</v>
      </c>
      <c r="G175" s="29">
        <v>2040</v>
      </c>
      <c r="H175" s="29">
        <v>2045</v>
      </c>
      <c r="I175" s="29">
        <v>2050</v>
      </c>
      <c r="J175" s="29">
        <v>2055</v>
      </c>
      <c r="K175" s="30">
        <v>2060</v>
      </c>
    </row>
    <row r="176" spans="2:11" x14ac:dyDescent="0.25">
      <c r="B176" s="47" t="s">
        <v>83</v>
      </c>
      <c r="C176" s="90">
        <v>0</v>
      </c>
      <c r="D176" s="91">
        <v>0</v>
      </c>
      <c r="E176" s="91">
        <v>0</v>
      </c>
      <c r="F176" s="91">
        <v>0</v>
      </c>
      <c r="G176" s="91">
        <v>0</v>
      </c>
      <c r="H176" s="91">
        <v>0</v>
      </c>
      <c r="I176" s="91">
        <v>0</v>
      </c>
      <c r="J176" s="91">
        <v>0</v>
      </c>
      <c r="K176" s="92">
        <v>0</v>
      </c>
    </row>
    <row r="177" spans="2:11" x14ac:dyDescent="0.25">
      <c r="B177" s="59" t="s">
        <v>84</v>
      </c>
      <c r="C177" s="90">
        <v>0</v>
      </c>
      <c r="D177" s="91">
        <v>0</v>
      </c>
      <c r="E177" s="91">
        <v>0</v>
      </c>
      <c r="F177" s="91">
        <v>0</v>
      </c>
      <c r="G177" s="91">
        <v>0</v>
      </c>
      <c r="H177" s="91">
        <v>0</v>
      </c>
      <c r="I177" s="91">
        <v>0</v>
      </c>
      <c r="J177" s="91">
        <v>0</v>
      </c>
      <c r="K177" s="92">
        <v>0</v>
      </c>
    </row>
    <row r="178" spans="2:11" x14ac:dyDescent="0.25">
      <c r="B178" s="59" t="s">
        <v>85</v>
      </c>
      <c r="C178" s="90">
        <v>0</v>
      </c>
      <c r="D178" s="91">
        <v>0</v>
      </c>
      <c r="E178" s="91">
        <v>0</v>
      </c>
      <c r="F178" s="91">
        <v>0</v>
      </c>
      <c r="G178" s="91">
        <v>0</v>
      </c>
      <c r="H178" s="91">
        <v>0</v>
      </c>
      <c r="I178" s="91">
        <v>0</v>
      </c>
      <c r="J178" s="91">
        <v>0</v>
      </c>
      <c r="K178" s="92">
        <v>0</v>
      </c>
    </row>
    <row r="179" spans="2:11" x14ac:dyDescent="0.25">
      <c r="B179" s="59" t="s">
        <v>86</v>
      </c>
      <c r="C179" s="90">
        <v>0</v>
      </c>
      <c r="D179" s="91">
        <v>0</v>
      </c>
      <c r="E179" s="91">
        <v>0</v>
      </c>
      <c r="F179" s="91">
        <v>0</v>
      </c>
      <c r="G179" s="91">
        <v>0</v>
      </c>
      <c r="H179" s="91">
        <v>0</v>
      </c>
      <c r="I179" s="91">
        <v>0</v>
      </c>
      <c r="J179" s="91">
        <v>0</v>
      </c>
      <c r="K179" s="92">
        <v>0</v>
      </c>
    </row>
    <row r="180" spans="2:11" x14ac:dyDescent="0.25">
      <c r="B180" s="59" t="s">
        <v>87</v>
      </c>
      <c r="C180" s="90">
        <v>0</v>
      </c>
      <c r="D180" s="91">
        <v>0</v>
      </c>
      <c r="E180" s="91">
        <v>0</v>
      </c>
      <c r="F180" s="91">
        <v>0</v>
      </c>
      <c r="G180" s="91">
        <v>0</v>
      </c>
      <c r="H180" s="91">
        <v>0</v>
      </c>
      <c r="I180" s="91">
        <v>0</v>
      </c>
      <c r="J180" s="91">
        <v>0</v>
      </c>
      <c r="K180" s="92">
        <v>0</v>
      </c>
    </row>
    <row r="181" spans="2:11" x14ac:dyDescent="0.25">
      <c r="B181" s="59" t="s">
        <v>88</v>
      </c>
      <c r="C181" s="90">
        <v>0</v>
      </c>
      <c r="D181" s="91">
        <v>0</v>
      </c>
      <c r="E181" s="91">
        <v>0</v>
      </c>
      <c r="F181" s="91">
        <v>0</v>
      </c>
      <c r="G181" s="91">
        <v>0</v>
      </c>
      <c r="H181" s="91">
        <v>0</v>
      </c>
      <c r="I181" s="91">
        <v>0</v>
      </c>
      <c r="J181" s="91">
        <v>0</v>
      </c>
      <c r="K181" s="92">
        <v>0</v>
      </c>
    </row>
    <row r="182" spans="2:11" x14ac:dyDescent="0.25">
      <c r="B182" s="59" t="s">
        <v>89</v>
      </c>
      <c r="C182" s="90">
        <v>0</v>
      </c>
      <c r="D182" s="91">
        <v>0</v>
      </c>
      <c r="E182" s="91">
        <v>0</v>
      </c>
      <c r="F182" s="91">
        <v>0</v>
      </c>
      <c r="G182" s="91">
        <v>0</v>
      </c>
      <c r="H182" s="91">
        <v>0</v>
      </c>
      <c r="I182" s="91">
        <v>0</v>
      </c>
      <c r="J182" s="91">
        <v>0</v>
      </c>
      <c r="K182" s="92">
        <v>0</v>
      </c>
    </row>
    <row r="183" spans="2:11" x14ac:dyDescent="0.25">
      <c r="B183" s="59" t="s">
        <v>90</v>
      </c>
      <c r="C183" s="90">
        <v>0</v>
      </c>
      <c r="D183" s="91">
        <v>8.6040606009052691</v>
      </c>
      <c r="E183" s="91">
        <v>9.3226798090279992</v>
      </c>
      <c r="F183" s="91">
        <v>9.89864249361022</v>
      </c>
      <c r="G183" s="91">
        <v>10.028747573830401</v>
      </c>
      <c r="H183" s="91">
        <v>10.0185878559702</v>
      </c>
      <c r="I183" s="91">
        <v>10.2836455650119</v>
      </c>
      <c r="J183" s="91">
        <v>10.232822794431399</v>
      </c>
      <c r="K183" s="92">
        <v>9.9973103480124301</v>
      </c>
    </row>
    <row r="184" spans="2:11" x14ac:dyDescent="0.25">
      <c r="B184" s="59" t="s">
        <v>91</v>
      </c>
      <c r="C184" s="90">
        <v>0</v>
      </c>
      <c r="D184" s="91">
        <v>0</v>
      </c>
      <c r="E184" s="91">
        <v>0</v>
      </c>
      <c r="F184" s="91">
        <v>0</v>
      </c>
      <c r="G184" s="91">
        <v>0</v>
      </c>
      <c r="H184" s="91">
        <v>0</v>
      </c>
      <c r="I184" s="91">
        <v>0</v>
      </c>
      <c r="J184" s="91">
        <v>0</v>
      </c>
      <c r="K184" s="92">
        <v>0</v>
      </c>
    </row>
    <row r="185" spans="2:11" x14ac:dyDescent="0.25">
      <c r="B185" s="59" t="s">
        <v>92</v>
      </c>
      <c r="C185" s="90">
        <v>0</v>
      </c>
      <c r="D185" s="91">
        <v>0</v>
      </c>
      <c r="E185" s="91">
        <v>0</v>
      </c>
      <c r="F185" s="91">
        <v>0</v>
      </c>
      <c r="G185" s="91">
        <v>0</v>
      </c>
      <c r="H185" s="91">
        <v>0</v>
      </c>
      <c r="I185" s="91">
        <v>0</v>
      </c>
      <c r="J185" s="91">
        <v>0</v>
      </c>
      <c r="K185" s="92">
        <v>0</v>
      </c>
    </row>
    <row r="186" spans="2:11" x14ac:dyDescent="0.25">
      <c r="B186" s="59" t="s">
        <v>93</v>
      </c>
      <c r="C186" s="90">
        <v>0</v>
      </c>
      <c r="D186" s="91">
        <v>0</v>
      </c>
      <c r="E186" s="91">
        <v>0</v>
      </c>
      <c r="F186" s="91">
        <v>0</v>
      </c>
      <c r="G186" s="91">
        <v>0</v>
      </c>
      <c r="H186" s="91">
        <v>0</v>
      </c>
      <c r="I186" s="91">
        <v>0</v>
      </c>
      <c r="J186" s="91">
        <v>0</v>
      </c>
      <c r="K186" s="92">
        <v>0</v>
      </c>
    </row>
    <row r="187" spans="2:11" x14ac:dyDescent="0.25">
      <c r="B187" s="59" t="s">
        <v>94</v>
      </c>
      <c r="C187" s="93">
        <v>0</v>
      </c>
      <c r="D187" s="94">
        <v>0</v>
      </c>
      <c r="E187" s="94">
        <v>0</v>
      </c>
      <c r="F187" s="94">
        <v>0</v>
      </c>
      <c r="G187" s="94">
        <v>0</v>
      </c>
      <c r="H187" s="94">
        <v>0</v>
      </c>
      <c r="I187" s="94">
        <v>0</v>
      </c>
      <c r="J187" s="94">
        <v>0</v>
      </c>
      <c r="K187" s="95">
        <v>0</v>
      </c>
    </row>
    <row r="188" spans="2:11" x14ac:dyDescent="0.25">
      <c r="B188" s="104" t="s">
        <v>36</v>
      </c>
      <c r="C188" s="94">
        <v>0</v>
      </c>
      <c r="D188" s="94">
        <v>8.6040606009052691</v>
      </c>
      <c r="E188" s="94">
        <v>9.3226798090279992</v>
      </c>
      <c r="F188" s="94">
        <v>9.89864249361022</v>
      </c>
      <c r="G188" s="94">
        <v>10.028747573830401</v>
      </c>
      <c r="H188" s="94">
        <v>10.0185878559702</v>
      </c>
      <c r="I188" s="94">
        <v>10.2836455650119</v>
      </c>
      <c r="J188" s="94">
        <v>10.232822794431399</v>
      </c>
      <c r="K188" s="95">
        <v>9.9973103480124301</v>
      </c>
    </row>
  </sheetData>
  <mergeCells count="13">
    <mergeCell ref="C174:K174"/>
    <mergeCell ref="N13:V13"/>
    <mergeCell ref="N2:V2"/>
    <mergeCell ref="C126:K126"/>
    <mergeCell ref="C142:K142"/>
    <mergeCell ref="C158:K158"/>
    <mergeCell ref="C31:K31"/>
    <mergeCell ref="C2:K2"/>
    <mergeCell ref="C46:K46"/>
    <mergeCell ref="C62:K62"/>
    <mergeCell ref="C78:K78"/>
    <mergeCell ref="C94:K94"/>
    <mergeCell ref="C110:K110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B2:K144"/>
  <sheetViews>
    <sheetView zoomScale="55" zoomScaleNormal="55" workbookViewId="0">
      <selection activeCell="K35" sqref="K35"/>
    </sheetView>
  </sheetViews>
  <sheetFormatPr baseColWidth="10" defaultRowHeight="15" x14ac:dyDescent="0.25"/>
  <cols>
    <col min="1" max="1" width="3.28515625" customWidth="1"/>
    <col min="2" max="2" width="45.5703125" bestFit="1" customWidth="1"/>
    <col min="3" max="3" width="18" bestFit="1" customWidth="1"/>
    <col min="4" max="5" width="13.85546875" bestFit="1" customWidth="1"/>
    <col min="6" max="7" width="13.42578125" bestFit="1" customWidth="1"/>
    <col min="8" max="8" width="13" bestFit="1" customWidth="1"/>
    <col min="9" max="11" width="13.85546875" bestFit="1" customWidth="1"/>
    <col min="12" max="12" width="15" customWidth="1"/>
    <col min="13" max="13" width="33.5703125" bestFit="1" customWidth="1"/>
  </cols>
  <sheetData>
    <row r="2" spans="2:11" x14ac:dyDescent="0.25">
      <c r="C2" s="165" t="s">
        <v>117</v>
      </c>
      <c r="D2" s="166"/>
      <c r="E2" s="166"/>
      <c r="F2" s="166"/>
      <c r="G2" s="166"/>
      <c r="H2" s="166"/>
      <c r="I2" s="166"/>
      <c r="J2" s="166"/>
      <c r="K2" s="167"/>
    </row>
    <row r="3" spans="2:11" x14ac:dyDescent="0.25">
      <c r="B3" s="61" t="s">
        <v>20</v>
      </c>
      <c r="C3" s="43">
        <v>2020</v>
      </c>
      <c r="D3" s="39">
        <v>2025</v>
      </c>
      <c r="E3" s="39">
        <v>2030</v>
      </c>
      <c r="F3" s="39">
        <v>2035</v>
      </c>
      <c r="G3" s="39">
        <v>2040</v>
      </c>
      <c r="H3" s="39">
        <v>2045</v>
      </c>
      <c r="I3" s="39">
        <v>2050</v>
      </c>
      <c r="J3" s="39">
        <v>2055</v>
      </c>
      <c r="K3" s="40">
        <v>2060</v>
      </c>
    </row>
    <row r="4" spans="2:11" x14ac:dyDescent="0.25">
      <c r="B4" s="161" t="s">
        <v>21</v>
      </c>
      <c r="C4" s="16">
        <v>0.76058513797958482</v>
      </c>
      <c r="D4" s="17">
        <v>0.73681048925779424</v>
      </c>
      <c r="E4" s="17">
        <v>0.71749246895927177</v>
      </c>
      <c r="F4" s="17">
        <v>0.70849610627495407</v>
      </c>
      <c r="G4" s="17">
        <v>0.70454350121267384</v>
      </c>
      <c r="H4" s="17">
        <v>0.69844218768747823</v>
      </c>
      <c r="I4" s="17">
        <v>0.71332146296067123</v>
      </c>
      <c r="J4" s="17">
        <v>0.73008153499082473</v>
      </c>
      <c r="K4" s="58">
        <v>0.71327842094837546</v>
      </c>
    </row>
    <row r="5" spans="2:11" x14ac:dyDescent="0.25">
      <c r="B5" s="23" t="s">
        <v>57</v>
      </c>
      <c r="C5" s="18">
        <v>1.4089766390996133E-2</v>
      </c>
      <c r="D5" s="15">
        <v>3.0505991803452788E-3</v>
      </c>
      <c r="E5" s="15">
        <v>9.9155007130401103E-3</v>
      </c>
      <c r="F5" s="15">
        <v>1.2305830468735453E-2</v>
      </c>
      <c r="G5" s="15">
        <v>1.8525544062750417E-2</v>
      </c>
      <c r="H5" s="15">
        <v>6.6786183220149717E-2</v>
      </c>
      <c r="I5" s="15">
        <v>0.12723238949374199</v>
      </c>
      <c r="J5" s="15">
        <v>0.14245389693716548</v>
      </c>
      <c r="K5" s="19">
        <v>0.74794468915288725</v>
      </c>
    </row>
    <row r="6" spans="2:11" x14ac:dyDescent="0.25">
      <c r="B6" s="23" t="s">
        <v>56</v>
      </c>
      <c r="C6" s="18">
        <v>1.6239506474208126E-4</v>
      </c>
      <c r="D6" s="15">
        <v>4.3660402371472256E-4</v>
      </c>
      <c r="E6" s="15">
        <v>7.1615184419454071E-4</v>
      </c>
      <c r="F6" s="15">
        <v>8.4871287541286226E-4</v>
      </c>
      <c r="G6" s="15">
        <v>1.3804969566089222E-3</v>
      </c>
      <c r="H6" s="15">
        <v>4.2204895036396049E-3</v>
      </c>
      <c r="I6" s="15">
        <v>5.8422279702892675E-3</v>
      </c>
      <c r="J6" s="15">
        <v>0.86396628073715331</v>
      </c>
      <c r="K6" s="19">
        <v>0.83381642083044016</v>
      </c>
    </row>
    <row r="7" spans="2:11" x14ac:dyDescent="0.25">
      <c r="B7" s="23" t="s">
        <v>58</v>
      </c>
      <c r="C7" s="18">
        <v>0.41034727372294999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9">
        <v>0</v>
      </c>
    </row>
    <row r="8" spans="2:11" x14ac:dyDescent="0.25">
      <c r="B8" s="23" t="s">
        <v>103</v>
      </c>
      <c r="C8" s="20">
        <v>0.21794520547945606</v>
      </c>
      <c r="D8" s="21">
        <v>0.21794520547334781</v>
      </c>
      <c r="E8" s="21">
        <v>0.21794520547851104</v>
      </c>
      <c r="F8" s="21">
        <v>0.21794520548761767</v>
      </c>
      <c r="G8" s="21">
        <v>0</v>
      </c>
      <c r="H8" s="21">
        <v>0</v>
      </c>
      <c r="I8" s="21">
        <v>0</v>
      </c>
      <c r="J8" s="21">
        <v>0</v>
      </c>
      <c r="K8" s="22">
        <v>0</v>
      </c>
    </row>
    <row r="9" spans="2:11" x14ac:dyDescent="0.25">
      <c r="B9" s="161" t="s">
        <v>98</v>
      </c>
      <c r="C9" s="16">
        <v>0.14696976036854942</v>
      </c>
      <c r="D9" s="17">
        <v>0.15530315082347756</v>
      </c>
      <c r="E9" s="17">
        <v>0.15149433738844811</v>
      </c>
      <c r="F9" s="17">
        <v>0.14703239399987483</v>
      </c>
      <c r="G9" s="17">
        <v>0.14567656267140719</v>
      </c>
      <c r="H9" s="17">
        <v>0.1436790980066186</v>
      </c>
      <c r="I9" s="17">
        <v>0.15478000516463167</v>
      </c>
      <c r="J9" s="17">
        <v>0.15204371951373288</v>
      </c>
      <c r="K9" s="58">
        <v>0.14976873263928928</v>
      </c>
    </row>
    <row r="10" spans="2:11" x14ac:dyDescent="0.25">
      <c r="B10" s="23" t="s">
        <v>99</v>
      </c>
      <c r="C10" s="18">
        <v>0.15314950167124694</v>
      </c>
      <c r="D10" s="15">
        <v>0.14732252125449652</v>
      </c>
      <c r="E10" s="15">
        <v>0.14873591120986757</v>
      </c>
      <c r="F10" s="15">
        <v>0.15195164149906215</v>
      </c>
      <c r="G10" s="15">
        <v>0.15222260759835404</v>
      </c>
      <c r="H10" s="15">
        <v>0.15069432782951772</v>
      </c>
      <c r="I10" s="15">
        <v>0.14916524819737639</v>
      </c>
      <c r="J10" s="15">
        <v>0.14830760166137349</v>
      </c>
      <c r="K10" s="19">
        <v>0.14845740214798797</v>
      </c>
    </row>
    <row r="11" spans="2:11" x14ac:dyDescent="0.25">
      <c r="B11" s="23" t="s">
        <v>82</v>
      </c>
      <c r="C11" s="18">
        <v>0</v>
      </c>
      <c r="D11" s="15">
        <v>0.37547738034795602</v>
      </c>
      <c r="E11" s="15">
        <v>0.373192027556844</v>
      </c>
      <c r="F11" s="15">
        <v>0.37817971914075593</v>
      </c>
      <c r="G11" s="15">
        <v>0.38576333263044615</v>
      </c>
      <c r="H11" s="15">
        <v>0.38711276032746939</v>
      </c>
      <c r="I11" s="15">
        <v>0.37406698934540711</v>
      </c>
      <c r="J11" s="15">
        <v>0.37406698934523741</v>
      </c>
      <c r="K11" s="19">
        <v>0.37406698934529248</v>
      </c>
    </row>
    <row r="12" spans="2:11" x14ac:dyDescent="0.25">
      <c r="B12" s="23" t="s">
        <v>81</v>
      </c>
      <c r="C12" s="18">
        <v>0</v>
      </c>
      <c r="D12" s="15">
        <v>0.4118320349230507</v>
      </c>
      <c r="E12" s="15">
        <v>0.41460646685625896</v>
      </c>
      <c r="F12" s="15">
        <v>0.4186338679945063</v>
      </c>
      <c r="G12" s="15">
        <v>0.43201519317059484</v>
      </c>
      <c r="H12" s="15">
        <v>0.43881553864308792</v>
      </c>
      <c r="I12" s="15">
        <v>0.44131631690105011</v>
      </c>
      <c r="J12" s="15">
        <v>0.44241497149657671</v>
      </c>
      <c r="K12" s="19">
        <v>0.4424149714908101</v>
      </c>
    </row>
    <row r="13" spans="2:11" x14ac:dyDescent="0.25">
      <c r="B13" s="23" t="s">
        <v>70</v>
      </c>
      <c r="C13" s="18">
        <v>0.22835167588336316</v>
      </c>
      <c r="D13" s="15">
        <v>0.25305910608549914</v>
      </c>
      <c r="E13" s="15">
        <v>0.26771326742561175</v>
      </c>
      <c r="F13" s="15">
        <v>0.28813512267054836</v>
      </c>
      <c r="G13" s="15">
        <v>0.30209951794158391</v>
      </c>
      <c r="H13" s="15">
        <v>0.31657753320969084</v>
      </c>
      <c r="I13" s="15">
        <v>0.31729936041737633</v>
      </c>
      <c r="J13" s="15">
        <v>0.31701658411765948</v>
      </c>
      <c r="K13" s="19">
        <v>0.31628589713124661</v>
      </c>
    </row>
    <row r="14" spans="2:11" x14ac:dyDescent="0.25">
      <c r="B14" s="23" t="s">
        <v>106</v>
      </c>
      <c r="C14" s="127">
        <v>0.21939999999999996</v>
      </c>
      <c r="D14" s="128">
        <v>0.21939999999999996</v>
      </c>
      <c r="E14" s="128">
        <v>0.21939999999999996</v>
      </c>
      <c r="F14" s="128">
        <v>0.21939999999999996</v>
      </c>
      <c r="G14" s="128">
        <v>0.21939999999999996</v>
      </c>
      <c r="H14" s="128">
        <v>0.21939999999999996</v>
      </c>
      <c r="I14" s="128">
        <v>0.21939999999999996</v>
      </c>
      <c r="J14" s="128">
        <v>0.21939999999999996</v>
      </c>
      <c r="K14" s="129">
        <v>0.21939999999999996</v>
      </c>
    </row>
    <row r="15" spans="2:11" x14ac:dyDescent="0.25">
      <c r="B15" s="23" t="s">
        <v>101</v>
      </c>
      <c r="C15" s="18">
        <v>0.56177831939250256</v>
      </c>
      <c r="D15" s="15">
        <v>0.56177831939250256</v>
      </c>
      <c r="E15" s="15">
        <v>0.56177831939250256</v>
      </c>
      <c r="F15" s="15">
        <v>0.56177831939250256</v>
      </c>
      <c r="G15" s="15">
        <v>0.56177831939250256</v>
      </c>
      <c r="H15" s="15">
        <v>0.56177831939250256</v>
      </c>
      <c r="I15" s="15">
        <v>0.56177831939250256</v>
      </c>
      <c r="J15" s="15">
        <v>0.56177831939250256</v>
      </c>
      <c r="K15" s="19">
        <v>0.56177831939250256</v>
      </c>
    </row>
    <row r="16" spans="2:11" x14ac:dyDescent="0.25">
      <c r="B16" s="23" t="s">
        <v>102</v>
      </c>
      <c r="C16" s="18">
        <v>0.27998142785484181</v>
      </c>
      <c r="D16" s="15">
        <v>0.27998141092497913</v>
      </c>
      <c r="E16" s="15">
        <v>0.27998141092497913</v>
      </c>
      <c r="F16" s="15">
        <v>0.27998141092497913</v>
      </c>
      <c r="G16" s="15">
        <v>0.27998141092497913</v>
      </c>
      <c r="H16" s="15">
        <v>0.27998141092497913</v>
      </c>
      <c r="I16" s="15">
        <v>0.27998141092497913</v>
      </c>
      <c r="J16" s="15">
        <v>0.27998141092497913</v>
      </c>
      <c r="K16" s="19">
        <v>0.27998141092497913</v>
      </c>
    </row>
    <row r="17" spans="2:11" x14ac:dyDescent="0.25">
      <c r="B17" s="23" t="s">
        <v>104</v>
      </c>
      <c r="C17" s="18">
        <v>0.40864899719113523</v>
      </c>
      <c r="D17" s="15">
        <v>0.40864899719113523</v>
      </c>
      <c r="E17" s="15">
        <v>0.40864899719113523</v>
      </c>
      <c r="F17" s="15">
        <v>0.40864899719113523</v>
      </c>
      <c r="G17" s="15">
        <v>0.40864899719113523</v>
      </c>
      <c r="H17" s="15">
        <v>0.40864899719113523</v>
      </c>
      <c r="I17" s="15">
        <v>0.40864899719113523</v>
      </c>
      <c r="J17" s="15">
        <v>0.40864899719113523</v>
      </c>
      <c r="K17" s="19">
        <v>0.40864899719113523</v>
      </c>
    </row>
    <row r="18" spans="2:11" x14ac:dyDescent="0.25">
      <c r="B18" s="38" t="s">
        <v>100</v>
      </c>
      <c r="C18" s="20">
        <v>0.28999999999996079</v>
      </c>
      <c r="D18" s="21">
        <v>0.29000000000000242</v>
      </c>
      <c r="E18" s="21">
        <v>0.29000000000000242</v>
      </c>
      <c r="F18" s="21">
        <v>0.29000000000000242</v>
      </c>
      <c r="G18" s="21">
        <v>0.29000000000000242</v>
      </c>
      <c r="H18" s="21">
        <v>0.29000000000000242</v>
      </c>
      <c r="I18" s="21">
        <v>0.29000000000000242</v>
      </c>
      <c r="J18" s="21">
        <v>0.29000000000000242</v>
      </c>
      <c r="K18" s="22">
        <v>0.29000000000000242</v>
      </c>
    </row>
    <row r="19" spans="2:11" x14ac:dyDescent="0.25">
      <c r="B19" s="164" t="s">
        <v>37</v>
      </c>
      <c r="C19" s="121">
        <v>0.28671097777619042</v>
      </c>
      <c r="D19" s="122">
        <v>0.28671097753728142</v>
      </c>
      <c r="E19" s="122">
        <v>0.28671097701354642</v>
      </c>
      <c r="F19" s="122">
        <v>0.28671097807238077</v>
      </c>
      <c r="G19" s="122">
        <v>0.28671097910529036</v>
      </c>
      <c r="H19" s="122">
        <v>0.2867109699761976</v>
      </c>
      <c r="I19" s="122">
        <v>0.28671097922050992</v>
      </c>
      <c r="J19" s="122">
        <v>0.28671097719229149</v>
      </c>
      <c r="K19" s="123">
        <v>0.28671091003331023</v>
      </c>
    </row>
    <row r="21" spans="2:11" x14ac:dyDescent="0.25">
      <c r="B21" s="102" t="s">
        <v>159</v>
      </c>
      <c r="C21" s="43">
        <v>2020</v>
      </c>
      <c r="D21" s="39">
        <v>2025</v>
      </c>
      <c r="E21" s="39">
        <v>2030</v>
      </c>
      <c r="F21" s="39">
        <v>2035</v>
      </c>
      <c r="G21" s="39">
        <v>2040</v>
      </c>
      <c r="H21" s="39">
        <v>2045</v>
      </c>
      <c r="I21" s="39">
        <v>2050</v>
      </c>
      <c r="J21" s="39">
        <v>2055</v>
      </c>
      <c r="K21" s="40">
        <v>2060</v>
      </c>
    </row>
    <row r="22" spans="2:11" x14ac:dyDescent="0.25">
      <c r="B22" s="24" t="s">
        <v>139</v>
      </c>
      <c r="C22" s="16">
        <v>0</v>
      </c>
      <c r="D22" s="17">
        <v>0.51284027319615222</v>
      </c>
      <c r="E22" s="17">
        <v>0.34200547225695765</v>
      </c>
      <c r="F22" s="17">
        <v>0.23783677674002671</v>
      </c>
      <c r="G22" s="17">
        <v>0.21711909890587625</v>
      </c>
      <c r="H22" s="17">
        <v>0.24850559529770991</v>
      </c>
      <c r="I22" s="17">
        <v>0.23158489828825346</v>
      </c>
      <c r="J22" s="17">
        <v>0.23876546104639834</v>
      </c>
      <c r="K22" s="58">
        <v>0.28528982817516368</v>
      </c>
    </row>
    <row r="23" spans="2:11" x14ac:dyDescent="0.25">
      <c r="B23" s="26" t="s">
        <v>153</v>
      </c>
      <c r="C23" s="20">
        <v>0</v>
      </c>
      <c r="D23" s="21">
        <v>0.52328203970619147</v>
      </c>
      <c r="E23" s="21">
        <v>0.49327960736661774</v>
      </c>
      <c r="F23" s="21">
        <v>0.48003200865752599</v>
      </c>
      <c r="G23" s="21">
        <v>0.47942340963781316</v>
      </c>
      <c r="H23" s="21">
        <v>0.48704803927684343</v>
      </c>
      <c r="I23" s="21">
        <v>0.48438352042115568</v>
      </c>
      <c r="J23" s="21">
        <v>0.48635032350953661</v>
      </c>
      <c r="K23" s="22">
        <v>0.49908592444517264</v>
      </c>
    </row>
    <row r="26" spans="2:11" x14ac:dyDescent="0.25">
      <c r="C26" s="165" t="s">
        <v>117</v>
      </c>
      <c r="D26" s="166"/>
      <c r="E26" s="166"/>
      <c r="F26" s="166"/>
      <c r="G26" s="166"/>
      <c r="H26" s="166"/>
      <c r="I26" s="166"/>
      <c r="J26" s="166"/>
      <c r="K26" s="167"/>
    </row>
    <row r="27" spans="2:11" x14ac:dyDescent="0.25">
      <c r="B27" s="64" t="s">
        <v>78</v>
      </c>
      <c r="C27" s="43">
        <v>2020</v>
      </c>
      <c r="D27" s="39">
        <v>2025</v>
      </c>
      <c r="E27" s="39">
        <v>2030</v>
      </c>
      <c r="F27" s="39">
        <v>2035</v>
      </c>
      <c r="G27" s="39">
        <v>2040</v>
      </c>
      <c r="H27" s="39">
        <v>2045</v>
      </c>
      <c r="I27" s="39">
        <v>2050</v>
      </c>
      <c r="J27" s="39">
        <v>2055</v>
      </c>
      <c r="K27" s="40">
        <v>2060</v>
      </c>
    </row>
    <row r="28" spans="2:11" x14ac:dyDescent="0.25">
      <c r="B28" s="24" t="s">
        <v>83</v>
      </c>
      <c r="C28" s="16">
        <v>0.21350383181128055</v>
      </c>
      <c r="D28" s="17">
        <v>0.23320785090851237</v>
      </c>
      <c r="E28" s="17">
        <v>0.29498475724789408</v>
      </c>
      <c r="F28" s="17">
        <v>0.30039162967601696</v>
      </c>
      <c r="G28" s="17">
        <v>0.30154695954840294</v>
      </c>
      <c r="H28" s="17">
        <v>0.30454310248647404</v>
      </c>
      <c r="I28" s="17">
        <v>0.30454310248715216</v>
      </c>
      <c r="J28" s="17">
        <v>0.30454310248716926</v>
      </c>
      <c r="K28" s="58">
        <v>0.30454310248561217</v>
      </c>
    </row>
    <row r="29" spans="2:11" x14ac:dyDescent="0.25">
      <c r="B29" s="25" t="s">
        <v>84</v>
      </c>
      <c r="C29" s="18">
        <v>0.23197058853371802</v>
      </c>
      <c r="D29" s="15">
        <v>0.30282586212478924</v>
      </c>
      <c r="E29" s="15">
        <v>0.31005514938400286</v>
      </c>
      <c r="F29" s="15">
        <v>0.31655150924166015</v>
      </c>
      <c r="G29" s="15">
        <v>0.31946789627778305</v>
      </c>
      <c r="H29" s="15">
        <v>0.32557054287169956</v>
      </c>
      <c r="I29" s="15">
        <v>0.32557054287064041</v>
      </c>
      <c r="J29" s="15">
        <v>0.32557054287252457</v>
      </c>
      <c r="K29" s="19">
        <v>0.32557054287075937</v>
      </c>
    </row>
    <row r="30" spans="2:11" x14ac:dyDescent="0.25">
      <c r="B30" s="25" t="s">
        <v>85</v>
      </c>
      <c r="C30" s="18">
        <v>0.21770298325721205</v>
      </c>
      <c r="D30" s="15">
        <v>0.22411282276692604</v>
      </c>
      <c r="E30" s="15">
        <v>0.23739043809850779</v>
      </c>
      <c r="F30" s="15">
        <v>0.27327352871484339</v>
      </c>
      <c r="G30" s="15">
        <v>0.28685627569895755</v>
      </c>
      <c r="H30" s="15">
        <v>0.30320298706243121</v>
      </c>
      <c r="I30" s="15">
        <v>0.30320298706246085</v>
      </c>
      <c r="J30" s="15">
        <v>0.30320298706246085</v>
      </c>
      <c r="K30" s="19">
        <v>0.30320298706246085</v>
      </c>
    </row>
    <row r="31" spans="2:11" x14ac:dyDescent="0.25">
      <c r="B31" s="25" t="s">
        <v>86</v>
      </c>
      <c r="C31" s="18">
        <v>0.2344156151699551</v>
      </c>
      <c r="D31" s="15">
        <v>0.24176832894259098</v>
      </c>
      <c r="E31" s="15">
        <v>0.24962105720401556</v>
      </c>
      <c r="F31" s="15">
        <v>0.28078168773589762</v>
      </c>
      <c r="G31" s="15">
        <v>0.31243415339785346</v>
      </c>
      <c r="H31" s="15">
        <v>0.32269246068014817</v>
      </c>
      <c r="I31" s="15">
        <v>0.32269246067994517</v>
      </c>
      <c r="J31" s="15">
        <v>0.32269246067980339</v>
      </c>
      <c r="K31" s="19">
        <v>0.32269246067998997</v>
      </c>
    </row>
    <row r="32" spans="2:11" x14ac:dyDescent="0.25">
      <c r="B32" s="25" t="s">
        <v>87</v>
      </c>
      <c r="C32" s="18">
        <v>0.22182044774221865</v>
      </c>
      <c r="D32" s="15">
        <v>0.22813762384781869</v>
      </c>
      <c r="E32" s="15">
        <v>0.22836597365634864</v>
      </c>
      <c r="F32" s="15">
        <v>0.25465548887565814</v>
      </c>
      <c r="G32" s="15">
        <v>0.27781611086388025</v>
      </c>
      <c r="H32" s="15">
        <v>0.30722221588021242</v>
      </c>
      <c r="I32" s="15">
        <v>0.30722221588038751</v>
      </c>
      <c r="J32" s="15">
        <v>0.30722221588017851</v>
      </c>
      <c r="K32" s="19">
        <v>0.30722221588036092</v>
      </c>
    </row>
    <row r="33" spans="2:11" x14ac:dyDescent="0.25">
      <c r="B33" s="25" t="s">
        <v>88</v>
      </c>
      <c r="C33" s="18">
        <v>0.24600342465758784</v>
      </c>
      <c r="D33" s="15">
        <v>0.24630527381571748</v>
      </c>
      <c r="E33" s="15">
        <v>0.24899271512258575</v>
      </c>
      <c r="F33" s="15">
        <v>0.26660610302346105</v>
      </c>
      <c r="G33" s="15">
        <v>0.30021667648668748</v>
      </c>
      <c r="H33" s="15">
        <v>0.33578761542341923</v>
      </c>
      <c r="I33" s="15">
        <v>0.33578761542348878</v>
      </c>
      <c r="J33" s="15">
        <v>0.33578761542395891</v>
      </c>
      <c r="K33" s="19">
        <v>0.33578761542375124</v>
      </c>
    </row>
    <row r="34" spans="2:11" x14ac:dyDescent="0.25">
      <c r="B34" s="25" t="s">
        <v>89</v>
      </c>
      <c r="C34" s="18">
        <v>0.21106916286145427</v>
      </c>
      <c r="D34" s="15">
        <v>0.23176398489893105</v>
      </c>
      <c r="E34" s="15">
        <v>0.24430265674608159</v>
      </c>
      <c r="F34" s="15">
        <v>0.25325527449176655</v>
      </c>
      <c r="G34" s="15">
        <v>0.27357333262591765</v>
      </c>
      <c r="H34" s="15">
        <v>0.29539304414000067</v>
      </c>
      <c r="I34" s="15">
        <v>0.29539304414005918</v>
      </c>
      <c r="J34" s="15">
        <v>0.29539304414005918</v>
      </c>
      <c r="K34" s="19">
        <v>0.29539304414012241</v>
      </c>
    </row>
    <row r="35" spans="2:11" x14ac:dyDescent="0.25">
      <c r="B35" s="25" t="s">
        <v>90</v>
      </c>
      <c r="C35" s="18">
        <v>0.20587376331809981</v>
      </c>
      <c r="D35" s="15">
        <v>0.21328248728017701</v>
      </c>
      <c r="E35" s="15">
        <v>0.22227180526514745</v>
      </c>
      <c r="F35" s="15">
        <v>0.24909487735304311</v>
      </c>
      <c r="G35" s="15">
        <v>0.26449426041720153</v>
      </c>
      <c r="H35" s="15">
        <v>0.28831488584469112</v>
      </c>
      <c r="I35" s="15">
        <v>0.28831488584477233</v>
      </c>
      <c r="J35" s="15">
        <v>0.28831488584477233</v>
      </c>
      <c r="K35" s="19">
        <v>0.28831488584477233</v>
      </c>
    </row>
    <row r="36" spans="2:11" x14ac:dyDescent="0.25">
      <c r="B36" s="25" t="s">
        <v>91</v>
      </c>
      <c r="C36" s="18">
        <v>0.21322541476408907</v>
      </c>
      <c r="D36" s="15">
        <v>0.23257433337179781</v>
      </c>
      <c r="E36" s="15">
        <v>0.2466927377199612</v>
      </c>
      <c r="F36" s="15">
        <v>0.26433974258867771</v>
      </c>
      <c r="G36" s="15">
        <v>0.28633753341189305</v>
      </c>
      <c r="H36" s="15">
        <v>0.3138172590055241</v>
      </c>
      <c r="I36" s="15">
        <v>0.31381725900554758</v>
      </c>
      <c r="J36" s="15">
        <v>0.313817259005646</v>
      </c>
      <c r="K36" s="19">
        <v>0.31381725900622748</v>
      </c>
    </row>
    <row r="37" spans="2:11" x14ac:dyDescent="0.25">
      <c r="B37" s="25" t="s">
        <v>92</v>
      </c>
      <c r="C37" s="18">
        <v>0.22845016996450382</v>
      </c>
      <c r="D37" s="15">
        <v>0.28480748372693609</v>
      </c>
      <c r="E37" s="15">
        <v>0.2919621711847698</v>
      </c>
      <c r="F37" s="15">
        <v>0.30756070158931648</v>
      </c>
      <c r="G37" s="15">
        <v>0.31407418636169937</v>
      </c>
      <c r="H37" s="15">
        <v>0.32096532217266638</v>
      </c>
      <c r="I37" s="15">
        <v>0.32096532217135726</v>
      </c>
      <c r="J37" s="15">
        <v>0.32096532217100454</v>
      </c>
      <c r="K37" s="19">
        <v>0.3209653221712771</v>
      </c>
    </row>
    <row r="38" spans="2:11" x14ac:dyDescent="0.25">
      <c r="B38" s="25" t="s">
        <v>93</v>
      </c>
      <c r="C38" s="18">
        <v>0.21769936326741793</v>
      </c>
      <c r="D38" s="15">
        <v>0.22622466185613044</v>
      </c>
      <c r="E38" s="15">
        <v>0.23499501409633775</v>
      </c>
      <c r="F38" s="15">
        <v>0.26461570508506643</v>
      </c>
      <c r="G38" s="15">
        <v>0.28155973001703793</v>
      </c>
      <c r="H38" s="15">
        <v>0.31277766869616763</v>
      </c>
      <c r="I38" s="15">
        <v>0.31277766869586876</v>
      </c>
      <c r="J38" s="15">
        <v>0.31277766869544849</v>
      </c>
      <c r="K38" s="19">
        <v>0.31277766869602885</v>
      </c>
    </row>
    <row r="39" spans="2:11" x14ac:dyDescent="0.25">
      <c r="B39" s="26" t="s">
        <v>94</v>
      </c>
      <c r="C39" s="20">
        <v>0.23567337899547386</v>
      </c>
      <c r="D39" s="21">
        <v>0.32029836117094634</v>
      </c>
      <c r="E39" s="21">
        <v>0.32055535295468401</v>
      </c>
      <c r="F39" s="21">
        <v>0.3250581716984039</v>
      </c>
      <c r="G39" s="21">
        <v>0.32597547184171427</v>
      </c>
      <c r="H39" s="21">
        <v>0.32597547184120035</v>
      </c>
      <c r="I39" s="21">
        <v>0.32597547184156872</v>
      </c>
      <c r="J39" s="21">
        <v>0.3259754718412578</v>
      </c>
      <c r="K39" s="22">
        <v>0.3259754718410886</v>
      </c>
    </row>
    <row r="41" spans="2:11" x14ac:dyDescent="0.25">
      <c r="B41" s="131"/>
      <c r="C41" s="165" t="s">
        <v>117</v>
      </c>
      <c r="D41" s="166"/>
      <c r="E41" s="166"/>
      <c r="F41" s="166"/>
      <c r="G41" s="166"/>
      <c r="H41" s="166"/>
      <c r="I41" s="166"/>
      <c r="J41" s="166"/>
      <c r="K41" s="167"/>
    </row>
    <row r="42" spans="2:11" x14ac:dyDescent="0.25">
      <c r="B42" s="64" t="s">
        <v>82</v>
      </c>
      <c r="C42" s="28">
        <v>2020</v>
      </c>
      <c r="D42" s="29">
        <v>2025</v>
      </c>
      <c r="E42" s="29">
        <v>2030</v>
      </c>
      <c r="F42" s="29">
        <v>2035</v>
      </c>
      <c r="G42" s="29">
        <v>2040</v>
      </c>
      <c r="H42" s="29">
        <v>2045</v>
      </c>
      <c r="I42" s="29">
        <v>2050</v>
      </c>
      <c r="J42" s="29">
        <v>2055</v>
      </c>
      <c r="K42" s="30">
        <v>2060</v>
      </c>
    </row>
    <row r="43" spans="2:11" x14ac:dyDescent="0.25">
      <c r="B43" s="47" t="s">
        <v>83</v>
      </c>
      <c r="C43" s="16">
        <v>0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58">
        <v>0</v>
      </c>
    </row>
    <row r="44" spans="2:11" x14ac:dyDescent="0.25">
      <c r="B44" s="59" t="s">
        <v>84</v>
      </c>
      <c r="C44" s="18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9">
        <v>0</v>
      </c>
    </row>
    <row r="45" spans="2:11" x14ac:dyDescent="0.25">
      <c r="B45" s="59" t="s">
        <v>85</v>
      </c>
      <c r="C45" s="18">
        <v>0</v>
      </c>
      <c r="D45" s="15">
        <v>0.10135202518399952</v>
      </c>
      <c r="E45" s="15">
        <v>0.21542351162449033</v>
      </c>
      <c r="F45" s="15">
        <v>0.25230454351930887</v>
      </c>
      <c r="G45" s="15">
        <v>0.39173936960934774</v>
      </c>
      <c r="H45" s="15">
        <v>0.39173936960946315</v>
      </c>
      <c r="I45" s="15">
        <v>0.39173936960933342</v>
      </c>
      <c r="J45" s="15">
        <v>0.39173936960930367</v>
      </c>
      <c r="K45" s="19">
        <v>0.39173936960943545</v>
      </c>
    </row>
    <row r="46" spans="2:11" x14ac:dyDescent="0.25">
      <c r="B46" s="59" t="s">
        <v>86</v>
      </c>
      <c r="C46" s="18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9">
        <v>0</v>
      </c>
    </row>
    <row r="47" spans="2:11" x14ac:dyDescent="0.25">
      <c r="B47" s="59" t="s">
        <v>87</v>
      </c>
      <c r="C47" s="18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9">
        <v>0</v>
      </c>
    </row>
    <row r="48" spans="2:11" x14ac:dyDescent="0.25">
      <c r="B48" s="59" t="s">
        <v>88</v>
      </c>
      <c r="C48" s="18">
        <v>0</v>
      </c>
      <c r="D48" s="15">
        <v>0.38895168315575801</v>
      </c>
      <c r="E48" s="15">
        <v>0.38895168315536172</v>
      </c>
      <c r="F48" s="15">
        <v>0.38895168315535944</v>
      </c>
      <c r="G48" s="15">
        <v>0.38895168315486944</v>
      </c>
      <c r="H48" s="15">
        <v>0.38895168315542911</v>
      </c>
      <c r="I48" s="15">
        <v>0.38895168315562711</v>
      </c>
      <c r="J48" s="15">
        <v>0.38895168315536993</v>
      </c>
      <c r="K48" s="19">
        <v>0.38895168315555984</v>
      </c>
    </row>
    <row r="49" spans="2:11" x14ac:dyDescent="0.25">
      <c r="B49" s="59" t="s">
        <v>89</v>
      </c>
      <c r="C49" s="18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9">
        <v>0</v>
      </c>
    </row>
    <row r="50" spans="2:11" x14ac:dyDescent="0.25">
      <c r="B50" s="59" t="s">
        <v>90</v>
      </c>
      <c r="C50" s="18">
        <v>0</v>
      </c>
      <c r="D50" s="15">
        <v>0.40729790081176936</v>
      </c>
      <c r="E50" s="15">
        <v>0.40729790081172035</v>
      </c>
      <c r="F50" s="15">
        <v>0.40729790081201317</v>
      </c>
      <c r="G50" s="15">
        <v>0.40729790081190359</v>
      </c>
      <c r="H50" s="15">
        <v>0.40729790081196721</v>
      </c>
      <c r="I50" s="15">
        <v>0.40729790081176942</v>
      </c>
      <c r="J50" s="15">
        <v>0.40729790081176553</v>
      </c>
      <c r="K50" s="19">
        <v>0.40729790081192346</v>
      </c>
    </row>
    <row r="51" spans="2:11" x14ac:dyDescent="0.25">
      <c r="B51" s="59" t="s">
        <v>91</v>
      </c>
      <c r="C51" s="18">
        <v>0</v>
      </c>
      <c r="D51" s="15">
        <v>0.29199793252156164</v>
      </c>
      <c r="E51" s="15">
        <v>0.29199793252156164</v>
      </c>
      <c r="F51" s="15">
        <v>0.29199793252149231</v>
      </c>
      <c r="G51" s="15">
        <v>0.29199793252161876</v>
      </c>
      <c r="H51" s="15">
        <v>0.2919979325218186</v>
      </c>
      <c r="I51" s="15">
        <v>0.29199793252149092</v>
      </c>
      <c r="J51" s="15">
        <v>0.29199793252094247</v>
      </c>
      <c r="K51" s="19">
        <v>0.29199793252208961</v>
      </c>
    </row>
    <row r="52" spans="2:11" x14ac:dyDescent="0.25">
      <c r="B52" s="59" t="s">
        <v>92</v>
      </c>
      <c r="C52" s="18">
        <v>0</v>
      </c>
      <c r="D52" s="15">
        <v>0</v>
      </c>
      <c r="E52" s="15">
        <v>0.168582659259085</v>
      </c>
      <c r="F52" s="15">
        <v>0.15991295242231479</v>
      </c>
      <c r="G52" s="15">
        <v>0.16684475863939527</v>
      </c>
      <c r="H52" s="15">
        <v>0.17221151718948166</v>
      </c>
      <c r="I52" s="15">
        <v>0.31834427447986258</v>
      </c>
      <c r="J52" s="15">
        <v>0.31834427448018487</v>
      </c>
      <c r="K52" s="19">
        <v>0.31834427447992802</v>
      </c>
    </row>
    <row r="53" spans="2:11" x14ac:dyDescent="0.25">
      <c r="B53" s="59" t="s">
        <v>93</v>
      </c>
      <c r="C53" s="18">
        <v>0</v>
      </c>
      <c r="D53" s="15">
        <v>6.2102411493917542E-2</v>
      </c>
      <c r="E53" s="15">
        <v>0.35226686326739454</v>
      </c>
      <c r="F53" s="15">
        <v>0.35226686326711587</v>
      </c>
      <c r="G53" s="15">
        <v>0.35226686326765205</v>
      </c>
      <c r="H53" s="15">
        <v>0.35226686326666745</v>
      </c>
      <c r="I53" s="15">
        <v>0.35226686326729101</v>
      </c>
      <c r="J53" s="15">
        <v>0.35226686326740675</v>
      </c>
      <c r="K53" s="19">
        <v>0.35226686326698303</v>
      </c>
    </row>
    <row r="54" spans="2:11" x14ac:dyDescent="0.25">
      <c r="B54" s="27" t="s">
        <v>94</v>
      </c>
      <c r="C54" s="20">
        <v>0</v>
      </c>
      <c r="D54" s="21">
        <v>0</v>
      </c>
      <c r="E54" s="21">
        <v>0.36544680999513346</v>
      </c>
      <c r="F54" s="21">
        <v>0.36544680999512918</v>
      </c>
      <c r="G54" s="21">
        <v>0.36544680999506457</v>
      </c>
      <c r="H54" s="21">
        <v>0.36544680999492052</v>
      </c>
      <c r="I54" s="21">
        <v>0.36544680999503776</v>
      </c>
      <c r="J54" s="21">
        <v>0.36544680999501422</v>
      </c>
      <c r="K54" s="22">
        <v>0.36544680999481149</v>
      </c>
    </row>
    <row r="56" spans="2:11" x14ac:dyDescent="0.25">
      <c r="C56" s="165" t="s">
        <v>117</v>
      </c>
      <c r="D56" s="166"/>
      <c r="E56" s="166"/>
      <c r="F56" s="166"/>
      <c r="G56" s="166"/>
      <c r="H56" s="166"/>
      <c r="I56" s="166"/>
      <c r="J56" s="166"/>
      <c r="K56" s="167"/>
    </row>
    <row r="57" spans="2:11" x14ac:dyDescent="0.25">
      <c r="B57" s="60" t="s">
        <v>81</v>
      </c>
      <c r="C57" s="29">
        <v>2020</v>
      </c>
      <c r="D57" s="29">
        <v>2025</v>
      </c>
      <c r="E57" s="29">
        <v>2030</v>
      </c>
      <c r="F57" s="29">
        <v>2035</v>
      </c>
      <c r="G57" s="29">
        <v>2040</v>
      </c>
      <c r="H57" s="29">
        <v>2045</v>
      </c>
      <c r="I57" s="29">
        <v>2050</v>
      </c>
      <c r="J57" s="29">
        <v>2055</v>
      </c>
      <c r="K57" s="30">
        <v>2060</v>
      </c>
    </row>
    <row r="58" spans="2:11" x14ac:dyDescent="0.25">
      <c r="B58" s="47" t="s">
        <v>83</v>
      </c>
      <c r="C58" s="16">
        <v>0</v>
      </c>
      <c r="D58" s="17">
        <v>0</v>
      </c>
      <c r="E58" s="17">
        <v>0</v>
      </c>
      <c r="F58" s="17">
        <v>0</v>
      </c>
      <c r="G58" s="17">
        <v>0</v>
      </c>
      <c r="H58" s="17">
        <v>0</v>
      </c>
      <c r="I58" s="17">
        <v>0</v>
      </c>
      <c r="J58" s="17">
        <v>0</v>
      </c>
      <c r="K58" s="58">
        <v>0</v>
      </c>
    </row>
    <row r="59" spans="2:11" x14ac:dyDescent="0.25">
      <c r="B59" s="59" t="s">
        <v>84</v>
      </c>
      <c r="C59" s="18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9">
        <v>0</v>
      </c>
    </row>
    <row r="60" spans="2:11" x14ac:dyDescent="0.25">
      <c r="B60" s="59" t="s">
        <v>85</v>
      </c>
      <c r="C60" s="18">
        <v>0</v>
      </c>
      <c r="D60" s="15">
        <v>0.44380420091324158</v>
      </c>
      <c r="E60" s="15">
        <v>0.44380420091366474</v>
      </c>
      <c r="F60" s="15">
        <v>0.44380420091246664</v>
      </c>
      <c r="G60" s="15">
        <v>0.44380420091267103</v>
      </c>
      <c r="H60" s="15">
        <v>0.44380420091260409</v>
      </c>
      <c r="I60" s="15">
        <v>0.44380420091234063</v>
      </c>
      <c r="J60" s="15">
        <v>0.44380420091455253</v>
      </c>
      <c r="K60" s="19">
        <v>0.44380420091298034</v>
      </c>
    </row>
    <row r="61" spans="2:11" x14ac:dyDescent="0.25">
      <c r="B61" s="59" t="s">
        <v>86</v>
      </c>
      <c r="C61" s="18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9">
        <v>0</v>
      </c>
    </row>
    <row r="62" spans="2:11" x14ac:dyDescent="0.25">
      <c r="B62" s="59" t="s">
        <v>87</v>
      </c>
      <c r="C62" s="18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9">
        <v>0</v>
      </c>
    </row>
    <row r="63" spans="2:11" x14ac:dyDescent="0.25">
      <c r="B63" s="59" t="s">
        <v>88</v>
      </c>
      <c r="C63" s="18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9">
        <v>0</v>
      </c>
    </row>
    <row r="64" spans="2:11" x14ac:dyDescent="0.25">
      <c r="B64" s="59" t="s">
        <v>89</v>
      </c>
      <c r="C64" s="18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9">
        <v>0</v>
      </c>
    </row>
    <row r="65" spans="2:11" x14ac:dyDescent="0.25">
      <c r="B65" s="59" t="s">
        <v>90</v>
      </c>
      <c r="C65" s="18">
        <v>0</v>
      </c>
      <c r="D65" s="15">
        <v>0</v>
      </c>
      <c r="E65" s="15">
        <v>0.23110944615584009</v>
      </c>
      <c r="F65" s="15">
        <v>0.25667396291949607</v>
      </c>
      <c r="G65" s="15">
        <v>0.45966993150687957</v>
      </c>
      <c r="H65" s="15">
        <v>0.45966993150649205</v>
      </c>
      <c r="I65" s="15">
        <v>0.4596699315072606</v>
      </c>
      <c r="J65" s="15">
        <v>0.45966993150621566</v>
      </c>
      <c r="K65" s="19">
        <v>0.45966993150743313</v>
      </c>
    </row>
    <row r="66" spans="2:11" x14ac:dyDescent="0.25">
      <c r="B66" s="59" t="s">
        <v>91</v>
      </c>
      <c r="C66" s="18">
        <v>0</v>
      </c>
      <c r="D66" s="15">
        <v>0</v>
      </c>
      <c r="E66" s="15">
        <v>0.11330609924994493</v>
      </c>
      <c r="F66" s="15">
        <v>0.15771392233022735</v>
      </c>
      <c r="G66" s="15">
        <v>0.15385072097586677</v>
      </c>
      <c r="H66" s="15">
        <v>0.1590315035927802</v>
      </c>
      <c r="I66" s="15">
        <v>0.15681790100501342</v>
      </c>
      <c r="J66" s="15">
        <v>0.15736555292538851</v>
      </c>
      <c r="K66" s="19">
        <v>0.15831781913987375</v>
      </c>
    </row>
    <row r="67" spans="2:11" x14ac:dyDescent="0.25">
      <c r="B67" s="59" t="s">
        <v>92</v>
      </c>
      <c r="C67" s="18">
        <v>0</v>
      </c>
      <c r="D67" s="15">
        <v>0.42292976281075573</v>
      </c>
      <c r="E67" s="15">
        <v>0.42292976281036526</v>
      </c>
      <c r="F67" s="15">
        <v>0.4229297628114258</v>
      </c>
      <c r="G67" s="15">
        <v>0.42292976281029027</v>
      </c>
      <c r="H67" s="15">
        <v>0.42292976281198036</v>
      </c>
      <c r="I67" s="15">
        <v>0.42292976280930922</v>
      </c>
      <c r="J67" s="15">
        <v>0.4229297628109025</v>
      </c>
      <c r="K67" s="19">
        <v>0.42292976281098438</v>
      </c>
    </row>
    <row r="68" spans="2:11" x14ac:dyDescent="0.25">
      <c r="B68" s="59" t="s">
        <v>93</v>
      </c>
      <c r="C68" s="18">
        <v>0</v>
      </c>
      <c r="D68" s="15">
        <v>0</v>
      </c>
      <c r="E68" s="15">
        <v>0.18429442999441689</v>
      </c>
      <c r="F68" s="15">
        <v>0.18409355741313105</v>
      </c>
      <c r="G68" s="15">
        <v>0.18868930372870252</v>
      </c>
      <c r="H68" s="15">
        <v>0.18981318977833567</v>
      </c>
      <c r="I68" s="15">
        <v>0.19002796651343978</v>
      </c>
      <c r="J68" s="15">
        <v>0.18085951437248529</v>
      </c>
      <c r="K68" s="19">
        <v>0.19036033408201691</v>
      </c>
    </row>
    <row r="69" spans="2:11" x14ac:dyDescent="0.25">
      <c r="B69" s="27" t="s">
        <v>94</v>
      </c>
      <c r="C69" s="20">
        <v>0</v>
      </c>
      <c r="D69" s="21">
        <v>0.36876214104515481</v>
      </c>
      <c r="E69" s="21">
        <v>0.36876214104515481</v>
      </c>
      <c r="F69" s="21">
        <v>0.36876214104476157</v>
      </c>
      <c r="G69" s="21">
        <v>0.36876214104455129</v>
      </c>
      <c r="H69" s="21">
        <v>0.36876214104493554</v>
      </c>
      <c r="I69" s="21">
        <v>0.36876214104515481</v>
      </c>
      <c r="J69" s="21">
        <v>0.36876214104515481</v>
      </c>
      <c r="K69" s="22">
        <v>0.36876214104515481</v>
      </c>
    </row>
    <row r="71" spans="2:11" x14ac:dyDescent="0.25">
      <c r="C71" s="165" t="s">
        <v>117</v>
      </c>
      <c r="D71" s="166"/>
      <c r="E71" s="166"/>
      <c r="F71" s="166"/>
      <c r="G71" s="166"/>
      <c r="H71" s="166"/>
      <c r="I71" s="166"/>
      <c r="J71" s="166"/>
      <c r="K71" s="167"/>
    </row>
    <row r="72" spans="2:11" x14ac:dyDescent="0.25">
      <c r="B72" s="60" t="s">
        <v>79</v>
      </c>
      <c r="C72" s="29">
        <v>2020</v>
      </c>
      <c r="D72" s="29">
        <v>2025</v>
      </c>
      <c r="E72" s="29">
        <v>2030</v>
      </c>
      <c r="F72" s="29">
        <v>2035</v>
      </c>
      <c r="G72" s="29">
        <v>2040</v>
      </c>
      <c r="H72" s="29">
        <v>2045</v>
      </c>
      <c r="I72" s="29">
        <v>2050</v>
      </c>
      <c r="J72" s="29">
        <v>2055</v>
      </c>
      <c r="K72" s="30">
        <v>2060</v>
      </c>
    </row>
    <row r="73" spans="2:11" x14ac:dyDescent="0.25">
      <c r="B73" s="59" t="s">
        <v>83</v>
      </c>
      <c r="C73" s="16">
        <v>0.14780196854389055</v>
      </c>
      <c r="D73" s="17">
        <v>0.14780196854404101</v>
      </c>
      <c r="E73" s="17">
        <v>0.14780196854378375</v>
      </c>
      <c r="F73" s="17">
        <v>0.14780196854392033</v>
      </c>
      <c r="G73" s="17">
        <v>0.14780196854345767</v>
      </c>
      <c r="H73" s="17">
        <v>0.14780196854363148</v>
      </c>
      <c r="I73" s="17">
        <v>0.14780196854395436</v>
      </c>
      <c r="J73" s="17">
        <v>0.14780196854394312</v>
      </c>
      <c r="K73" s="58">
        <v>0.14780196854395825</v>
      </c>
    </row>
    <row r="74" spans="2:11" x14ac:dyDescent="0.25">
      <c r="B74" s="59" t="s">
        <v>84</v>
      </c>
      <c r="C74" s="18">
        <v>0.13398740360222158</v>
      </c>
      <c r="D74" s="15">
        <v>0.13398740360236913</v>
      </c>
      <c r="E74" s="15">
        <v>0.13398740360190747</v>
      </c>
      <c r="F74" s="15">
        <v>0.13398740360213829</v>
      </c>
      <c r="G74" s="15">
        <v>0.13398740360223232</v>
      </c>
      <c r="H74" s="15">
        <v>0.13398740360228703</v>
      </c>
      <c r="I74" s="15">
        <v>0.13398740360227615</v>
      </c>
      <c r="J74" s="15">
        <v>0.13398740360211336</v>
      </c>
      <c r="K74" s="19">
        <v>0.13398740360216466</v>
      </c>
    </row>
    <row r="75" spans="2:11" x14ac:dyDescent="0.25">
      <c r="B75" s="59" t="s">
        <v>85</v>
      </c>
      <c r="C75" s="18">
        <v>0.13205457762556641</v>
      </c>
      <c r="D75" s="15">
        <v>0.13205457762566836</v>
      </c>
      <c r="E75" s="15">
        <v>0.13205457762562736</v>
      </c>
      <c r="F75" s="15">
        <v>0.13205457762549241</v>
      </c>
      <c r="G75" s="15">
        <v>0.13205457762545164</v>
      </c>
      <c r="H75" s="15">
        <v>0.13205457762559808</v>
      </c>
      <c r="I75" s="15">
        <v>0.13205457762566267</v>
      </c>
      <c r="J75" s="15">
        <v>0.13205457762546907</v>
      </c>
      <c r="K75" s="19">
        <v>0.13205457762563119</v>
      </c>
    </row>
    <row r="76" spans="2:11" x14ac:dyDescent="0.25">
      <c r="B76" s="59" t="s">
        <v>86</v>
      </c>
      <c r="C76" s="18">
        <v>0.13131458904109838</v>
      </c>
      <c r="D76" s="15">
        <v>0.13131458904101276</v>
      </c>
      <c r="E76" s="15">
        <v>0.13131458904091847</v>
      </c>
      <c r="F76" s="15">
        <v>0.13131458904113399</v>
      </c>
      <c r="G76" s="15">
        <v>0.13131458904105742</v>
      </c>
      <c r="H76" s="15">
        <v>0.13131458904118554</v>
      </c>
      <c r="I76" s="15">
        <v>0.13131458904102328</v>
      </c>
      <c r="J76" s="15">
        <v>0.13131458904121007</v>
      </c>
      <c r="K76" s="19">
        <v>0.13131458904109733</v>
      </c>
    </row>
    <row r="77" spans="2:11" x14ac:dyDescent="0.25">
      <c r="B77" s="59" t="s">
        <v>87</v>
      </c>
      <c r="C77" s="18">
        <v>0.12664862886857553</v>
      </c>
      <c r="D77" s="15">
        <v>0.12664862886850622</v>
      </c>
      <c r="E77" s="15">
        <v>0.12664862886856496</v>
      </c>
      <c r="F77" s="15">
        <v>0.12664862886853018</v>
      </c>
      <c r="G77" s="15">
        <v>0.12664862886866676</v>
      </c>
      <c r="H77" s="15">
        <v>0.12664862886869013</v>
      </c>
      <c r="I77" s="15">
        <v>0.12664862886899317</v>
      </c>
      <c r="J77" s="15">
        <v>0.12664862886854167</v>
      </c>
      <c r="K77" s="19">
        <v>0.12664862886852535</v>
      </c>
    </row>
    <row r="78" spans="2:11" x14ac:dyDescent="0.25">
      <c r="B78" s="59" t="s">
        <v>88</v>
      </c>
      <c r="C78" s="18">
        <v>0.12169846270929587</v>
      </c>
      <c r="D78" s="15">
        <v>0.12169846270928866</v>
      </c>
      <c r="E78" s="15">
        <v>0.1216984627089799</v>
      </c>
      <c r="F78" s="15">
        <v>0.12169846270909886</v>
      </c>
      <c r="G78" s="15">
        <v>0.12169846270942063</v>
      </c>
      <c r="H78" s="15">
        <v>0.12169846270923092</v>
      </c>
      <c r="I78" s="15">
        <v>0.12169846270921555</v>
      </c>
      <c r="J78" s="15">
        <v>0.12169846270953587</v>
      </c>
      <c r="K78" s="19">
        <v>0.12169846270928164</v>
      </c>
    </row>
    <row r="79" spans="2:11" x14ac:dyDescent="0.25">
      <c r="B79" s="59" t="s">
        <v>89</v>
      </c>
      <c r="C79" s="18">
        <v>0.12568716514458092</v>
      </c>
      <c r="D79" s="15">
        <v>0.12568716514448378</v>
      </c>
      <c r="E79" s="15">
        <v>0.12568716514477943</v>
      </c>
      <c r="F79" s="15">
        <v>0.1256871651445956</v>
      </c>
      <c r="G79" s="15">
        <v>0.1256871651445986</v>
      </c>
      <c r="H79" s="15">
        <v>0.12568716514457726</v>
      </c>
      <c r="I79" s="15">
        <v>0.12568716514450734</v>
      </c>
      <c r="J79" s="15">
        <v>0.12568716514448744</v>
      </c>
      <c r="K79" s="19">
        <v>0.12568716514473513</v>
      </c>
    </row>
    <row r="80" spans="2:11" x14ac:dyDescent="0.25">
      <c r="B80" s="59" t="s">
        <v>90</v>
      </c>
      <c r="C80" s="18">
        <v>0.12608306316589865</v>
      </c>
      <c r="D80" s="15">
        <v>0.12608306316601695</v>
      </c>
      <c r="E80" s="15">
        <v>0.12608306316607201</v>
      </c>
      <c r="F80" s="15">
        <v>0.12608306316571707</v>
      </c>
      <c r="G80" s="15">
        <v>0.12608306316583479</v>
      </c>
      <c r="H80" s="15">
        <v>0.12608306316596896</v>
      </c>
      <c r="I80" s="15">
        <v>0.12608306316579168</v>
      </c>
      <c r="J80" s="15">
        <v>0.12608306316574067</v>
      </c>
      <c r="K80" s="19">
        <v>0.12608306316589654</v>
      </c>
    </row>
    <row r="81" spans="2:11" x14ac:dyDescent="0.25">
      <c r="B81" s="59" t="s">
        <v>91</v>
      </c>
      <c r="C81" s="18">
        <v>0.14297608447487259</v>
      </c>
      <c r="D81" s="15">
        <v>0.14297608447494414</v>
      </c>
      <c r="E81" s="15">
        <v>0.14297608447501106</v>
      </c>
      <c r="F81" s="15">
        <v>0.1429760844750716</v>
      </c>
      <c r="G81" s="15">
        <v>0.14297608447464183</v>
      </c>
      <c r="H81" s="15">
        <v>0.1429760844747231</v>
      </c>
      <c r="I81" s="15">
        <v>0.14297608447507384</v>
      </c>
      <c r="J81" s="15">
        <v>0.14297608447481516</v>
      </c>
      <c r="K81" s="19">
        <v>0.14297608447482277</v>
      </c>
    </row>
    <row r="82" spans="2:11" x14ac:dyDescent="0.25">
      <c r="B82" s="59" t="s">
        <v>92</v>
      </c>
      <c r="C82" s="18">
        <v>0.1551251471334274</v>
      </c>
      <c r="D82" s="15">
        <v>0.15512514713349204</v>
      </c>
      <c r="E82" s="15">
        <v>0.15512514713326145</v>
      </c>
      <c r="F82" s="15">
        <v>0.15512514713337827</v>
      </c>
      <c r="G82" s="15">
        <v>0.15512514713322931</v>
      </c>
      <c r="H82" s="15">
        <v>0.15512514713310985</v>
      </c>
      <c r="I82" s="15">
        <v>0.15512514713331152</v>
      </c>
      <c r="J82" s="15">
        <v>0.15512514713360456</v>
      </c>
      <c r="K82" s="19">
        <v>0.15512514713342959</v>
      </c>
    </row>
    <row r="83" spans="2:11" x14ac:dyDescent="0.25">
      <c r="B83" s="59" t="s">
        <v>93</v>
      </c>
      <c r="C83" s="18">
        <v>0.13370110730592541</v>
      </c>
      <c r="D83" s="15">
        <v>0.133701107305982</v>
      </c>
      <c r="E83" s="15">
        <v>0.13370110730599857</v>
      </c>
      <c r="F83" s="15">
        <v>0.1337011073058853</v>
      </c>
      <c r="G83" s="15">
        <v>0.13370110730598883</v>
      </c>
      <c r="H83" s="15">
        <v>0.13370110730581267</v>
      </c>
      <c r="I83" s="15">
        <v>0.13370110730607604</v>
      </c>
      <c r="J83" s="15">
        <v>0.13370110730607246</v>
      </c>
      <c r="K83" s="19">
        <v>0.13370110730598372</v>
      </c>
    </row>
    <row r="84" spans="2:11" x14ac:dyDescent="0.25">
      <c r="B84" s="27" t="s">
        <v>94</v>
      </c>
      <c r="C84" s="20">
        <v>0.17263389776764551</v>
      </c>
      <c r="D84" s="21">
        <v>0.17263389776751614</v>
      </c>
      <c r="E84" s="21">
        <v>0.17263389776764559</v>
      </c>
      <c r="F84" s="21">
        <v>0.17263389776770174</v>
      </c>
      <c r="G84" s="21">
        <v>0.17263389776773597</v>
      </c>
      <c r="H84" s="21">
        <v>0.17263389776772534</v>
      </c>
      <c r="I84" s="21">
        <v>8.7780896501148356E-2</v>
      </c>
      <c r="J84" s="21">
        <v>8.8960466840434543E-2</v>
      </c>
      <c r="K84" s="22">
        <v>8.5022272707679036E-2</v>
      </c>
    </row>
    <row r="86" spans="2:11" x14ac:dyDescent="0.25">
      <c r="C86" s="165" t="s">
        <v>117</v>
      </c>
      <c r="D86" s="166"/>
      <c r="E86" s="166"/>
      <c r="F86" s="166"/>
      <c r="G86" s="166"/>
      <c r="H86" s="166"/>
      <c r="I86" s="166"/>
      <c r="J86" s="166"/>
      <c r="K86" s="167"/>
    </row>
    <row r="87" spans="2:11" x14ac:dyDescent="0.25">
      <c r="B87" s="60" t="s">
        <v>80</v>
      </c>
      <c r="C87" s="28">
        <v>2020</v>
      </c>
      <c r="D87" s="29">
        <v>2025</v>
      </c>
      <c r="E87" s="29">
        <v>2030</v>
      </c>
      <c r="F87" s="29">
        <v>2035</v>
      </c>
      <c r="G87" s="29">
        <v>2040</v>
      </c>
      <c r="H87" s="29">
        <v>2045</v>
      </c>
      <c r="I87" s="29">
        <v>2050</v>
      </c>
      <c r="J87" s="29">
        <v>2055</v>
      </c>
      <c r="K87" s="30">
        <v>2060</v>
      </c>
    </row>
    <row r="88" spans="2:11" x14ac:dyDescent="0.25">
      <c r="B88" s="59" t="s">
        <v>83</v>
      </c>
      <c r="C88" s="16">
        <v>0</v>
      </c>
      <c r="D88" s="17">
        <v>7.3678426862777979E-2</v>
      </c>
      <c r="E88" s="17">
        <v>8.4132384142411171E-2</v>
      </c>
      <c r="F88" s="17">
        <v>8.3277187584742896E-2</v>
      </c>
      <c r="G88" s="17">
        <v>8.4618902253400297E-2</v>
      </c>
      <c r="H88" s="17">
        <v>8.8291856823603493E-2</v>
      </c>
      <c r="I88" s="17">
        <v>0.16842217148678532</v>
      </c>
      <c r="J88" s="17">
        <v>0.16842217148642022</v>
      </c>
      <c r="K88" s="58">
        <v>0.16842217148651881</v>
      </c>
    </row>
    <row r="89" spans="2:11" x14ac:dyDescent="0.25">
      <c r="B89" s="59" t="s">
        <v>84</v>
      </c>
      <c r="C89" s="18">
        <v>0</v>
      </c>
      <c r="D89" s="15">
        <v>5.8190218575249225E-2</v>
      </c>
      <c r="E89" s="15">
        <v>7.5762282068543157E-2</v>
      </c>
      <c r="F89" s="15">
        <v>7.3848432014728099E-2</v>
      </c>
      <c r="G89" s="15">
        <v>7.5439505589996736E-2</v>
      </c>
      <c r="H89" s="15">
        <v>7.7083833536299842E-2</v>
      </c>
      <c r="I89" s="15">
        <v>0.15185829908706908</v>
      </c>
      <c r="J89" s="15">
        <v>0.15185829908717213</v>
      </c>
      <c r="K89" s="19">
        <v>0.15185829908669746</v>
      </c>
    </row>
    <row r="90" spans="2:11" x14ac:dyDescent="0.25">
      <c r="B90" s="59" t="s">
        <v>85</v>
      </c>
      <c r="C90" s="18">
        <v>0</v>
      </c>
      <c r="D90" s="15">
        <v>5.2968499631042033E-2</v>
      </c>
      <c r="E90" s="15">
        <v>7.6389363902715959E-2</v>
      </c>
      <c r="F90" s="15">
        <v>8.2125127205802631E-2</v>
      </c>
      <c r="G90" s="15">
        <v>7.2411696277825011E-2</v>
      </c>
      <c r="H90" s="15">
        <v>7.4028419023042982E-2</v>
      </c>
      <c r="I90" s="15">
        <v>7.603371586672171E-2</v>
      </c>
      <c r="J90" s="15">
        <v>8.12061169616448E-2</v>
      </c>
      <c r="K90" s="19">
        <v>8.0987160862292684E-2</v>
      </c>
    </row>
    <row r="91" spans="2:11" x14ac:dyDescent="0.25">
      <c r="B91" s="59" t="s">
        <v>86</v>
      </c>
      <c r="C91" s="18">
        <v>0</v>
      </c>
      <c r="D91" s="15">
        <v>5.6121901194497226E-2</v>
      </c>
      <c r="E91" s="15">
        <v>7.4256472209592472E-2</v>
      </c>
      <c r="F91" s="15">
        <v>7.2539169354226773E-2</v>
      </c>
      <c r="G91" s="15">
        <v>7.4135614015676449E-2</v>
      </c>
      <c r="H91" s="15">
        <v>7.6034516578395897E-2</v>
      </c>
      <c r="I91" s="15">
        <v>0.14887579401316992</v>
      </c>
      <c r="J91" s="15">
        <v>0.14887579401324061</v>
      </c>
      <c r="K91" s="19">
        <v>0.1488757940132153</v>
      </c>
    </row>
    <row r="92" spans="2:11" x14ac:dyDescent="0.25">
      <c r="B92" s="59" t="s">
        <v>87</v>
      </c>
      <c r="C92" s="18">
        <v>0</v>
      </c>
      <c r="D92" s="15">
        <v>4.9780521096314673E-2</v>
      </c>
      <c r="E92" s="15">
        <v>7.1044171949026194E-2</v>
      </c>
      <c r="F92" s="15">
        <v>7.1437135219620751E-2</v>
      </c>
      <c r="G92" s="15">
        <v>6.9694157784403507E-2</v>
      </c>
      <c r="H92" s="15">
        <v>7.1307955938750861E-2</v>
      </c>
      <c r="I92" s="15">
        <v>7.3789016038230654E-2</v>
      </c>
      <c r="J92" s="15">
        <v>7.9895813961013543E-2</v>
      </c>
      <c r="K92" s="19">
        <v>7.9779176068782931E-2</v>
      </c>
    </row>
    <row r="93" spans="2:11" x14ac:dyDescent="0.25">
      <c r="B93" s="59" t="s">
        <v>88</v>
      </c>
      <c r="C93" s="18">
        <v>0</v>
      </c>
      <c r="D93" s="15">
        <v>4.6041219715659332E-2</v>
      </c>
      <c r="E93" s="15">
        <v>6.7941875686459208E-2</v>
      </c>
      <c r="F93" s="15">
        <v>6.8345332452058399E-2</v>
      </c>
      <c r="G93" s="15">
        <v>6.8594319514592175E-2</v>
      </c>
      <c r="H93" s="15">
        <v>6.7515419820468978E-2</v>
      </c>
      <c r="I93" s="15">
        <v>6.9437334606880993E-2</v>
      </c>
      <c r="J93" s="15">
        <v>7.3240922333898159E-2</v>
      </c>
      <c r="K93" s="19">
        <v>7.3388887586652463E-2</v>
      </c>
    </row>
    <row r="94" spans="2:11" x14ac:dyDescent="0.25">
      <c r="B94" s="59" t="s">
        <v>89</v>
      </c>
      <c r="C94" s="18">
        <v>0</v>
      </c>
      <c r="D94" s="15">
        <v>5.1075761473746324E-2</v>
      </c>
      <c r="E94" s="15">
        <v>7.0702650677665804E-2</v>
      </c>
      <c r="F94" s="15">
        <v>7.116530909611618E-2</v>
      </c>
      <c r="G94" s="15">
        <v>6.9888749617855669E-2</v>
      </c>
      <c r="H94" s="15">
        <v>7.1581727808937956E-2</v>
      </c>
      <c r="I94" s="15">
        <v>7.63742972756523E-2</v>
      </c>
      <c r="J94" s="15">
        <v>8.9814788425851999E-2</v>
      </c>
      <c r="K94" s="19">
        <v>8.7357966617540306E-2</v>
      </c>
    </row>
    <row r="95" spans="2:11" x14ac:dyDescent="0.25">
      <c r="B95" s="59" t="s">
        <v>90</v>
      </c>
      <c r="C95" s="18">
        <v>0</v>
      </c>
      <c r="D95" s="15">
        <v>4.6899440994315512E-2</v>
      </c>
      <c r="E95" s="15">
        <v>6.7802611696188383E-2</v>
      </c>
      <c r="F95" s="15">
        <v>7.6557188034520232E-2</v>
      </c>
      <c r="G95" s="15">
        <v>6.8508767937667442E-2</v>
      </c>
      <c r="H95" s="15">
        <v>7.0249473630714446E-2</v>
      </c>
      <c r="I95" s="15">
        <v>7.2115554561667836E-2</v>
      </c>
      <c r="J95" s="15">
        <v>7.6291735982658801E-2</v>
      </c>
      <c r="K95" s="19">
        <v>7.6125985455668094E-2</v>
      </c>
    </row>
    <row r="96" spans="2:11" x14ac:dyDescent="0.25">
      <c r="B96" s="59" t="s">
        <v>91</v>
      </c>
      <c r="C96" s="18">
        <v>0</v>
      </c>
      <c r="D96" s="15">
        <v>6.855205598601867E-2</v>
      </c>
      <c r="E96" s="15">
        <v>8.8812206264593851E-2</v>
      </c>
      <c r="F96" s="15">
        <v>8.0235627999970013E-2</v>
      </c>
      <c r="G96" s="15">
        <v>8.2004465965152817E-2</v>
      </c>
      <c r="H96" s="15">
        <v>8.4333885593484051E-2</v>
      </c>
      <c r="I96" s="15">
        <v>0.16300803145619189</v>
      </c>
      <c r="J96" s="15">
        <v>0.16300803145603748</v>
      </c>
      <c r="K96" s="19">
        <v>0.16300803145603987</v>
      </c>
    </row>
    <row r="97" spans="2:11" x14ac:dyDescent="0.25">
      <c r="B97" s="59" t="s">
        <v>92</v>
      </c>
      <c r="C97" s="18">
        <v>0</v>
      </c>
      <c r="D97" s="15">
        <v>8.5764414677615239E-2</v>
      </c>
      <c r="E97" s="15">
        <v>7.5969760710471249E-2</v>
      </c>
      <c r="F97" s="15">
        <v>8.7685267225601937E-2</v>
      </c>
      <c r="G97" s="15">
        <v>8.4106115148496099E-2</v>
      </c>
      <c r="H97" s="15">
        <v>9.6263694191598678E-2</v>
      </c>
      <c r="I97" s="15">
        <v>0.17759033231781446</v>
      </c>
      <c r="J97" s="15">
        <v>0.17759033231786112</v>
      </c>
      <c r="K97" s="19">
        <v>0.17759033231880741</v>
      </c>
    </row>
    <row r="98" spans="2:11" x14ac:dyDescent="0.25">
      <c r="B98" s="59" t="s">
        <v>93</v>
      </c>
      <c r="C98" s="18">
        <v>0</v>
      </c>
      <c r="D98" s="15">
        <v>5.9034914113386613E-2</v>
      </c>
      <c r="E98" s="15">
        <v>8.0514420279174714E-2</v>
      </c>
      <c r="F98" s="15">
        <v>7.7182916406447116E-2</v>
      </c>
      <c r="G98" s="15">
        <v>7.6814915215192583E-2</v>
      </c>
      <c r="H98" s="15">
        <v>7.8064038088629023E-2</v>
      </c>
      <c r="I98" s="15">
        <v>9.6816332820823678E-2</v>
      </c>
      <c r="J98" s="15">
        <v>0.13057121791512138</v>
      </c>
      <c r="K98" s="19">
        <v>0.12618062521398987</v>
      </c>
    </row>
    <row r="99" spans="2:11" x14ac:dyDescent="0.25">
      <c r="B99" s="27" t="s">
        <v>94</v>
      </c>
      <c r="C99" s="20">
        <v>0</v>
      </c>
      <c r="D99" s="21">
        <v>9.5272408936577388E-2</v>
      </c>
      <c r="E99" s="21">
        <v>0.10016404182036265</v>
      </c>
      <c r="F99" s="21">
        <v>9.8223372918884569E-2</v>
      </c>
      <c r="G99" s="21">
        <v>9.8098576354500394E-2</v>
      </c>
      <c r="H99" s="21">
        <v>0.20079935312016117</v>
      </c>
      <c r="I99" s="21">
        <v>0.20079935312026495</v>
      </c>
      <c r="J99" s="21">
        <v>0.20079935312010719</v>
      </c>
      <c r="K99" s="22">
        <v>0.20079935312023117</v>
      </c>
    </row>
    <row r="101" spans="2:11" x14ac:dyDescent="0.25">
      <c r="C101" s="165" t="s">
        <v>117</v>
      </c>
      <c r="D101" s="166"/>
      <c r="E101" s="166"/>
      <c r="F101" s="166"/>
      <c r="G101" s="166"/>
      <c r="H101" s="166"/>
      <c r="I101" s="166"/>
      <c r="J101" s="166"/>
      <c r="K101" s="167"/>
    </row>
    <row r="102" spans="2:11" x14ac:dyDescent="0.25">
      <c r="B102" s="60" t="s">
        <v>54</v>
      </c>
      <c r="C102" s="29">
        <v>2020</v>
      </c>
      <c r="D102" s="29">
        <v>2025</v>
      </c>
      <c r="E102" s="29">
        <v>2030</v>
      </c>
      <c r="F102" s="29">
        <v>2035</v>
      </c>
      <c r="G102" s="29">
        <v>2040</v>
      </c>
      <c r="H102" s="29">
        <v>2045</v>
      </c>
      <c r="I102" s="29">
        <v>2050</v>
      </c>
      <c r="J102" s="29">
        <v>2055</v>
      </c>
      <c r="K102" s="30">
        <v>2060</v>
      </c>
    </row>
    <row r="103" spans="2:11" x14ac:dyDescent="0.25">
      <c r="B103" s="59" t="s">
        <v>83</v>
      </c>
      <c r="C103" s="16">
        <v>0.14380666159311573</v>
      </c>
      <c r="D103" s="17">
        <v>0.14380666159308789</v>
      </c>
      <c r="E103" s="17">
        <v>0.14380666159311292</v>
      </c>
      <c r="F103" s="17">
        <v>0.14380666159311142</v>
      </c>
      <c r="G103" s="17">
        <v>0.14380666159277233</v>
      </c>
      <c r="H103" s="17">
        <v>0.14380666159325267</v>
      </c>
      <c r="I103" s="17">
        <v>0.14380666159307259</v>
      </c>
      <c r="J103" s="17">
        <v>0.14380666159264824</v>
      </c>
      <c r="K103" s="58">
        <v>0.14380666159355629</v>
      </c>
    </row>
    <row r="104" spans="2:11" x14ac:dyDescent="0.25">
      <c r="B104" s="59" t="s">
        <v>84</v>
      </c>
      <c r="C104" s="18">
        <v>0.1289200634195948</v>
      </c>
      <c r="D104" s="15">
        <v>0.12892006341961071</v>
      </c>
      <c r="E104" s="15">
        <v>0.12892006341969361</v>
      </c>
      <c r="F104" s="15">
        <v>0.128920063419283</v>
      </c>
      <c r="G104" s="15">
        <v>0.12892006341955534</v>
      </c>
      <c r="H104" s="15">
        <v>0.12892006341971263</v>
      </c>
      <c r="I104" s="15">
        <v>0.12892006341941881</v>
      </c>
      <c r="J104" s="15">
        <v>0.12892006341951875</v>
      </c>
      <c r="K104" s="19">
        <v>0.128920063419767</v>
      </c>
    </row>
    <row r="105" spans="2:11" x14ac:dyDescent="0.25">
      <c r="B105" s="59" t="s">
        <v>85</v>
      </c>
      <c r="C105" s="18">
        <v>0.1272191235413373</v>
      </c>
      <c r="D105" s="15">
        <v>0.12721912354135476</v>
      </c>
      <c r="E105" s="15">
        <v>0.12721912354130949</v>
      </c>
      <c r="F105" s="15">
        <v>0.12721912354130097</v>
      </c>
      <c r="G105" s="15">
        <v>0.12721912354108661</v>
      </c>
      <c r="H105" s="15">
        <v>0.12721912354115802</v>
      </c>
      <c r="I105" s="15">
        <v>0.12721912354136192</v>
      </c>
      <c r="J105" s="15">
        <v>0.12721912354122963</v>
      </c>
      <c r="K105" s="19">
        <v>0.12721912354130974</v>
      </c>
    </row>
    <row r="106" spans="2:11" x14ac:dyDescent="0.25">
      <c r="B106" s="59" t="s">
        <v>86</v>
      </c>
      <c r="C106" s="18">
        <v>0.12632779553526621</v>
      </c>
      <c r="D106" s="15">
        <v>0.1263277955352585</v>
      </c>
      <c r="E106" s="15">
        <v>0.12632779553525914</v>
      </c>
      <c r="F106" s="15">
        <v>0.12632779553519793</v>
      </c>
      <c r="G106" s="15">
        <v>0.12632779553506052</v>
      </c>
      <c r="H106" s="15">
        <v>0.12632779553521026</v>
      </c>
      <c r="I106" s="15">
        <v>0.12632779553524071</v>
      </c>
      <c r="J106" s="15">
        <v>0.12632779553515816</v>
      </c>
      <c r="K106" s="19">
        <v>0.126327795535392</v>
      </c>
    </row>
    <row r="107" spans="2:11" x14ac:dyDescent="0.25">
      <c r="B107" s="59" t="s">
        <v>87</v>
      </c>
      <c r="C107" s="18">
        <v>0.12186084348048393</v>
      </c>
      <c r="D107" s="15">
        <v>0.12186084348046719</v>
      </c>
      <c r="E107" s="15">
        <v>0.12186084348049885</v>
      </c>
      <c r="F107" s="15">
        <v>0.12186084348045741</v>
      </c>
      <c r="G107" s="15">
        <v>0.12186084348047074</v>
      </c>
      <c r="H107" s="15">
        <v>0.12186084348046269</v>
      </c>
      <c r="I107" s="15">
        <v>0.12186084348046941</v>
      </c>
      <c r="J107" s="15">
        <v>0.12186084348049571</v>
      </c>
      <c r="K107" s="19">
        <v>0.12186084348044793</v>
      </c>
    </row>
    <row r="108" spans="2:11" x14ac:dyDescent="0.25">
      <c r="B108" s="59" t="s">
        <v>88</v>
      </c>
      <c r="C108" s="18">
        <v>0.1173466438356357</v>
      </c>
      <c r="D108" s="15">
        <v>0.11734664383610115</v>
      </c>
      <c r="E108" s="15">
        <v>0.11734664383540361</v>
      </c>
      <c r="F108" s="15">
        <v>0.11734664383587824</v>
      </c>
      <c r="G108" s="15">
        <v>0.11734664383583374</v>
      </c>
      <c r="H108" s="15">
        <v>0.11734664383570119</v>
      </c>
      <c r="I108" s="15">
        <v>0.11734664383561386</v>
      </c>
      <c r="J108" s="15">
        <v>0.11734664383548871</v>
      </c>
      <c r="K108" s="19">
        <v>0.11734664383549084</v>
      </c>
    </row>
    <row r="109" spans="2:11" x14ac:dyDescent="0.25">
      <c r="B109" s="59" t="s">
        <v>89</v>
      </c>
      <c r="C109" s="18">
        <v>0.12095158295281049</v>
      </c>
      <c r="D109" s="15">
        <v>0.12095158295288386</v>
      </c>
      <c r="E109" s="15">
        <v>0.12095158295249439</v>
      </c>
      <c r="F109" s="15">
        <v>0.12095158295283491</v>
      </c>
      <c r="G109" s="15">
        <v>0.1209515829525289</v>
      </c>
      <c r="H109" s="15">
        <v>0.12095158295273185</v>
      </c>
      <c r="I109" s="15">
        <v>0.12095158295283352</v>
      </c>
      <c r="J109" s="15">
        <v>0.12095158295262895</v>
      </c>
      <c r="K109" s="19">
        <v>0.12095158295304685</v>
      </c>
    </row>
    <row r="110" spans="2:11" x14ac:dyDescent="0.25">
      <c r="B110" s="59" t="s">
        <v>90</v>
      </c>
      <c r="C110" s="18">
        <v>0.12155369228818498</v>
      </c>
      <c r="D110" s="15">
        <v>0.12155369228818362</v>
      </c>
      <c r="E110" s="15">
        <v>0.12155369228798732</v>
      </c>
      <c r="F110" s="15">
        <v>0.12155369228831411</v>
      </c>
      <c r="G110" s="15">
        <v>0.12155369228839082</v>
      </c>
      <c r="H110" s="15">
        <v>0.12155369228820696</v>
      </c>
      <c r="I110" s="15">
        <v>0.12155369228816365</v>
      </c>
      <c r="J110" s="15">
        <v>0.12155369228805833</v>
      </c>
      <c r="K110" s="19">
        <v>0.12155369228842448</v>
      </c>
    </row>
    <row r="111" spans="2:11" x14ac:dyDescent="0.25">
      <c r="B111" s="59" t="s">
        <v>91</v>
      </c>
      <c r="C111" s="18">
        <v>0.13931167174025041</v>
      </c>
      <c r="D111" s="15">
        <v>0.13931167174024522</v>
      </c>
      <c r="E111" s="15">
        <v>0.13931167174026579</v>
      </c>
      <c r="F111" s="15">
        <v>0.1393116717402437</v>
      </c>
      <c r="G111" s="15">
        <v>0.13931167174022016</v>
      </c>
      <c r="H111" s="15">
        <v>0.13931167174022696</v>
      </c>
      <c r="I111" s="15">
        <v>0.13931167174025966</v>
      </c>
      <c r="J111" s="15">
        <v>0.13931167174025966</v>
      </c>
      <c r="K111" s="19">
        <v>0.13931167174025966</v>
      </c>
    </row>
    <row r="112" spans="2:11" x14ac:dyDescent="0.25">
      <c r="B112" s="59" t="s">
        <v>92</v>
      </c>
      <c r="C112" s="18">
        <v>0.15108409690513072</v>
      </c>
      <c r="D112" s="15">
        <v>0.15108409690511623</v>
      </c>
      <c r="E112" s="15">
        <v>0.15108409690510008</v>
      </c>
      <c r="F112" s="15">
        <v>0.15108409690513519</v>
      </c>
      <c r="G112" s="15">
        <v>0.15108409690519617</v>
      </c>
      <c r="H112" s="15">
        <v>0.1510840969056681</v>
      </c>
      <c r="I112" s="15">
        <v>0.15108409690449223</v>
      </c>
      <c r="J112" s="15">
        <v>0.15108409690457247</v>
      </c>
      <c r="K112" s="19">
        <v>0.15108409690476393</v>
      </c>
    </row>
    <row r="113" spans="2:11" x14ac:dyDescent="0.25">
      <c r="B113" s="59" t="s">
        <v>93</v>
      </c>
      <c r="C113" s="18">
        <v>0.38388380957766355</v>
      </c>
      <c r="D113" s="15">
        <v>0.12864770801620604</v>
      </c>
      <c r="E113" s="15">
        <v>0.12864770801622719</v>
      </c>
      <c r="F113" s="15">
        <v>0.12864770801625189</v>
      </c>
      <c r="G113" s="15">
        <v>0.1286477080163774</v>
      </c>
      <c r="H113" s="15">
        <v>0.12864770801624209</v>
      </c>
      <c r="I113" s="15">
        <v>0.12864770801621092</v>
      </c>
      <c r="J113" s="15">
        <v>0.12864770801634964</v>
      </c>
      <c r="K113" s="19">
        <v>0.12864770801621092</v>
      </c>
    </row>
    <row r="114" spans="2:11" x14ac:dyDescent="0.25">
      <c r="B114" s="27" t="s">
        <v>94</v>
      </c>
      <c r="C114" s="20">
        <v>0.16639647513951497</v>
      </c>
      <c r="D114" s="21">
        <v>0.16639647513975211</v>
      </c>
      <c r="E114" s="21">
        <v>0.16639647513948055</v>
      </c>
      <c r="F114" s="21">
        <v>0.16639647513951733</v>
      </c>
      <c r="G114" s="21">
        <v>0.16639647513945557</v>
      </c>
      <c r="H114" s="21">
        <v>0.16639647513953454</v>
      </c>
      <c r="I114" s="21">
        <v>0.16639647513956837</v>
      </c>
      <c r="J114" s="21">
        <v>0.16639647513952258</v>
      </c>
      <c r="K114" s="22">
        <v>0.16639647513944869</v>
      </c>
    </row>
    <row r="116" spans="2:11" x14ac:dyDescent="0.25">
      <c r="C116" s="165" t="s">
        <v>117</v>
      </c>
      <c r="D116" s="166"/>
      <c r="E116" s="166"/>
      <c r="F116" s="166"/>
      <c r="G116" s="166"/>
      <c r="H116" s="166"/>
      <c r="I116" s="166"/>
      <c r="J116" s="166"/>
      <c r="K116" s="167"/>
    </row>
    <row r="117" spans="2:11" x14ac:dyDescent="0.25">
      <c r="B117" s="60" t="s">
        <v>74</v>
      </c>
      <c r="C117" s="29">
        <v>2020</v>
      </c>
      <c r="D117" s="29">
        <v>2025</v>
      </c>
      <c r="E117" s="29">
        <v>2030</v>
      </c>
      <c r="F117" s="29">
        <v>2035</v>
      </c>
      <c r="G117" s="29">
        <v>2040</v>
      </c>
      <c r="H117" s="29">
        <v>2045</v>
      </c>
      <c r="I117" s="29">
        <v>2050</v>
      </c>
      <c r="J117" s="29">
        <v>2055</v>
      </c>
      <c r="K117" s="30">
        <v>2060</v>
      </c>
    </row>
    <row r="118" spans="2:11" x14ac:dyDescent="0.25">
      <c r="B118" s="59" t="s">
        <v>83</v>
      </c>
      <c r="C118" s="16">
        <v>0.14380666159310135</v>
      </c>
      <c r="D118" s="17">
        <v>0.14380666159271815</v>
      </c>
      <c r="E118" s="17">
        <v>0.14380666159281011</v>
      </c>
      <c r="F118" s="17">
        <v>0.14380666159291827</v>
      </c>
      <c r="G118" s="17">
        <v>0.14380666159304786</v>
      </c>
      <c r="H118" s="17">
        <v>0.14380666159314218</v>
      </c>
      <c r="I118" s="17">
        <v>0.14380666159308095</v>
      </c>
      <c r="J118" s="17">
        <v>0.14380666159308095</v>
      </c>
      <c r="K118" s="58">
        <v>0.14380666159298588</v>
      </c>
    </row>
    <row r="119" spans="2:11" x14ac:dyDescent="0.25">
      <c r="B119" s="59" t="s">
        <v>84</v>
      </c>
      <c r="C119" s="18">
        <v>0.1289200634196136</v>
      </c>
      <c r="D119" s="15">
        <v>0.12892006341958126</v>
      </c>
      <c r="E119" s="15">
        <v>0.12892006341963028</v>
      </c>
      <c r="F119" s="15">
        <v>0.1289200634195232</v>
      </c>
      <c r="G119" s="15">
        <v>0.12892006341992129</v>
      </c>
      <c r="H119" s="15">
        <v>0.1289200634200004</v>
      </c>
      <c r="I119" s="15">
        <v>0.12892006341930917</v>
      </c>
      <c r="J119" s="15">
        <v>0.12892006341931189</v>
      </c>
      <c r="K119" s="19">
        <v>0.1289200634197126</v>
      </c>
    </row>
    <row r="120" spans="2:11" x14ac:dyDescent="0.25">
      <c r="B120" s="59" t="s">
        <v>85</v>
      </c>
      <c r="C120" s="18">
        <v>0.12721912354132509</v>
      </c>
      <c r="D120" s="15">
        <v>0.12721912354127007</v>
      </c>
      <c r="E120" s="15">
        <v>0.12721912354129275</v>
      </c>
      <c r="F120" s="15">
        <v>0.12721912354139334</v>
      </c>
      <c r="G120" s="15">
        <v>0.12721912354135159</v>
      </c>
      <c r="H120" s="15">
        <v>0.1272191235409631</v>
      </c>
      <c r="I120" s="15">
        <v>0.12721912354135259</v>
      </c>
      <c r="J120" s="15">
        <v>0.12721912354150061</v>
      </c>
      <c r="K120" s="19">
        <v>0.12721912354093037</v>
      </c>
    </row>
    <row r="121" spans="2:11" x14ac:dyDescent="0.25">
      <c r="B121" s="59" t="s">
        <v>86</v>
      </c>
      <c r="C121" s="18">
        <v>0.1263277955352633</v>
      </c>
      <c r="D121" s="15">
        <v>0.12632779553522069</v>
      </c>
      <c r="E121" s="15">
        <v>0.12632779553518511</v>
      </c>
      <c r="F121" s="15">
        <v>0.12632779553522769</v>
      </c>
      <c r="G121" s="15">
        <v>0.12632779553509355</v>
      </c>
      <c r="H121" s="15">
        <v>0.12632779553486179</v>
      </c>
      <c r="I121" s="15">
        <v>0.12632779553527243</v>
      </c>
      <c r="J121" s="15">
        <v>0.12632779553525522</v>
      </c>
      <c r="K121" s="19">
        <v>0.12632779553508938</v>
      </c>
    </row>
    <row r="122" spans="2:11" x14ac:dyDescent="0.25">
      <c r="B122" s="59" t="s">
        <v>87</v>
      </c>
      <c r="C122" s="18">
        <v>0.12186084348047062</v>
      </c>
      <c r="D122" s="15">
        <v>0.12186084348086569</v>
      </c>
      <c r="E122" s="15">
        <v>0.1218608434804196</v>
      </c>
      <c r="F122" s="15">
        <v>0.12186084348012921</v>
      </c>
      <c r="G122" s="15">
        <v>0.12186084348078759</v>
      </c>
      <c r="H122" s="15">
        <v>0.12186084348038936</v>
      </c>
      <c r="I122" s="15">
        <v>0.12186084348044691</v>
      </c>
      <c r="J122" s="15">
        <v>0.12186084348044691</v>
      </c>
      <c r="K122" s="19">
        <v>0.12186084348036866</v>
      </c>
    </row>
    <row r="123" spans="2:11" x14ac:dyDescent="0.25">
      <c r="B123" s="59" t="s">
        <v>88</v>
      </c>
      <c r="C123" s="18">
        <v>0.11734664383559977</v>
      </c>
      <c r="D123" s="15">
        <v>0.11734664383571192</v>
      </c>
      <c r="E123" s="15">
        <v>0.11734664383584141</v>
      </c>
      <c r="F123" s="15">
        <v>0.11734664383556852</v>
      </c>
      <c r="G123" s="15">
        <v>0.11734664383563957</v>
      </c>
      <c r="H123" s="15">
        <v>0.11734664383566931</v>
      </c>
      <c r="I123" s="15">
        <v>0.11734664383560335</v>
      </c>
      <c r="J123" s="15">
        <v>0.1173466438358803</v>
      </c>
      <c r="K123" s="19">
        <v>0.11734664383556059</v>
      </c>
    </row>
    <row r="124" spans="2:11" x14ac:dyDescent="0.25">
      <c r="B124" s="59" t="s">
        <v>89</v>
      </c>
      <c r="C124" s="18">
        <v>0.12095158295283437</v>
      </c>
      <c r="D124" s="15">
        <v>0.12095158295284474</v>
      </c>
      <c r="E124" s="15">
        <v>0.12095158295282696</v>
      </c>
      <c r="F124" s="15">
        <v>0.12095158295286006</v>
      </c>
      <c r="G124" s="15">
        <v>0.12095158295278491</v>
      </c>
      <c r="H124" s="15">
        <v>0.12095158295289923</v>
      </c>
      <c r="I124" s="15">
        <v>0.12095158295281797</v>
      </c>
      <c r="J124" s="15">
        <v>0.12095158295319343</v>
      </c>
      <c r="K124" s="19">
        <v>0.12095158295290476</v>
      </c>
    </row>
    <row r="125" spans="2:11" x14ac:dyDescent="0.25">
      <c r="B125" s="59" t="s">
        <v>90</v>
      </c>
      <c r="C125" s="18">
        <v>0.12155369228817403</v>
      </c>
      <c r="D125" s="15">
        <v>0.12155369228820577</v>
      </c>
      <c r="E125" s="15">
        <v>0.12155369228808277</v>
      </c>
      <c r="F125" s="15">
        <v>0.12155369228812085</v>
      </c>
      <c r="G125" s="15">
        <v>0.12155369228818881</v>
      </c>
      <c r="H125" s="15">
        <v>0.12155369228800211</v>
      </c>
      <c r="I125" s="15">
        <v>0.12155369228819696</v>
      </c>
      <c r="J125" s="15">
        <v>0.12155369228838672</v>
      </c>
      <c r="K125" s="19">
        <v>0.1215536922880195</v>
      </c>
    </row>
    <row r="126" spans="2:11" x14ac:dyDescent="0.25">
      <c r="B126" s="59" t="s">
        <v>91</v>
      </c>
      <c r="C126" s="18">
        <v>0.13931167174026646</v>
      </c>
      <c r="D126" s="15">
        <v>0.13931167174021666</v>
      </c>
      <c r="E126" s="15">
        <v>0.13931167174024853</v>
      </c>
      <c r="F126" s="15">
        <v>0.13931167174023776</v>
      </c>
      <c r="G126" s="15">
        <v>0.13931167174023787</v>
      </c>
      <c r="H126" s="15">
        <v>0.1393116717402631</v>
      </c>
      <c r="I126" s="15">
        <v>0.13931167174024503</v>
      </c>
      <c r="J126" s="15">
        <v>0.13931167174024503</v>
      </c>
      <c r="K126" s="19">
        <v>0.13931167174024503</v>
      </c>
    </row>
    <row r="127" spans="2:11" x14ac:dyDescent="0.25">
      <c r="B127" s="59" t="s">
        <v>92</v>
      </c>
      <c r="C127" s="18">
        <v>0.15108409690511287</v>
      </c>
      <c r="D127" s="15">
        <v>0.1510840969051542</v>
      </c>
      <c r="E127" s="15">
        <v>0.15108409690514202</v>
      </c>
      <c r="F127" s="15">
        <v>0.15108409690515026</v>
      </c>
      <c r="G127" s="15">
        <v>0.15108409690509092</v>
      </c>
      <c r="H127" s="15">
        <v>0.15108409690510749</v>
      </c>
      <c r="I127" s="15">
        <v>0.15108409690512248</v>
      </c>
      <c r="J127" s="15">
        <v>0.15108409690512248</v>
      </c>
      <c r="K127" s="19">
        <v>0.15108409690512248</v>
      </c>
    </row>
    <row r="128" spans="2:11" x14ac:dyDescent="0.25">
      <c r="B128" s="59" t="s">
        <v>93</v>
      </c>
      <c r="C128" s="18">
        <v>0.12864770801621941</v>
      </c>
      <c r="D128" s="15">
        <v>0.12864770801564945</v>
      </c>
      <c r="E128" s="15">
        <v>0.12864770801630773</v>
      </c>
      <c r="F128" s="15">
        <v>0.12864770801596254</v>
      </c>
      <c r="G128" s="15">
        <v>0.12864770801642511</v>
      </c>
      <c r="H128" s="15">
        <v>0.12864770801602404</v>
      </c>
      <c r="I128" s="15">
        <v>0.12864770801621842</v>
      </c>
      <c r="J128" s="15">
        <v>0.12864770801621842</v>
      </c>
      <c r="K128" s="19">
        <v>0.1286477080162754</v>
      </c>
    </row>
    <row r="129" spans="2:11" x14ac:dyDescent="0.25">
      <c r="B129" s="27" t="s">
        <v>94</v>
      </c>
      <c r="C129" s="20">
        <v>0.16639647513953318</v>
      </c>
      <c r="D129" s="21">
        <v>0.16639647513926539</v>
      </c>
      <c r="E129" s="21">
        <v>0.16639647513964664</v>
      </c>
      <c r="F129" s="21">
        <v>0.16639647513961517</v>
      </c>
      <c r="G129" s="21">
        <v>0.1663964751391829</v>
      </c>
      <c r="H129" s="21">
        <v>0.16639647513973055</v>
      </c>
      <c r="I129" s="21">
        <v>0.1663964751391174</v>
      </c>
      <c r="J129" s="21">
        <v>0.16639647513961753</v>
      </c>
      <c r="K129" s="22">
        <v>0.16639647513951517</v>
      </c>
    </row>
    <row r="131" spans="2:11" x14ac:dyDescent="0.25">
      <c r="C131" s="165" t="s">
        <v>117</v>
      </c>
      <c r="D131" s="166"/>
      <c r="E131" s="166"/>
      <c r="F131" s="166"/>
      <c r="G131" s="166"/>
      <c r="H131" s="166"/>
      <c r="I131" s="166"/>
      <c r="J131" s="166"/>
      <c r="K131" s="167"/>
    </row>
    <row r="132" spans="2:11" x14ac:dyDescent="0.25">
      <c r="B132" s="60" t="s">
        <v>21</v>
      </c>
      <c r="C132" s="28">
        <v>2020</v>
      </c>
      <c r="D132" s="29">
        <v>2025</v>
      </c>
      <c r="E132" s="29">
        <v>2030</v>
      </c>
      <c r="F132" s="29">
        <v>2035</v>
      </c>
      <c r="G132" s="29">
        <v>2040</v>
      </c>
      <c r="H132" s="29">
        <v>2045</v>
      </c>
      <c r="I132" s="29">
        <v>2050</v>
      </c>
      <c r="J132" s="29">
        <v>2055</v>
      </c>
      <c r="K132" s="30">
        <v>2060</v>
      </c>
    </row>
    <row r="133" spans="2:11" x14ac:dyDescent="0.25">
      <c r="B133" s="59" t="s">
        <v>83</v>
      </c>
      <c r="C133" s="16">
        <v>0.76536151221357218</v>
      </c>
      <c r="D133" s="17">
        <v>0.74784614836934216</v>
      </c>
      <c r="E133" s="17">
        <v>0.72298090521723124</v>
      </c>
      <c r="F133" s="17">
        <v>0.70896417551008728</v>
      </c>
      <c r="G133" s="17">
        <v>0.70446609093022305</v>
      </c>
      <c r="H133" s="17">
        <v>0.70273582915900645</v>
      </c>
      <c r="I133" s="17">
        <v>0.7088339752556283</v>
      </c>
      <c r="J133" s="17">
        <v>0</v>
      </c>
      <c r="K133" s="58">
        <v>0</v>
      </c>
    </row>
    <row r="134" spans="2:11" x14ac:dyDescent="0.25">
      <c r="B134" s="59" t="s">
        <v>84</v>
      </c>
      <c r="C134" s="18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9">
        <v>0</v>
      </c>
    </row>
    <row r="135" spans="2:11" x14ac:dyDescent="0.25">
      <c r="B135" s="59" t="s">
        <v>85</v>
      </c>
      <c r="C135" s="18">
        <v>0</v>
      </c>
      <c r="D135" s="15">
        <v>0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9">
        <v>0</v>
      </c>
    </row>
    <row r="136" spans="2:11" x14ac:dyDescent="0.25">
      <c r="B136" s="59" t="s">
        <v>86</v>
      </c>
      <c r="C136" s="18">
        <v>0.76014556586248971</v>
      </c>
      <c r="D136" s="15">
        <v>0.74005251304862441</v>
      </c>
      <c r="E136" s="15">
        <v>0.72460145168092072</v>
      </c>
      <c r="F136" s="15">
        <v>0.71085700175214028</v>
      </c>
      <c r="G136" s="15">
        <v>0.70688770553304336</v>
      </c>
      <c r="H136" s="15">
        <v>0.7021585756221651</v>
      </c>
      <c r="I136" s="15">
        <v>0.71069342448438377</v>
      </c>
      <c r="J136" s="15">
        <v>0</v>
      </c>
      <c r="K136" s="19">
        <v>0</v>
      </c>
    </row>
    <row r="137" spans="2:11" x14ac:dyDescent="0.25">
      <c r="B137" s="59" t="s">
        <v>87</v>
      </c>
      <c r="C137" s="18">
        <v>0.76125359920325009</v>
      </c>
      <c r="D137" s="15">
        <v>0.75336095809928227</v>
      </c>
      <c r="E137" s="15">
        <v>0.71654957362747052</v>
      </c>
      <c r="F137" s="15">
        <v>0.70476699112888974</v>
      </c>
      <c r="G137" s="15">
        <v>0.70111560787510019</v>
      </c>
      <c r="H137" s="15">
        <v>0.69335177647211821</v>
      </c>
      <c r="I137" s="15">
        <v>0.71055209731355085</v>
      </c>
      <c r="J137" s="15">
        <v>0</v>
      </c>
      <c r="K137" s="19">
        <v>0</v>
      </c>
    </row>
    <row r="138" spans="2:11" x14ac:dyDescent="0.25">
      <c r="B138" s="59" t="s">
        <v>88</v>
      </c>
      <c r="C138" s="18">
        <v>0.75780081037521962</v>
      </c>
      <c r="D138" s="15">
        <v>0.7428143886960209</v>
      </c>
      <c r="E138" s="15">
        <v>0.72810820354860806</v>
      </c>
      <c r="F138" s="15">
        <v>0.70982133965715344</v>
      </c>
      <c r="G138" s="15">
        <v>0.70171887114782283</v>
      </c>
      <c r="H138" s="15">
        <v>0.69306404777577379</v>
      </c>
      <c r="I138" s="15">
        <v>0</v>
      </c>
      <c r="J138" s="15">
        <v>0</v>
      </c>
      <c r="K138" s="19">
        <v>0</v>
      </c>
    </row>
    <row r="139" spans="2:11" x14ac:dyDescent="0.25">
      <c r="B139" s="59" t="s">
        <v>89</v>
      </c>
      <c r="C139" s="18">
        <v>0</v>
      </c>
      <c r="D139" s="15">
        <v>0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9">
        <v>0</v>
      </c>
    </row>
    <row r="140" spans="2:11" x14ac:dyDescent="0.25">
      <c r="B140" s="59" t="s">
        <v>90</v>
      </c>
      <c r="C140" s="18">
        <v>0.75314573191291045</v>
      </c>
      <c r="D140" s="15">
        <v>0.70896165522054777</v>
      </c>
      <c r="E140" s="15">
        <v>0.70221855723477677</v>
      </c>
      <c r="F140" s="15">
        <v>0.70333295700305487</v>
      </c>
      <c r="G140" s="15">
        <v>0.70772163760105899</v>
      </c>
      <c r="H140" s="15">
        <v>0.70102200732549103</v>
      </c>
      <c r="I140" s="15">
        <v>0.71763563886909443</v>
      </c>
      <c r="J140" s="15">
        <v>0.73008153499082473</v>
      </c>
      <c r="K140" s="19">
        <v>0.71327842094837546</v>
      </c>
    </row>
    <row r="141" spans="2:11" x14ac:dyDescent="0.25">
      <c r="B141" s="59" t="s">
        <v>91</v>
      </c>
      <c r="C141" s="18">
        <v>0.76291747657838493</v>
      </c>
      <c r="D141" s="15">
        <v>0.73034330527443569</v>
      </c>
      <c r="E141" s="15">
        <v>0.72175136321443456</v>
      </c>
      <c r="F141" s="15">
        <v>0.71875965548996401</v>
      </c>
      <c r="G141" s="15">
        <v>0.70682051336923235</v>
      </c>
      <c r="H141" s="15">
        <v>0.70466215599773818</v>
      </c>
      <c r="I141" s="15">
        <v>0.70916894766481953</v>
      </c>
      <c r="J141" s="15">
        <v>0</v>
      </c>
      <c r="K141" s="19">
        <v>0</v>
      </c>
    </row>
    <row r="142" spans="2:11" x14ac:dyDescent="0.25">
      <c r="B142" s="59" t="s">
        <v>92</v>
      </c>
      <c r="C142" s="18">
        <v>0.76514940488254657</v>
      </c>
      <c r="D142" s="15">
        <v>0.73086818536347553</v>
      </c>
      <c r="E142" s="15">
        <v>0.70440933577109688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9">
        <v>0</v>
      </c>
    </row>
    <row r="143" spans="2:11" x14ac:dyDescent="0.25">
      <c r="B143" s="59" t="s">
        <v>93</v>
      </c>
      <c r="C143" s="18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9">
        <v>0</v>
      </c>
    </row>
    <row r="144" spans="2:11" x14ac:dyDescent="0.25">
      <c r="B144" s="27" t="s">
        <v>94</v>
      </c>
      <c r="C144" s="20">
        <v>0</v>
      </c>
      <c r="D144" s="21">
        <v>0</v>
      </c>
      <c r="E144" s="21">
        <v>0</v>
      </c>
      <c r="F144" s="21">
        <v>0</v>
      </c>
      <c r="G144" s="21">
        <v>0</v>
      </c>
      <c r="H144" s="21">
        <v>0</v>
      </c>
      <c r="I144" s="21">
        <v>0</v>
      </c>
      <c r="J144" s="21">
        <v>0</v>
      </c>
      <c r="K144" s="22">
        <v>0</v>
      </c>
    </row>
  </sheetData>
  <mergeCells count="9">
    <mergeCell ref="C86:K86"/>
    <mergeCell ref="C101:K101"/>
    <mergeCell ref="C116:K116"/>
    <mergeCell ref="C131:K131"/>
    <mergeCell ref="C2:K2"/>
    <mergeCell ref="C26:K26"/>
    <mergeCell ref="C41:K41"/>
    <mergeCell ref="C56:K56"/>
    <mergeCell ref="C71:K71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B2:V28"/>
  <sheetViews>
    <sheetView tabSelected="1" topLeftCell="C6" zoomScale="55" zoomScaleNormal="55" workbookViewId="0">
      <selection activeCell="K29" sqref="A1:XFD1048576"/>
    </sheetView>
  </sheetViews>
  <sheetFormatPr baseColWidth="10" defaultRowHeight="15" x14ac:dyDescent="0.25"/>
  <cols>
    <col min="1" max="1" width="3.28515625" customWidth="1"/>
    <col min="2" max="2" width="45.5703125" bestFit="1" customWidth="1"/>
    <col min="3" max="3" width="18" customWidth="1"/>
    <col min="4" max="4" width="23" customWidth="1"/>
    <col min="5" max="5" width="13.85546875" bestFit="1" customWidth="1"/>
    <col min="6" max="7" width="13.42578125" bestFit="1" customWidth="1"/>
    <col min="8" max="8" width="13" bestFit="1" customWidth="1"/>
    <col min="9" max="11" width="13.85546875" bestFit="1" customWidth="1"/>
    <col min="12" max="12" width="24.5703125" bestFit="1" customWidth="1"/>
    <col min="13" max="13" width="33.5703125" bestFit="1" customWidth="1"/>
  </cols>
  <sheetData>
    <row r="2" spans="2:22" x14ac:dyDescent="0.25">
      <c r="C2" s="161" t="s">
        <v>113</v>
      </c>
      <c r="D2" s="162"/>
      <c r="E2" s="162"/>
      <c r="F2" s="162"/>
      <c r="G2" s="162"/>
      <c r="H2" s="162"/>
      <c r="I2" s="162"/>
      <c r="J2" s="162"/>
      <c r="K2" s="163"/>
      <c r="L2" s="152"/>
      <c r="M2" t="s">
        <v>148</v>
      </c>
      <c r="N2" s="161" t="s">
        <v>113</v>
      </c>
      <c r="O2" s="162"/>
      <c r="P2" s="162"/>
      <c r="Q2" s="162"/>
      <c r="R2" s="162"/>
      <c r="S2" s="162"/>
      <c r="T2" s="162"/>
      <c r="U2" s="162"/>
      <c r="V2" s="163"/>
    </row>
    <row r="3" spans="2:22" x14ac:dyDescent="0.25">
      <c r="B3" s="132" t="s">
        <v>138</v>
      </c>
      <c r="C3" s="43">
        <v>2020</v>
      </c>
      <c r="D3" s="39">
        <v>2025</v>
      </c>
      <c r="E3" s="39">
        <v>2030</v>
      </c>
      <c r="F3" s="39">
        <v>2035</v>
      </c>
      <c r="G3" s="39">
        <v>2040</v>
      </c>
      <c r="H3" s="39">
        <v>2045</v>
      </c>
      <c r="I3" s="39">
        <v>2050</v>
      </c>
      <c r="J3" s="39">
        <v>2055</v>
      </c>
      <c r="K3" s="40">
        <v>2060</v>
      </c>
      <c r="M3" s="132" t="s">
        <v>138</v>
      </c>
      <c r="N3" s="43">
        <v>2020</v>
      </c>
      <c r="O3" s="39">
        <v>2025</v>
      </c>
      <c r="P3" s="39">
        <v>2030</v>
      </c>
      <c r="Q3" s="39">
        <v>2035</v>
      </c>
      <c r="R3" s="39">
        <v>2040</v>
      </c>
      <c r="S3" s="39">
        <v>2045</v>
      </c>
      <c r="T3" s="39">
        <v>2050</v>
      </c>
      <c r="U3" s="39">
        <v>2055</v>
      </c>
      <c r="V3" s="40">
        <v>2060</v>
      </c>
    </row>
    <row r="4" spans="2:22" x14ac:dyDescent="0.25">
      <c r="B4" s="161" t="s">
        <v>123</v>
      </c>
      <c r="C4" s="151">
        <v>0</v>
      </c>
      <c r="D4" s="154">
        <v>3.8118592183804703</v>
      </c>
      <c r="E4" s="154">
        <v>5.5504177939588448</v>
      </c>
      <c r="F4" s="154">
        <v>5.8446696021033846</v>
      </c>
      <c r="G4" s="154">
        <v>5.7015914994364083</v>
      </c>
      <c r="H4" s="154">
        <v>5.9148632479463856</v>
      </c>
      <c r="I4" s="154">
        <v>5.9175594220074013</v>
      </c>
      <c r="J4" s="154">
        <v>5.9175713350309769</v>
      </c>
      <c r="K4" s="155">
        <v>5.9175890906920285</v>
      </c>
      <c r="M4" s="106" t="s">
        <v>140</v>
      </c>
      <c r="N4" s="66">
        <v>48.491996159341383</v>
      </c>
      <c r="O4" s="67">
        <v>38.123460450470233</v>
      </c>
      <c r="P4" s="67">
        <v>27.755215589513263</v>
      </c>
      <c r="Q4" s="67">
        <v>23.381166487020909</v>
      </c>
      <c r="R4" s="67">
        <v>19.007185466643737</v>
      </c>
      <c r="S4" s="67">
        <v>16.901158067635158</v>
      </c>
      <c r="T4" s="67">
        <v>14.795150158841746</v>
      </c>
      <c r="U4" s="67">
        <v>14.795163065049618</v>
      </c>
      <c r="V4" s="105">
        <v>14.795180830936769</v>
      </c>
    </row>
    <row r="5" spans="2:22" x14ac:dyDescent="0.25">
      <c r="B5" s="23" t="s">
        <v>124</v>
      </c>
      <c r="C5" s="156">
        <v>48.491996159341383</v>
      </c>
      <c r="D5" s="153">
        <v>34.311601232089764</v>
      </c>
      <c r="E5" s="153">
        <v>22.20479779555442</v>
      </c>
      <c r="F5" s="153">
        <v>17.536496884917526</v>
      </c>
      <c r="G5" s="153">
        <v>13.305593967207329</v>
      </c>
      <c r="H5" s="153">
        <v>10.986294819688771</v>
      </c>
      <c r="I5" s="153">
        <v>8.8775907368343443</v>
      </c>
      <c r="J5" s="153">
        <v>8.8775917300186418</v>
      </c>
      <c r="K5" s="157">
        <v>8.8775917402447408</v>
      </c>
      <c r="M5" s="107" t="s">
        <v>141</v>
      </c>
      <c r="N5" s="65">
        <v>12.280996511604465</v>
      </c>
      <c r="O5" s="68">
        <v>20.040116637196398</v>
      </c>
      <c r="P5" s="68">
        <v>27.806149467951663</v>
      </c>
      <c r="Q5" s="68">
        <v>28.02416635654491</v>
      </c>
      <c r="R5" s="68">
        <v>28.244549811231654</v>
      </c>
      <c r="S5" s="68">
        <v>26.741087421226151</v>
      </c>
      <c r="T5" s="68">
        <v>25.230267693890006</v>
      </c>
      <c r="U5" s="68">
        <v>25.23264498470575</v>
      </c>
      <c r="V5" s="69">
        <v>25.236437407837343</v>
      </c>
    </row>
    <row r="6" spans="2:22" x14ac:dyDescent="0.25">
      <c r="B6" s="23" t="s">
        <v>131</v>
      </c>
      <c r="C6" s="156">
        <v>0</v>
      </c>
      <c r="D6" s="153">
        <v>2.0069377092725365</v>
      </c>
      <c r="E6" s="153">
        <v>5.5720365428176821</v>
      </c>
      <c r="F6" s="153">
        <v>7.0182667221871649</v>
      </c>
      <c r="G6" s="153">
        <v>8.4883641847524842</v>
      </c>
      <c r="H6" s="153">
        <v>9.3763705848919017</v>
      </c>
      <c r="I6" s="153">
        <v>10.106202760336989</v>
      </c>
      <c r="J6" s="153">
        <v>10.108593823126508</v>
      </c>
      <c r="K6" s="157">
        <v>10.112397202796929</v>
      </c>
      <c r="M6" s="107" t="s">
        <v>142</v>
      </c>
      <c r="N6" s="65">
        <v>117.93597600011594</v>
      </c>
      <c r="O6" s="68">
        <v>105.56600545325003</v>
      </c>
      <c r="P6" s="68">
        <v>93.212589402908179</v>
      </c>
      <c r="Q6" s="68">
        <v>85.691516403453392</v>
      </c>
      <c r="R6" s="68">
        <v>78.16999145691311</v>
      </c>
      <c r="S6" s="68">
        <v>73.07840066181268</v>
      </c>
      <c r="T6" s="68">
        <v>67.985802583759394</v>
      </c>
      <c r="U6" s="68">
        <v>67.985799574970187</v>
      </c>
      <c r="V6" s="69">
        <v>67.986087628785953</v>
      </c>
    </row>
    <row r="7" spans="2:22" x14ac:dyDescent="0.25">
      <c r="B7" s="23" t="s">
        <v>132</v>
      </c>
      <c r="C7" s="156">
        <v>12.280996511604465</v>
      </c>
      <c r="D7" s="153">
        <v>18.033178927923863</v>
      </c>
      <c r="E7" s="153">
        <v>22.234112925133982</v>
      </c>
      <c r="F7" s="153">
        <v>21.005899634357746</v>
      </c>
      <c r="G7" s="153">
        <v>19.756185626479169</v>
      </c>
      <c r="H7" s="153">
        <v>17.364716836334249</v>
      </c>
      <c r="I7" s="153">
        <v>15.124064933553017</v>
      </c>
      <c r="J7" s="153">
        <v>15.124051161579242</v>
      </c>
      <c r="K7" s="157">
        <v>15.124040205040414</v>
      </c>
      <c r="M7" s="107" t="s">
        <v>143</v>
      </c>
      <c r="N7" s="65">
        <v>25.811986001152157</v>
      </c>
      <c r="O7" s="68">
        <v>20.217298319281884</v>
      </c>
      <c r="P7" s="68">
        <v>14.622774884581396</v>
      </c>
      <c r="Q7" s="68">
        <v>14.16908314418443</v>
      </c>
      <c r="R7" s="68">
        <v>13.715407769525331</v>
      </c>
      <c r="S7" s="68">
        <v>13.580313677646487</v>
      </c>
      <c r="T7" s="68">
        <v>13.445228302451062</v>
      </c>
      <c r="U7" s="68">
        <v>13.445229458847175</v>
      </c>
      <c r="V7" s="69">
        <v>13.445243904069841</v>
      </c>
    </row>
    <row r="8" spans="2:22" x14ac:dyDescent="0.25">
      <c r="B8" s="23" t="s">
        <v>125</v>
      </c>
      <c r="C8" s="156">
        <v>0</v>
      </c>
      <c r="D8" s="153">
        <v>10.073020615621607</v>
      </c>
      <c r="E8" s="153">
        <v>17.49997860913124</v>
      </c>
      <c r="F8" s="153">
        <v>16.31517338028512</v>
      </c>
      <c r="G8" s="153">
        <v>15.098218482729036</v>
      </c>
      <c r="H8" s="153">
        <v>14.465487824234513</v>
      </c>
      <c r="I8" s="153">
        <v>13.969646834225415</v>
      </c>
      <c r="J8" s="153">
        <v>13.969649982130617</v>
      </c>
      <c r="K8" s="157">
        <v>13.969846650482287</v>
      </c>
      <c r="M8" s="107" t="s">
        <v>144</v>
      </c>
      <c r="N8" s="65">
        <v>0.32384198877134374</v>
      </c>
      <c r="O8" s="68">
        <v>10.524703442258705</v>
      </c>
      <c r="P8" s="68">
        <v>20.724021258163965</v>
      </c>
      <c r="Q8" s="68">
        <v>26.71155089156213</v>
      </c>
      <c r="R8" s="68">
        <v>32.698716005112232</v>
      </c>
      <c r="S8" s="68">
        <v>38.681782707354316</v>
      </c>
      <c r="T8" s="68">
        <v>44.662695630094262</v>
      </c>
      <c r="U8" s="68">
        <v>44.662694140634464</v>
      </c>
      <c r="V8" s="69">
        <v>44.663557986815874</v>
      </c>
    </row>
    <row r="9" spans="2:22" x14ac:dyDescent="0.25">
      <c r="B9" s="23" t="s">
        <v>126</v>
      </c>
      <c r="C9" s="156">
        <v>27.431989000045188</v>
      </c>
      <c r="D9" s="153">
        <v>13.937387000015121</v>
      </c>
      <c r="E9" s="153">
        <v>3.0941889999953149</v>
      </c>
      <c r="F9" s="153">
        <v>2.661107999997173</v>
      </c>
      <c r="G9" s="153">
        <v>2.2604270000033271</v>
      </c>
      <c r="H9" s="153">
        <v>1.9763879999984786</v>
      </c>
      <c r="I9" s="153">
        <v>1.5551879999998315</v>
      </c>
      <c r="J9" s="153">
        <v>1.5551870000001544</v>
      </c>
      <c r="K9" s="157">
        <v>1.5551879999993192</v>
      </c>
      <c r="M9" s="107" t="s">
        <v>145</v>
      </c>
      <c r="N9" s="65">
        <v>127.4017550000211</v>
      </c>
      <c r="O9" s="68">
        <v>121.85887199998305</v>
      </c>
      <c r="P9" s="68">
        <v>116.31598900003502</v>
      </c>
      <c r="Q9" s="68">
        <v>108.51298600001664</v>
      </c>
      <c r="R9" s="68">
        <v>100.70998999990829</v>
      </c>
      <c r="S9" s="68">
        <v>92.906989000007115</v>
      </c>
      <c r="T9" s="68">
        <v>85.103988000013118</v>
      </c>
      <c r="U9" s="68">
        <v>85.103988000013118</v>
      </c>
      <c r="V9" s="69">
        <v>85.103988000013118</v>
      </c>
    </row>
    <row r="10" spans="2:22" x14ac:dyDescent="0.25">
      <c r="B10" s="23" t="s">
        <v>127</v>
      </c>
      <c r="C10" s="156">
        <v>0</v>
      </c>
      <c r="D10" s="153">
        <v>8.1404528376631635</v>
      </c>
      <c r="E10" s="153">
        <v>10.873751793778414</v>
      </c>
      <c r="F10" s="153">
        <v>11.322210023147706</v>
      </c>
      <c r="G10" s="153">
        <v>12.14223497421275</v>
      </c>
      <c r="H10" s="153">
        <v>12.440019837578507</v>
      </c>
      <c r="I10" s="153">
        <v>13.094981749562052</v>
      </c>
      <c r="J10" s="153">
        <v>13.094974592849587</v>
      </c>
      <c r="K10" s="157">
        <v>13.095062978309599</v>
      </c>
      <c r="M10" s="107" t="s">
        <v>147</v>
      </c>
      <c r="N10" s="65">
        <v>135.43197799998015</v>
      </c>
      <c r="O10" s="68">
        <v>130.78796900002229</v>
      </c>
      <c r="P10" s="68">
        <v>122.47197399986989</v>
      </c>
      <c r="Q10" s="68">
        <v>126.74877400004792</v>
      </c>
      <c r="R10" s="68">
        <v>129.51356599995773</v>
      </c>
      <c r="S10" s="68">
        <v>127.90977100005283</v>
      </c>
      <c r="T10" s="68">
        <v>128.4659660000143</v>
      </c>
      <c r="U10" s="68">
        <v>128.46597399997131</v>
      </c>
      <c r="V10" s="69">
        <v>128.4659699998268</v>
      </c>
    </row>
    <row r="11" spans="2:22" x14ac:dyDescent="0.25">
      <c r="B11" s="23" t="s">
        <v>128</v>
      </c>
      <c r="C11" s="156">
        <v>90.503987000070751</v>
      </c>
      <c r="D11" s="153">
        <v>73.415144999950144</v>
      </c>
      <c r="E11" s="153">
        <v>61.744670000003211</v>
      </c>
      <c r="F11" s="153">
        <v>55.393025000023393</v>
      </c>
      <c r="G11" s="153">
        <v>48.669110999967998</v>
      </c>
      <c r="H11" s="153">
        <v>44.196505000001181</v>
      </c>
      <c r="I11" s="153">
        <v>39.365985999972096</v>
      </c>
      <c r="J11" s="153">
        <v>39.365987999989827</v>
      </c>
      <c r="K11" s="157">
        <v>39.365989999994738</v>
      </c>
      <c r="M11" s="108" t="s">
        <v>146</v>
      </c>
      <c r="N11" s="70">
        <v>0</v>
      </c>
      <c r="O11" s="71">
        <v>12.719014777516092</v>
      </c>
      <c r="P11" s="71">
        <v>35.719516408337185</v>
      </c>
      <c r="Q11" s="71">
        <v>58.072801234886782</v>
      </c>
      <c r="R11" s="71">
        <v>79.163210043914432</v>
      </c>
      <c r="S11" s="71">
        <v>98.812896976946959</v>
      </c>
      <c r="T11" s="71">
        <v>139.43101048600278</v>
      </c>
      <c r="U11" s="71">
        <v>142.2470608289326</v>
      </c>
      <c r="V11" s="72">
        <v>160.49195574329454</v>
      </c>
    </row>
    <row r="12" spans="2:22" x14ac:dyDescent="0.25">
      <c r="B12" s="23" t="s">
        <v>133</v>
      </c>
      <c r="C12" s="156">
        <v>0</v>
      </c>
      <c r="D12" s="153">
        <v>2.0214703196086807</v>
      </c>
      <c r="E12" s="153">
        <v>2.9242278836355728</v>
      </c>
      <c r="F12" s="153">
        <v>3.5418971449858865</v>
      </c>
      <c r="G12" s="153">
        <v>4.1142197696673222</v>
      </c>
      <c r="H12" s="153">
        <v>4.7526776773504888</v>
      </c>
      <c r="I12" s="153">
        <v>5.3776393020230735</v>
      </c>
      <c r="J12" s="153">
        <v>5.377643458275065</v>
      </c>
      <c r="K12" s="157">
        <v>5.3776559044950689</v>
      </c>
      <c r="M12" s="44"/>
      <c r="N12" s="46"/>
    </row>
    <row r="13" spans="2:22" x14ac:dyDescent="0.25">
      <c r="B13" s="23" t="s">
        <v>134</v>
      </c>
      <c r="C13" s="156">
        <v>25.811986001152157</v>
      </c>
      <c r="D13" s="153">
        <v>18.195827999673202</v>
      </c>
      <c r="E13" s="153">
        <v>11.698547000945824</v>
      </c>
      <c r="F13" s="153">
        <v>10.627185999198543</v>
      </c>
      <c r="G13" s="153">
        <v>9.6011879998580092</v>
      </c>
      <c r="H13" s="153">
        <v>8.8276360002959979</v>
      </c>
      <c r="I13" s="153">
        <v>8.0675890004279882</v>
      </c>
      <c r="J13" s="153">
        <v>8.0675860005721098</v>
      </c>
      <c r="K13" s="157">
        <v>8.067587999574771</v>
      </c>
      <c r="M13" s="134" t="s">
        <v>112</v>
      </c>
      <c r="N13" s="133">
        <v>467.67852966098656</v>
      </c>
      <c r="O13" s="110">
        <v>459.83744007997865</v>
      </c>
      <c r="P13" s="110">
        <v>458.62823001136053</v>
      </c>
      <c r="Q13" s="110">
        <v>471.31204451771714</v>
      </c>
      <c r="R13" s="110">
        <v>481.22261655320654</v>
      </c>
      <c r="S13" s="110">
        <v>488.61239951268169</v>
      </c>
      <c r="T13" s="110">
        <v>519.12010885506675</v>
      </c>
      <c r="U13" s="110">
        <v>521.93855405312422</v>
      </c>
      <c r="V13" s="111">
        <v>540.18842150158025</v>
      </c>
    </row>
    <row r="14" spans="2:22" x14ac:dyDescent="0.25">
      <c r="B14" s="23" t="s">
        <v>129</v>
      </c>
      <c r="C14" s="156">
        <v>3.8776676673246781E-2</v>
      </c>
      <c r="D14" s="153">
        <v>1.8913048187205783</v>
      </c>
      <c r="E14" s="153">
        <v>5.1739681850662924</v>
      </c>
      <c r="F14" s="153">
        <v>9.3389982332874837</v>
      </c>
      <c r="G14" s="153">
        <v>13.066513943329507</v>
      </c>
      <c r="H14" s="153">
        <v>19.324948986554944</v>
      </c>
      <c r="I14" s="153">
        <v>26.779897784330839</v>
      </c>
      <c r="J14" s="153">
        <v>26.779896295005539</v>
      </c>
      <c r="K14" s="157">
        <v>26.780762137777348</v>
      </c>
      <c r="M14" s="44"/>
      <c r="N14" s="45"/>
    </row>
    <row r="15" spans="2:22" x14ac:dyDescent="0.25">
      <c r="B15" s="23" t="s">
        <v>130</v>
      </c>
      <c r="C15" s="156">
        <v>0.28506531209809693</v>
      </c>
      <c r="D15" s="153">
        <v>8.6333986235381275</v>
      </c>
      <c r="E15" s="153">
        <v>15.550053073097674</v>
      </c>
      <c r="F15" s="153">
        <v>17.372552658274646</v>
      </c>
      <c r="G15" s="153">
        <v>19.632202061782721</v>
      </c>
      <c r="H15" s="153">
        <v>19.356833720799376</v>
      </c>
      <c r="I15" s="153">
        <v>17.882797845763427</v>
      </c>
      <c r="J15" s="153">
        <v>17.882797845628925</v>
      </c>
      <c r="K15" s="157">
        <v>17.882795849038526</v>
      </c>
      <c r="M15" s="44"/>
      <c r="N15" s="45"/>
    </row>
    <row r="16" spans="2:22" x14ac:dyDescent="0.25">
      <c r="B16" s="23" t="s">
        <v>135</v>
      </c>
      <c r="C16" s="156">
        <v>25.480347999999172</v>
      </c>
      <c r="D16" s="153">
        <v>36.557659000006609</v>
      </c>
      <c r="E16" s="153">
        <v>46.526395000008513</v>
      </c>
      <c r="F16" s="153">
        <v>46.118016999997742</v>
      </c>
      <c r="G16" s="153">
        <v>45.319494999956071</v>
      </c>
      <c r="H16" s="153">
        <v>44.130819000001033</v>
      </c>
      <c r="I16" s="153">
        <v>42.551994000006559</v>
      </c>
      <c r="J16" s="153">
        <v>42.551994000006559</v>
      </c>
      <c r="K16" s="157">
        <v>42.551994000006559</v>
      </c>
      <c r="M16" s="44"/>
      <c r="N16" s="46"/>
    </row>
    <row r="17" spans="2:22" x14ac:dyDescent="0.25">
      <c r="B17" s="23" t="s">
        <v>136</v>
      </c>
      <c r="C17" s="156">
        <v>101.92140700002193</v>
      </c>
      <c r="D17" s="153">
        <v>85.301212999976443</v>
      </c>
      <c r="E17" s="153">
        <v>69.789594000026511</v>
      </c>
      <c r="F17" s="153">
        <v>62.394969000018889</v>
      </c>
      <c r="G17" s="153">
        <v>55.390494999952224</v>
      </c>
      <c r="H17" s="153">
        <v>48.776170000006076</v>
      </c>
      <c r="I17" s="153">
        <v>42.551994000006559</v>
      </c>
      <c r="J17" s="153">
        <v>42.551994000006559</v>
      </c>
      <c r="K17" s="157">
        <v>42.551994000006559</v>
      </c>
      <c r="M17" t="s">
        <v>149</v>
      </c>
      <c r="N17" s="161" t="s">
        <v>113</v>
      </c>
      <c r="O17" s="162"/>
      <c r="P17" s="162"/>
      <c r="Q17" s="162"/>
      <c r="R17" s="162"/>
      <c r="S17" s="162"/>
      <c r="T17" s="162"/>
      <c r="U17" s="162"/>
      <c r="V17" s="163"/>
    </row>
    <row r="18" spans="2:22" x14ac:dyDescent="0.25">
      <c r="B18" s="23" t="s">
        <v>137</v>
      </c>
      <c r="C18" s="156">
        <v>135.43197799998015</v>
      </c>
      <c r="D18" s="153">
        <v>130.78796900002229</v>
      </c>
      <c r="E18" s="153">
        <v>122.47197399986989</v>
      </c>
      <c r="F18" s="153">
        <v>126.74877400004792</v>
      </c>
      <c r="G18" s="153">
        <v>129.51356599995773</v>
      </c>
      <c r="H18" s="153">
        <v>127.90977100005283</v>
      </c>
      <c r="I18" s="153">
        <v>128.4659660000143</v>
      </c>
      <c r="J18" s="153">
        <v>128.46597399997131</v>
      </c>
      <c r="K18" s="157">
        <v>128.4659699998268</v>
      </c>
      <c r="M18" s="132" t="s">
        <v>138</v>
      </c>
      <c r="N18" s="43">
        <v>2020</v>
      </c>
      <c r="O18" s="39">
        <v>2025</v>
      </c>
      <c r="P18" s="39">
        <v>2030</v>
      </c>
      <c r="Q18" s="39">
        <v>2035</v>
      </c>
      <c r="R18" s="39">
        <v>2040</v>
      </c>
      <c r="S18" s="39">
        <v>2045</v>
      </c>
      <c r="T18" s="39">
        <v>2050</v>
      </c>
      <c r="U18" s="39">
        <v>2055</v>
      </c>
      <c r="V18" s="40">
        <v>2060</v>
      </c>
    </row>
    <row r="19" spans="2:22" x14ac:dyDescent="0.25">
      <c r="B19" s="23" t="s">
        <v>139</v>
      </c>
      <c r="C19" s="156">
        <v>0</v>
      </c>
      <c r="D19" s="153">
        <v>2.1585196649951519</v>
      </c>
      <c r="E19" s="153">
        <v>15.809492437473244</v>
      </c>
      <c r="F19" s="153">
        <v>29.683546563424791</v>
      </c>
      <c r="G19" s="153">
        <v>41.807442557685349</v>
      </c>
      <c r="H19" s="153">
        <v>51.717349627978109</v>
      </c>
      <c r="I19" s="153">
        <v>83.497465762781403</v>
      </c>
      <c r="J19" s="153">
        <v>86.08640311359548</v>
      </c>
      <c r="K19" s="157">
        <v>102.8606693985775</v>
      </c>
      <c r="M19" s="106" t="s">
        <v>62</v>
      </c>
      <c r="N19" s="66">
        <v>0</v>
      </c>
      <c r="O19" s="67">
        <v>5.8187969276530067</v>
      </c>
      <c r="P19" s="67">
        <v>11.122454336776528</v>
      </c>
      <c r="Q19" s="67">
        <v>12.862936324290549</v>
      </c>
      <c r="R19" s="67">
        <v>14.189955684188892</v>
      </c>
      <c r="S19" s="67">
        <v>15.291233832838287</v>
      </c>
      <c r="T19" s="67">
        <v>16.023762182344392</v>
      </c>
      <c r="U19" s="67">
        <v>16.026165158157486</v>
      </c>
      <c r="V19" s="105">
        <v>16.029986293488957</v>
      </c>
    </row>
    <row r="20" spans="2:22" x14ac:dyDescent="0.25">
      <c r="B20" s="38" t="s">
        <v>153</v>
      </c>
      <c r="C20" s="158">
        <v>0</v>
      </c>
      <c r="D20" s="159">
        <v>10.56049511252094</v>
      </c>
      <c r="E20" s="159">
        <v>19.910023970863939</v>
      </c>
      <c r="F20" s="159">
        <v>28.389254671461988</v>
      </c>
      <c r="G20" s="159">
        <v>37.355767486229084</v>
      </c>
      <c r="H20" s="159">
        <v>47.09554734896885</v>
      </c>
      <c r="I20" s="159">
        <v>55.933544723221367</v>
      </c>
      <c r="J20" s="159">
        <v>56.160657715337116</v>
      </c>
      <c r="K20" s="160">
        <v>57.631286344717033</v>
      </c>
      <c r="M20" s="107" t="s">
        <v>133</v>
      </c>
      <c r="N20" s="65">
        <v>0</v>
      </c>
      <c r="O20" s="68">
        <v>2.0214703196086807</v>
      </c>
      <c r="P20" s="68">
        <v>2.9242278836355728</v>
      </c>
      <c r="Q20" s="68">
        <v>3.5418971449858865</v>
      </c>
      <c r="R20" s="68">
        <v>4.1142197696673222</v>
      </c>
      <c r="S20" s="68">
        <v>4.7526776773504888</v>
      </c>
      <c r="T20" s="68">
        <v>5.3776393020230735</v>
      </c>
      <c r="U20" s="68">
        <v>5.377643458275065</v>
      </c>
      <c r="V20" s="69">
        <v>5.3776559044950689</v>
      </c>
    </row>
    <row r="21" spans="2:22" x14ac:dyDescent="0.25">
      <c r="M21" s="107" t="s">
        <v>150</v>
      </c>
      <c r="N21" s="65">
        <v>0</v>
      </c>
      <c r="O21" s="68">
        <v>18.21347345328477</v>
      </c>
      <c r="P21" s="68">
        <v>28.373730402909654</v>
      </c>
      <c r="Q21" s="68">
        <v>27.637383403432828</v>
      </c>
      <c r="R21" s="68">
        <v>27.240453456941786</v>
      </c>
      <c r="S21" s="68">
        <v>26.905507661813019</v>
      </c>
      <c r="T21" s="68">
        <v>27.064628583787467</v>
      </c>
      <c r="U21" s="68">
        <v>27.064624574980204</v>
      </c>
      <c r="V21" s="69">
        <v>27.064909628791888</v>
      </c>
    </row>
    <row r="22" spans="2:22" x14ac:dyDescent="0.25">
      <c r="B22" s="102" t="s">
        <v>170</v>
      </c>
      <c r="C22" s="43">
        <v>2020</v>
      </c>
      <c r="D22" s="39">
        <v>2025</v>
      </c>
      <c r="E22" s="39">
        <v>2030</v>
      </c>
      <c r="F22" s="39">
        <v>2035</v>
      </c>
      <c r="G22" s="39">
        <v>2040</v>
      </c>
      <c r="H22" s="39">
        <v>2045</v>
      </c>
      <c r="I22" s="39">
        <v>2050</v>
      </c>
      <c r="J22" s="39">
        <v>2055</v>
      </c>
      <c r="K22" s="40">
        <v>2060</v>
      </c>
      <c r="M22" s="107" t="s">
        <v>151</v>
      </c>
      <c r="N22" s="65">
        <v>3.8776676673246781E-2</v>
      </c>
      <c r="O22" s="68">
        <v>1.8913048187205783</v>
      </c>
      <c r="P22" s="68">
        <v>5.1739681850662924</v>
      </c>
      <c r="Q22" s="68">
        <v>9.3389982332874837</v>
      </c>
      <c r="R22" s="68">
        <v>13.066513943329507</v>
      </c>
      <c r="S22" s="68">
        <v>19.324948986554944</v>
      </c>
      <c r="T22" s="68">
        <v>26.779897784330839</v>
      </c>
      <c r="U22" s="68">
        <v>26.779896295005539</v>
      </c>
      <c r="V22" s="69">
        <v>26.780762137777348</v>
      </c>
    </row>
    <row r="23" spans="2:22" x14ac:dyDescent="0.25">
      <c r="B23" s="24" t="s">
        <v>64</v>
      </c>
      <c r="C23" s="41">
        <v>3.784074168073106</v>
      </c>
      <c r="D23" s="34">
        <v>4.7612811818968837</v>
      </c>
      <c r="E23" s="34">
        <v>7.1939538996010857</v>
      </c>
      <c r="F23" s="34">
        <v>7.1965339138339202</v>
      </c>
      <c r="G23" s="34">
        <v>8.0459143674863629</v>
      </c>
      <c r="H23" s="34">
        <v>8.3287194972248031</v>
      </c>
      <c r="I23" s="34">
        <v>8.0983714517574032</v>
      </c>
      <c r="J23" s="34">
        <v>8.6565071561130296</v>
      </c>
      <c r="K23" s="35">
        <v>12.611479368312317</v>
      </c>
      <c r="M23" s="107" t="s">
        <v>135</v>
      </c>
      <c r="N23" s="65">
        <v>25.480347999999172</v>
      </c>
      <c r="O23" s="68">
        <v>36.557659000006609</v>
      </c>
      <c r="P23" s="68">
        <v>46.526395000008513</v>
      </c>
      <c r="Q23" s="68">
        <v>46.118016999997742</v>
      </c>
      <c r="R23" s="68">
        <v>45.319494999956071</v>
      </c>
      <c r="S23" s="68">
        <v>44.130819000001033</v>
      </c>
      <c r="T23" s="68">
        <v>42.551994000006559</v>
      </c>
      <c r="U23" s="68">
        <v>42.551994000006559</v>
      </c>
      <c r="V23" s="69">
        <v>42.551994000006559</v>
      </c>
    </row>
    <row r="24" spans="2:22" x14ac:dyDescent="0.25">
      <c r="B24" s="26" t="s">
        <v>63</v>
      </c>
      <c r="C24" s="31">
        <v>7.5809049297953592E-7</v>
      </c>
      <c r="D24" s="32">
        <v>1.1685403042549967E-6</v>
      </c>
      <c r="E24" s="32">
        <v>1.81789023228782E-6</v>
      </c>
      <c r="F24" s="32">
        <v>9.3997152659819755E-2</v>
      </c>
      <c r="G24" s="32">
        <v>9.6363943780379879E-2</v>
      </c>
      <c r="H24" s="32">
        <v>0.10410140301575131</v>
      </c>
      <c r="I24" s="32">
        <v>9.5826564984428916E-2</v>
      </c>
      <c r="J24" s="32">
        <v>2.285455281309781E-6</v>
      </c>
      <c r="K24" s="33">
        <v>3.6301113344875556E-6</v>
      </c>
      <c r="M24" s="107" t="s">
        <v>152</v>
      </c>
      <c r="N24" s="65">
        <v>442.15940498431405</v>
      </c>
      <c r="O24" s="68">
        <v>382.61572078318898</v>
      </c>
      <c r="P24" s="68">
        <v>328.78793779462683</v>
      </c>
      <c r="Q24" s="68">
        <v>313.74001117683588</v>
      </c>
      <c r="R24" s="68">
        <v>298.12876865520849</v>
      </c>
      <c r="S24" s="68">
        <v>279.39431537717695</v>
      </c>
      <c r="T24" s="68">
        <v>261.89117651657159</v>
      </c>
      <c r="U24" s="68">
        <v>261.89116973776675</v>
      </c>
      <c r="V24" s="69">
        <v>261.89115779372582</v>
      </c>
    </row>
    <row r="25" spans="2:22" ht="15" customHeight="1" x14ac:dyDescent="0.25">
      <c r="M25" s="107" t="s">
        <v>139</v>
      </c>
      <c r="N25" s="65">
        <v>0</v>
      </c>
      <c r="O25" s="68">
        <v>2.1585196649951519</v>
      </c>
      <c r="P25" s="68">
        <v>15.809492437473244</v>
      </c>
      <c r="Q25" s="68">
        <v>29.683546563424791</v>
      </c>
      <c r="R25" s="68">
        <v>41.807442557685349</v>
      </c>
      <c r="S25" s="68">
        <v>51.717349627978109</v>
      </c>
      <c r="T25" s="68">
        <v>83.497465762781403</v>
      </c>
      <c r="U25" s="68">
        <v>86.08640311359548</v>
      </c>
      <c r="V25" s="69">
        <v>102.8606693985775</v>
      </c>
    </row>
    <row r="26" spans="2:22" ht="15" customHeight="1" x14ac:dyDescent="0.25">
      <c r="M26" s="108" t="s">
        <v>153</v>
      </c>
      <c r="N26" s="70">
        <v>0</v>
      </c>
      <c r="O26" s="71">
        <v>10.56049511252094</v>
      </c>
      <c r="P26" s="71">
        <v>19.910023970863939</v>
      </c>
      <c r="Q26" s="71">
        <v>28.389254671461988</v>
      </c>
      <c r="R26" s="71">
        <v>37.355767486229084</v>
      </c>
      <c r="S26" s="71">
        <v>47.09554734896885</v>
      </c>
      <c r="T26" s="71">
        <v>55.933544723221367</v>
      </c>
      <c r="U26" s="71">
        <v>56.160657715337116</v>
      </c>
      <c r="V26" s="72">
        <v>57.631286344717033</v>
      </c>
    </row>
    <row r="27" spans="2:22" ht="15" customHeight="1" x14ac:dyDescent="0.25"/>
    <row r="28" spans="2:22" ht="15" customHeight="1" x14ac:dyDescent="0.25">
      <c r="M28" s="149" t="s">
        <v>172</v>
      </c>
      <c r="N28" s="133">
        <v>0</v>
      </c>
      <c r="O28" s="110">
        <v>0</v>
      </c>
      <c r="P28" s="110">
        <v>0</v>
      </c>
      <c r="Q28" s="110">
        <v>0</v>
      </c>
      <c r="R28" s="110">
        <v>0</v>
      </c>
      <c r="S28" s="110">
        <v>0</v>
      </c>
      <c r="T28" s="110">
        <v>0</v>
      </c>
      <c r="U28" s="110">
        <v>0</v>
      </c>
      <c r="V28" s="111">
        <v>0</v>
      </c>
    </row>
  </sheetData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B1:K24"/>
  <sheetViews>
    <sheetView topLeftCell="C1" zoomScale="85" zoomScaleNormal="85" workbookViewId="0">
      <selection activeCell="M14" sqref="A1:XFD1048576"/>
    </sheetView>
  </sheetViews>
  <sheetFormatPr baseColWidth="10" defaultRowHeight="15" x14ac:dyDescent="0.25"/>
  <cols>
    <col min="1" max="1" width="3.85546875" customWidth="1"/>
    <col min="2" max="2" width="49.28515625" customWidth="1"/>
    <col min="3" max="3" width="17" customWidth="1"/>
  </cols>
  <sheetData>
    <row r="1" spans="2:11" x14ac:dyDescent="0.25">
      <c r="B1" s="13"/>
      <c r="C1" s="12"/>
      <c r="D1" s="12"/>
      <c r="E1" s="12"/>
      <c r="F1" s="12"/>
      <c r="G1" s="12"/>
      <c r="H1" s="12"/>
      <c r="I1" s="12"/>
      <c r="J1" s="12"/>
      <c r="K1" s="12"/>
    </row>
    <row r="2" spans="2:11" x14ac:dyDescent="0.25">
      <c r="B2" s="48" t="s">
        <v>156</v>
      </c>
      <c r="C2" s="43">
        <v>2020</v>
      </c>
      <c r="D2" s="39">
        <v>2025</v>
      </c>
      <c r="E2" s="39">
        <v>2030</v>
      </c>
      <c r="F2" s="39">
        <v>2035</v>
      </c>
      <c r="G2" s="39">
        <v>2040</v>
      </c>
      <c r="H2" s="39">
        <v>2045</v>
      </c>
      <c r="I2" s="39">
        <v>2050</v>
      </c>
      <c r="J2" s="39">
        <v>2055</v>
      </c>
      <c r="K2" s="40">
        <v>2060</v>
      </c>
    </row>
    <row r="3" spans="2:11" x14ac:dyDescent="0.25">
      <c r="B3" s="49" t="s">
        <v>49</v>
      </c>
      <c r="C3" s="51">
        <v>98.680620813335793</v>
      </c>
      <c r="D3" s="52">
        <v>137.69912528260801</v>
      </c>
      <c r="E3" s="52">
        <v>154.39618828913498</v>
      </c>
      <c r="F3" s="52">
        <v>145.76558631782001</v>
      </c>
      <c r="G3" s="52">
        <v>146.99859827059501</v>
      </c>
      <c r="H3" s="52">
        <v>142.802459935531</v>
      </c>
      <c r="I3" s="52">
        <v>141.84194341714999</v>
      </c>
      <c r="J3" s="52">
        <v>146.50816952659</v>
      </c>
      <c r="K3" s="53">
        <v>177.148550679511</v>
      </c>
    </row>
    <row r="4" spans="2:11" x14ac:dyDescent="0.25">
      <c r="B4" s="50" t="s">
        <v>48</v>
      </c>
      <c r="C4" s="54">
        <v>17.508240468184198</v>
      </c>
      <c r="D4" s="55">
        <v>20.1479937509778</v>
      </c>
      <c r="E4" s="55">
        <v>35.153264373413599</v>
      </c>
      <c r="F4" s="55">
        <v>57.275740728958397</v>
      </c>
      <c r="G4" s="55">
        <v>78.001646031806089</v>
      </c>
      <c r="H4" s="55">
        <v>104.307930443073</v>
      </c>
      <c r="I4" s="55">
        <v>138.17606656771099</v>
      </c>
      <c r="J4" s="55">
        <v>155.68134079609601</v>
      </c>
      <c r="K4" s="56">
        <v>148.814737269511</v>
      </c>
    </row>
    <row r="5" spans="2:11" x14ac:dyDescent="0.25">
      <c r="B5" s="48" t="s">
        <v>50</v>
      </c>
      <c r="C5" s="54">
        <v>81.172380345151595</v>
      </c>
      <c r="D5" s="55">
        <v>117.5511315316302</v>
      </c>
      <c r="E5" s="55">
        <v>119.24292391572138</v>
      </c>
      <c r="F5" s="55">
        <v>88.489845588861613</v>
      </c>
      <c r="G5" s="55">
        <v>68.996952238788921</v>
      </c>
      <c r="H5" s="55">
        <v>38.494529492458</v>
      </c>
      <c r="I5" s="55">
        <v>3.6658768494390017</v>
      </c>
      <c r="J5" s="55">
        <v>-9.1731712695060139</v>
      </c>
      <c r="K5" s="56">
        <v>28.333813410000005</v>
      </c>
    </row>
    <row r="6" spans="2:11" x14ac:dyDescent="0.25">
      <c r="B6" s="14"/>
    </row>
    <row r="8" spans="2:11" x14ac:dyDescent="0.25">
      <c r="C8" s="165" t="s">
        <v>114</v>
      </c>
      <c r="D8" s="166"/>
      <c r="E8" s="166"/>
      <c r="F8" s="166"/>
      <c r="G8" s="166"/>
      <c r="H8" s="166"/>
      <c r="I8" s="166"/>
      <c r="J8" s="166"/>
      <c r="K8" s="167"/>
    </row>
    <row r="9" spans="2:11" x14ac:dyDescent="0.25">
      <c r="B9" s="134" t="s">
        <v>48</v>
      </c>
      <c r="C9" s="39">
        <v>2020</v>
      </c>
      <c r="D9" s="39">
        <v>2025</v>
      </c>
      <c r="E9" s="39">
        <v>2030</v>
      </c>
      <c r="F9" s="39">
        <v>2035</v>
      </c>
      <c r="G9" s="39">
        <v>2040</v>
      </c>
      <c r="H9" s="39">
        <v>2045</v>
      </c>
      <c r="I9" s="39">
        <v>2050</v>
      </c>
      <c r="J9" s="39">
        <v>2055</v>
      </c>
      <c r="K9" s="40">
        <v>2060</v>
      </c>
    </row>
    <row r="10" spans="2:11" x14ac:dyDescent="0.25">
      <c r="B10" s="24" t="s">
        <v>51</v>
      </c>
      <c r="C10" s="136">
        <v>4.1000000000000005</v>
      </c>
      <c r="D10" s="78">
        <v>5.548</v>
      </c>
      <c r="E10" s="78">
        <v>7</v>
      </c>
      <c r="F10" s="78">
        <v>9</v>
      </c>
      <c r="G10" s="78">
        <v>11</v>
      </c>
      <c r="H10" s="78">
        <v>13</v>
      </c>
      <c r="I10" s="78">
        <v>15.000000000000002</v>
      </c>
      <c r="J10" s="78">
        <v>17</v>
      </c>
      <c r="K10" s="79">
        <v>19</v>
      </c>
    </row>
    <row r="11" spans="2:11" x14ac:dyDescent="0.25">
      <c r="B11" s="25" t="s">
        <v>52</v>
      </c>
      <c r="C11" s="137">
        <v>2.6</v>
      </c>
      <c r="D11" s="80">
        <v>3.8000000000000003</v>
      </c>
      <c r="E11" s="80">
        <v>5</v>
      </c>
      <c r="F11" s="80">
        <v>6.25</v>
      </c>
      <c r="G11" s="80">
        <v>7.5000000000000009</v>
      </c>
      <c r="H11" s="80">
        <v>8.75</v>
      </c>
      <c r="I11" s="80">
        <v>10</v>
      </c>
      <c r="J11" s="80">
        <v>11.25</v>
      </c>
      <c r="K11" s="81">
        <v>12.5</v>
      </c>
    </row>
    <row r="12" spans="2:11" x14ac:dyDescent="0.25">
      <c r="B12" s="135" t="s">
        <v>115</v>
      </c>
      <c r="C12" s="137">
        <v>1.31</v>
      </c>
      <c r="D12" s="80">
        <v>1.6540000000000001</v>
      </c>
      <c r="E12" s="80">
        <v>2</v>
      </c>
      <c r="F12" s="80">
        <v>2.5</v>
      </c>
      <c r="G12" s="80">
        <v>3</v>
      </c>
      <c r="H12" s="80">
        <v>3.5</v>
      </c>
      <c r="I12" s="80">
        <v>4</v>
      </c>
      <c r="J12" s="80">
        <v>4.5</v>
      </c>
      <c r="K12" s="81">
        <v>5</v>
      </c>
    </row>
    <row r="13" spans="2:11" x14ac:dyDescent="0.25">
      <c r="B13" s="25" t="s">
        <v>116</v>
      </c>
      <c r="C13" s="137">
        <v>1.3</v>
      </c>
      <c r="D13" s="80">
        <v>1.3</v>
      </c>
      <c r="E13" s="80">
        <v>1.3</v>
      </c>
      <c r="F13" s="80">
        <v>1.9750000000000001</v>
      </c>
      <c r="G13" s="80">
        <v>2.6500000000000004</v>
      </c>
      <c r="H13" s="80">
        <v>3.3250000000000002</v>
      </c>
      <c r="I13" s="80">
        <v>4</v>
      </c>
      <c r="J13" s="80">
        <v>4.6750000000000007</v>
      </c>
      <c r="K13" s="81">
        <v>5.3500000000000005</v>
      </c>
    </row>
    <row r="14" spans="2:11" x14ac:dyDescent="0.25">
      <c r="B14" s="25" t="s">
        <v>53</v>
      </c>
      <c r="C14" s="138">
        <v>2</v>
      </c>
      <c r="D14" s="139">
        <v>4.5</v>
      </c>
      <c r="E14" s="139">
        <v>7</v>
      </c>
      <c r="F14" s="139">
        <v>8.25</v>
      </c>
      <c r="G14" s="139">
        <v>9.5</v>
      </c>
      <c r="H14" s="139">
        <v>10.75</v>
      </c>
      <c r="I14" s="139">
        <v>12</v>
      </c>
      <c r="J14" s="139">
        <v>13.25</v>
      </c>
      <c r="K14" s="140">
        <v>14.500000000000002</v>
      </c>
    </row>
    <row r="15" spans="2:11" x14ac:dyDescent="0.25">
      <c r="B15" s="104" t="s">
        <v>36</v>
      </c>
      <c r="C15" s="71">
        <v>11.310000000000002</v>
      </c>
      <c r="D15" s="71">
        <v>16.802</v>
      </c>
      <c r="E15" s="71">
        <v>22.3</v>
      </c>
      <c r="F15" s="71">
        <v>27.975000000000001</v>
      </c>
      <c r="G15" s="71">
        <v>33.65</v>
      </c>
      <c r="H15" s="71">
        <v>39.325000000000003</v>
      </c>
      <c r="I15" s="71">
        <v>45</v>
      </c>
      <c r="J15" s="71">
        <v>50.674999999999997</v>
      </c>
      <c r="K15" s="72">
        <v>56.35</v>
      </c>
    </row>
    <row r="17" spans="2:11" x14ac:dyDescent="0.25">
      <c r="C17" s="165" t="s">
        <v>114</v>
      </c>
      <c r="D17" s="166"/>
      <c r="E17" s="166"/>
      <c r="F17" s="166"/>
      <c r="G17" s="166"/>
      <c r="H17" s="166"/>
      <c r="I17" s="166"/>
      <c r="J17" s="166"/>
      <c r="K17" s="167"/>
    </row>
    <row r="18" spans="2:11" x14ac:dyDescent="0.25">
      <c r="B18" s="134" t="s">
        <v>49</v>
      </c>
      <c r="C18" s="39">
        <v>2020</v>
      </c>
      <c r="D18" s="39">
        <v>2025</v>
      </c>
      <c r="E18" s="39">
        <v>2030</v>
      </c>
      <c r="F18" s="39">
        <v>2035</v>
      </c>
      <c r="G18" s="39">
        <v>2040</v>
      </c>
      <c r="H18" s="39">
        <v>2045</v>
      </c>
      <c r="I18" s="39">
        <v>2050</v>
      </c>
      <c r="J18" s="39">
        <v>2055</v>
      </c>
      <c r="K18" s="40">
        <v>2060</v>
      </c>
    </row>
    <row r="19" spans="2:11" x14ac:dyDescent="0.25">
      <c r="B19" s="24" t="s">
        <v>51</v>
      </c>
      <c r="C19" s="136">
        <v>5.48</v>
      </c>
      <c r="D19" s="78">
        <v>6.9280000000000008</v>
      </c>
      <c r="E19" s="78">
        <v>8.3800000000000008</v>
      </c>
      <c r="F19" s="78">
        <v>10.38</v>
      </c>
      <c r="G19" s="78">
        <v>12.38</v>
      </c>
      <c r="H19" s="78">
        <v>14.38</v>
      </c>
      <c r="I19" s="78">
        <v>16.380000000000003</v>
      </c>
      <c r="J19" s="78">
        <v>18.380000000000003</v>
      </c>
      <c r="K19" s="79">
        <v>20.380000000000003</v>
      </c>
    </row>
    <row r="20" spans="2:11" x14ac:dyDescent="0.25">
      <c r="B20" s="25" t="s">
        <v>52</v>
      </c>
      <c r="C20" s="137">
        <v>2.8000000000000003</v>
      </c>
      <c r="D20" s="80">
        <v>4</v>
      </c>
      <c r="E20" s="80">
        <v>5.2</v>
      </c>
      <c r="F20" s="80">
        <v>6.45</v>
      </c>
      <c r="G20" s="80">
        <v>7.7</v>
      </c>
      <c r="H20" s="80">
        <v>8.9500000000000011</v>
      </c>
      <c r="I20" s="80">
        <v>10.200000000000001</v>
      </c>
      <c r="J20" s="80">
        <v>11.450000000000001</v>
      </c>
      <c r="K20" s="81">
        <v>12.700000000000001</v>
      </c>
    </row>
    <row r="21" spans="2:11" x14ac:dyDescent="0.25">
      <c r="B21" s="135" t="s">
        <v>115</v>
      </c>
      <c r="C21" s="137">
        <v>3.2</v>
      </c>
      <c r="D21" s="80">
        <v>3.544</v>
      </c>
      <c r="E21" s="80">
        <v>3.89</v>
      </c>
      <c r="F21" s="80">
        <v>4.3900000000000006</v>
      </c>
      <c r="G21" s="80">
        <v>4.8900000000000006</v>
      </c>
      <c r="H21" s="80">
        <v>5.3900000000000006</v>
      </c>
      <c r="I21" s="80">
        <v>5.8900000000000006</v>
      </c>
      <c r="J21" s="80">
        <v>6.3900000000000006</v>
      </c>
      <c r="K21" s="81">
        <v>6.8900000000000006</v>
      </c>
    </row>
    <row r="22" spans="2:11" x14ac:dyDescent="0.25">
      <c r="B22" s="25" t="s">
        <v>116</v>
      </c>
      <c r="C22" s="137">
        <v>3.1500000000000004</v>
      </c>
      <c r="D22" s="80">
        <v>3.1500000000000004</v>
      </c>
      <c r="E22" s="80">
        <v>3.1500000000000004</v>
      </c>
      <c r="F22" s="80">
        <v>3.8250000000000002</v>
      </c>
      <c r="G22" s="80">
        <v>4.5</v>
      </c>
      <c r="H22" s="80">
        <v>5.1750000000000007</v>
      </c>
      <c r="I22" s="80">
        <v>5.8500000000000005</v>
      </c>
      <c r="J22" s="80">
        <v>6.5250000000000004</v>
      </c>
      <c r="K22" s="81">
        <v>7.2</v>
      </c>
    </row>
    <row r="23" spans="2:11" x14ac:dyDescent="0.25">
      <c r="B23" s="25" t="s">
        <v>53</v>
      </c>
      <c r="C23" s="138">
        <v>2</v>
      </c>
      <c r="D23" s="139">
        <v>4.5</v>
      </c>
      <c r="E23" s="139">
        <v>7</v>
      </c>
      <c r="F23" s="139">
        <v>8.25</v>
      </c>
      <c r="G23" s="139">
        <v>9.5</v>
      </c>
      <c r="H23" s="139">
        <v>10.75</v>
      </c>
      <c r="I23" s="139">
        <v>12</v>
      </c>
      <c r="J23" s="139">
        <v>13.25</v>
      </c>
      <c r="K23" s="140">
        <v>14.500000000000002</v>
      </c>
    </row>
    <row r="24" spans="2:11" x14ac:dyDescent="0.25">
      <c r="B24" s="104" t="s">
        <v>36</v>
      </c>
      <c r="C24" s="71">
        <v>16.630000000000003</v>
      </c>
      <c r="D24" s="71">
        <v>22.122</v>
      </c>
      <c r="E24" s="71">
        <v>27.620000000000005</v>
      </c>
      <c r="F24" s="71">
        <v>33.295000000000002</v>
      </c>
      <c r="G24" s="71">
        <v>38.97</v>
      </c>
      <c r="H24" s="71">
        <v>44.645000000000003</v>
      </c>
      <c r="I24" s="71">
        <v>50.320000000000007</v>
      </c>
      <c r="J24" s="71">
        <v>55.995000000000005</v>
      </c>
      <c r="K24" s="72">
        <v>61.670000000000009</v>
      </c>
    </row>
  </sheetData>
  <mergeCells count="2">
    <mergeCell ref="C8:K8"/>
    <mergeCell ref="C17:K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B1:K16"/>
  <sheetViews>
    <sheetView topLeftCell="B1" zoomScale="85" zoomScaleNormal="85" workbookViewId="0">
      <selection activeCell="H18" sqref="A1:XFD1048576"/>
    </sheetView>
  </sheetViews>
  <sheetFormatPr baseColWidth="10" defaultRowHeight="15" x14ac:dyDescent="0.25"/>
  <cols>
    <col min="1" max="1" width="3" customWidth="1"/>
    <col min="2" max="2" width="26.5703125" bestFit="1" customWidth="1"/>
    <col min="4" max="4" width="16" customWidth="1"/>
    <col min="5" max="5" width="14.7109375" customWidth="1"/>
    <col min="6" max="6" width="18.140625" customWidth="1"/>
    <col min="7" max="7" width="14.28515625" customWidth="1"/>
    <col min="8" max="8" width="16" customWidth="1"/>
    <col min="21" max="21" width="17" customWidth="1"/>
  </cols>
  <sheetData>
    <row r="1" spans="2:11" x14ac:dyDescent="0.25">
      <c r="F1" s="10"/>
      <c r="G1" s="11"/>
    </row>
    <row r="2" spans="2:11" x14ac:dyDescent="0.25">
      <c r="C2" s="165" t="s">
        <v>155</v>
      </c>
      <c r="D2" s="166"/>
      <c r="E2" s="166"/>
      <c r="F2" s="166"/>
      <c r="G2" s="166"/>
      <c r="H2" s="166"/>
      <c r="I2" s="166"/>
      <c r="J2" s="166"/>
      <c r="K2" s="167"/>
    </row>
    <row r="3" spans="2:11" x14ac:dyDescent="0.25">
      <c r="B3" s="64"/>
      <c r="C3" s="43">
        <v>2020</v>
      </c>
      <c r="D3" s="39">
        <v>2025</v>
      </c>
      <c r="E3" s="39">
        <v>2030</v>
      </c>
      <c r="F3" s="39">
        <v>2035</v>
      </c>
      <c r="G3" s="39">
        <v>2040</v>
      </c>
      <c r="H3" s="39">
        <v>2045</v>
      </c>
      <c r="I3" s="39">
        <v>2050</v>
      </c>
      <c r="J3" s="39">
        <v>2055</v>
      </c>
      <c r="K3" s="40">
        <v>2060</v>
      </c>
    </row>
    <row r="4" spans="2:11" x14ac:dyDescent="0.25">
      <c r="B4" s="24" t="s">
        <v>83</v>
      </c>
      <c r="C4" s="112">
        <v>6.7911399478431998E-8</v>
      </c>
      <c r="D4" s="113">
        <v>3.6368507331652098E-7</v>
      </c>
      <c r="E4" s="113">
        <v>1.5185794366146E-2</v>
      </c>
      <c r="F4" s="113">
        <v>1.63792080915151E-2</v>
      </c>
      <c r="G4" s="113">
        <v>6.0036370684651195E-2</v>
      </c>
      <c r="H4" s="113">
        <v>0.16092491880574397</v>
      </c>
      <c r="I4" s="113">
        <v>0.16719766341579098</v>
      </c>
      <c r="J4" s="113">
        <v>0.58929840731521999</v>
      </c>
      <c r="K4" s="114">
        <v>0.56248264892653299</v>
      </c>
    </row>
    <row r="5" spans="2:11" x14ac:dyDescent="0.25">
      <c r="B5" s="25" t="s">
        <v>84</v>
      </c>
      <c r="C5" s="90">
        <v>6.7304047751287999E-8</v>
      </c>
      <c r="D5" s="91">
        <v>3.4784248389402502E-5</v>
      </c>
      <c r="E5" s="91">
        <v>1.2387241863515499E-2</v>
      </c>
      <c r="F5" s="91">
        <v>5.6521405223264001E-2</v>
      </c>
      <c r="G5" s="91">
        <v>4.0040043250508001E-2</v>
      </c>
      <c r="H5" s="91">
        <v>4.8181369425073999E-2</v>
      </c>
      <c r="I5" s="91">
        <v>6.1607516105899297E-2</v>
      </c>
      <c r="J5" s="91">
        <v>0.20079582162092499</v>
      </c>
      <c r="K5" s="92">
        <v>0.199706361221031</v>
      </c>
    </row>
    <row r="6" spans="2:11" x14ac:dyDescent="0.25">
      <c r="B6" s="25" t="s">
        <v>85</v>
      </c>
      <c r="C6" s="90">
        <v>6.8907654985812003E-8</v>
      </c>
      <c r="D6" s="91">
        <v>4.2729144189530599E-7</v>
      </c>
      <c r="E6" s="91">
        <v>4.4948243840487197E-6</v>
      </c>
      <c r="F6" s="91">
        <v>8.4564151728574494E-6</v>
      </c>
      <c r="G6" s="91">
        <v>3.8188747555968697E-3</v>
      </c>
      <c r="H6" s="91">
        <v>6.9177335016371799E-2</v>
      </c>
      <c r="I6" s="91">
        <v>5.4731338696186994E-2</v>
      </c>
      <c r="J6" s="91">
        <v>0.12167803193290401</v>
      </c>
      <c r="K6" s="92">
        <v>0.21741722664316598</v>
      </c>
    </row>
    <row r="7" spans="2:11" x14ac:dyDescent="0.25">
      <c r="B7" s="25" t="s">
        <v>86</v>
      </c>
      <c r="C7" s="90">
        <v>6.8423521653286999E-8</v>
      </c>
      <c r="D7" s="91">
        <v>4.4544820001526898E-7</v>
      </c>
      <c r="E7" s="91">
        <v>6.5439790508848997E-4</v>
      </c>
      <c r="F7" s="91">
        <v>1.4572663158477698E-5</v>
      </c>
      <c r="G7" s="91">
        <v>5.5268634855835702E-4</v>
      </c>
      <c r="H7" s="91">
        <v>1.5858977825977701E-4</v>
      </c>
      <c r="I7" s="91">
        <v>7.6746818631179001E-3</v>
      </c>
      <c r="J7" s="91">
        <v>2.2962263077850101E-2</v>
      </c>
      <c r="K7" s="92">
        <v>6.2857521949319803E-2</v>
      </c>
    </row>
    <row r="8" spans="2:11" x14ac:dyDescent="0.25">
      <c r="B8" s="25" t="s">
        <v>87</v>
      </c>
      <c r="C8" s="90">
        <v>6.762886007650899E-8</v>
      </c>
      <c r="D8" s="91">
        <v>5.2961245240800501E-7</v>
      </c>
      <c r="E8" s="91">
        <v>7.4922062168610297E-4</v>
      </c>
      <c r="F8" s="91">
        <v>1.79821261828056E-5</v>
      </c>
      <c r="G8" s="91">
        <v>1.2889541904735699E-5</v>
      </c>
      <c r="H8" s="91">
        <v>1.84160819277422E-5</v>
      </c>
      <c r="I8" s="91">
        <v>1.2158026935353299E-5</v>
      </c>
      <c r="J8" s="91">
        <v>9.7519619692635294E-4</v>
      </c>
      <c r="K8" s="92">
        <v>2.6380605307292498E-2</v>
      </c>
    </row>
    <row r="9" spans="2:11" x14ac:dyDescent="0.25">
      <c r="B9" s="25" t="s">
        <v>88</v>
      </c>
      <c r="C9" s="90">
        <v>1.2777779399073898E-7</v>
      </c>
      <c r="D9" s="91">
        <v>1.0604178469223001E-6</v>
      </c>
      <c r="E9" s="91">
        <v>4.7157092072599802E-3</v>
      </c>
      <c r="F9" s="91">
        <v>1.6749037512214501E-5</v>
      </c>
      <c r="G9" s="91">
        <v>3.12045336819692E-3</v>
      </c>
      <c r="H9" s="91">
        <v>2.3569614581027899E-5</v>
      </c>
      <c r="I9" s="91">
        <v>1.3395628472668599E-5</v>
      </c>
      <c r="J9" s="91">
        <v>1.7229851323953899E-5</v>
      </c>
      <c r="K9" s="92">
        <v>1.3881535759494199E-3</v>
      </c>
    </row>
    <row r="10" spans="2:11" x14ac:dyDescent="0.25">
      <c r="B10" s="25" t="s">
        <v>89</v>
      </c>
      <c r="C10" s="90">
        <v>6.7471492105191004E-8</v>
      </c>
      <c r="D10" s="91">
        <v>3.4870777442776702E-7</v>
      </c>
      <c r="E10" s="91">
        <v>4.2368960468261192E-6</v>
      </c>
      <c r="F10" s="91">
        <v>9.1399427645284707E-6</v>
      </c>
      <c r="G10" s="91">
        <v>7.4257479510391396E-6</v>
      </c>
      <c r="H10" s="91">
        <v>9.94196013527634E-6</v>
      </c>
      <c r="I10" s="91">
        <v>7.1472916291658298E-6</v>
      </c>
      <c r="J10" s="91">
        <v>1.0495493255609401E-5</v>
      </c>
      <c r="K10" s="92">
        <v>1.2720217613476199E-5</v>
      </c>
    </row>
    <row r="11" spans="2:11" x14ac:dyDescent="0.25">
      <c r="B11" s="25" t="s">
        <v>90</v>
      </c>
      <c r="C11" s="90">
        <v>7.0668985611795997E-8</v>
      </c>
      <c r="D11" s="91">
        <v>6.4419638040364191E-7</v>
      </c>
      <c r="E11" s="91">
        <v>4.3598802049541298E-4</v>
      </c>
      <c r="F11" s="91">
        <v>1.16483302040942E-5</v>
      </c>
      <c r="G11" s="91">
        <v>4.0707934856132498E-3</v>
      </c>
      <c r="H11" s="91">
        <v>1.3052302815429499E-3</v>
      </c>
      <c r="I11" s="91">
        <v>5.2960146178194795E-3</v>
      </c>
      <c r="J11" s="91">
        <v>1.3194715983051599E-2</v>
      </c>
      <c r="K11" s="92">
        <v>9.1148302827511796E-2</v>
      </c>
    </row>
    <row r="12" spans="2:11" x14ac:dyDescent="0.25">
      <c r="B12" s="25" t="s">
        <v>91</v>
      </c>
      <c r="C12" s="90">
        <v>6.8262584491463002E-8</v>
      </c>
      <c r="D12" s="91">
        <v>5.7596502175963292E-6</v>
      </c>
      <c r="E12" s="91">
        <v>6.0147829044816105E-6</v>
      </c>
      <c r="F12" s="91">
        <v>2.38497728315712E-4</v>
      </c>
      <c r="G12" s="91">
        <v>3.6195245364694999E-4</v>
      </c>
      <c r="H12" s="91">
        <v>8.8751185669295497E-4</v>
      </c>
      <c r="I12" s="91">
        <v>4.6146125671033898E-2</v>
      </c>
      <c r="J12" s="91">
        <v>0.19267268472034699</v>
      </c>
      <c r="K12" s="92">
        <v>0.930470946053368</v>
      </c>
    </row>
    <row r="13" spans="2:11" x14ac:dyDescent="0.25">
      <c r="B13" s="25" t="s">
        <v>92</v>
      </c>
      <c r="C13" s="90">
        <v>6.0978656048962993E-8</v>
      </c>
      <c r="D13" s="91">
        <v>8.3933970531968106E-4</v>
      </c>
      <c r="E13" s="91">
        <v>7.8629944574953089E-3</v>
      </c>
      <c r="F13" s="91">
        <v>3.96248457613693E-2</v>
      </c>
      <c r="G13" s="91">
        <v>7.1607606243053887E-2</v>
      </c>
      <c r="H13" s="91">
        <v>0.25455567526706296</v>
      </c>
      <c r="I13" s="91">
        <v>0.35749227836082897</v>
      </c>
      <c r="J13" s="91">
        <v>0.76117671380236696</v>
      </c>
      <c r="K13" s="92">
        <v>1.36393584825106</v>
      </c>
    </row>
    <row r="14" spans="2:11" x14ac:dyDescent="0.25">
      <c r="B14" s="25" t="s">
        <v>93</v>
      </c>
      <c r="C14" s="90">
        <v>6.7730925554688001E-8</v>
      </c>
      <c r="D14" s="91">
        <v>3.3416328607675996E-7</v>
      </c>
      <c r="E14" s="91">
        <v>4.0919093923714501E-6</v>
      </c>
      <c r="F14" s="91">
        <v>2.2260069724537703E-3</v>
      </c>
      <c r="G14" s="91">
        <v>4.2818081586104596E-3</v>
      </c>
      <c r="H14" s="91">
        <v>3.3301893938107598E-2</v>
      </c>
      <c r="I14" s="91">
        <v>1.8696970832899798E-2</v>
      </c>
      <c r="J14" s="91">
        <v>4.0739974142184096E-2</v>
      </c>
      <c r="K14" s="92">
        <v>0.27966436787857701</v>
      </c>
    </row>
    <row r="15" spans="2:11" x14ac:dyDescent="0.25">
      <c r="B15" s="25" t="s">
        <v>94</v>
      </c>
      <c r="C15" s="93">
        <v>6.0748504685147995E-8</v>
      </c>
      <c r="D15" s="94">
        <v>5.6636558876487393E-3</v>
      </c>
      <c r="E15" s="94">
        <v>0.203684296297726</v>
      </c>
      <c r="F15" s="94">
        <v>0.51036562557280396</v>
      </c>
      <c r="G15" s="94">
        <v>0.75768580935776098</v>
      </c>
      <c r="H15" s="94">
        <v>1.07971476716112</v>
      </c>
      <c r="I15" s="94">
        <v>0.85537068963747798</v>
      </c>
      <c r="J15" s="94">
        <v>1.2736540009951101</v>
      </c>
      <c r="K15" s="95">
        <v>1.7237994988483998</v>
      </c>
    </row>
    <row r="16" spans="2:11" x14ac:dyDescent="0.25">
      <c r="B16" s="104" t="s">
        <v>36</v>
      </c>
      <c r="C16" s="93">
        <v>8.6381442643331582E-7</v>
      </c>
      <c r="D16" s="94">
        <v>6.5476930140308844E-3</v>
      </c>
      <c r="E16" s="94">
        <v>0.24569448115214054</v>
      </c>
      <c r="F16" s="94">
        <v>0.6254341378647168</v>
      </c>
      <c r="G16" s="94">
        <v>0.94559671339605267</v>
      </c>
      <c r="H16" s="94">
        <v>1.6482592191866201</v>
      </c>
      <c r="I16" s="94">
        <v>1.5742459801480924</v>
      </c>
      <c r="J16" s="94">
        <v>3.2171755351314646</v>
      </c>
      <c r="K16" s="95">
        <v>5.4592642016998214</v>
      </c>
    </row>
  </sheetData>
  <mergeCells count="1">
    <mergeCell ref="C2:K2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B2:K19"/>
  <sheetViews>
    <sheetView zoomScaleNormal="100" workbookViewId="0">
      <selection sqref="A1:XFD1048576"/>
    </sheetView>
  </sheetViews>
  <sheetFormatPr baseColWidth="10" defaultRowHeight="15" x14ac:dyDescent="0.25"/>
  <cols>
    <col min="1" max="1" width="3.5703125" customWidth="1"/>
    <col min="2" max="2" width="32" bestFit="1" customWidth="1"/>
    <col min="3" max="4" width="12.5703125" bestFit="1" customWidth="1"/>
    <col min="5" max="7" width="11.7109375" bestFit="1" customWidth="1"/>
    <col min="8" max="9" width="13.42578125" bestFit="1" customWidth="1"/>
    <col min="10" max="10" width="13" bestFit="1" customWidth="1"/>
    <col min="11" max="11" width="13.85546875" bestFit="1" customWidth="1"/>
  </cols>
  <sheetData>
    <row r="2" spans="2:11" x14ac:dyDescent="0.25">
      <c r="C2" s="165" t="s">
        <v>68</v>
      </c>
      <c r="D2" s="166"/>
      <c r="E2" s="166"/>
      <c r="F2" s="166"/>
      <c r="G2" s="166"/>
      <c r="H2" s="166"/>
      <c r="I2" s="166"/>
      <c r="J2" s="166"/>
      <c r="K2" s="167"/>
    </row>
    <row r="3" spans="2:11" x14ac:dyDescent="0.25">
      <c r="C3" s="43">
        <v>2020</v>
      </c>
      <c r="D3" s="39">
        <v>2025</v>
      </c>
      <c r="E3" s="39">
        <v>2030</v>
      </c>
      <c r="F3" s="39">
        <v>2035</v>
      </c>
      <c r="G3" s="39">
        <v>2040</v>
      </c>
      <c r="H3" s="39">
        <v>2045</v>
      </c>
      <c r="I3" s="39">
        <v>2050</v>
      </c>
      <c r="J3" s="39">
        <v>2055</v>
      </c>
      <c r="K3" s="40">
        <v>2060</v>
      </c>
    </row>
    <row r="4" spans="2:11" x14ac:dyDescent="0.25">
      <c r="B4" s="161" t="s">
        <v>57</v>
      </c>
      <c r="C4" s="115">
        <v>421.89725547890401</v>
      </c>
      <c r="D4" s="116">
        <v>91.343835299564006</v>
      </c>
      <c r="E4" s="116">
        <v>255.87772870055002</v>
      </c>
      <c r="F4" s="116">
        <v>270.70109680848202</v>
      </c>
      <c r="G4" s="116">
        <v>245.83449374527601</v>
      </c>
      <c r="H4" s="116">
        <v>233.06695690192703</v>
      </c>
      <c r="I4" s="116">
        <v>174.87082520545002</v>
      </c>
      <c r="J4" s="116">
        <v>195.79474151082499</v>
      </c>
      <c r="K4" s="117">
        <v>8.9517070000000006E-4</v>
      </c>
    </row>
    <row r="5" spans="2:11" x14ac:dyDescent="0.25">
      <c r="B5" s="23" t="s">
        <v>56</v>
      </c>
      <c r="C5" s="118">
        <v>1.834045800463</v>
      </c>
      <c r="D5" s="119">
        <v>3.4652650349859999</v>
      </c>
      <c r="E5" s="119">
        <v>7.9414390750650004</v>
      </c>
      <c r="F5" s="119">
        <v>9.3082664462500002</v>
      </c>
      <c r="G5" s="119">
        <v>7.0198841463450004</v>
      </c>
      <c r="H5" s="119">
        <v>21.464862246433</v>
      </c>
      <c r="I5" s="119">
        <v>29.71446946835</v>
      </c>
      <c r="J5" s="119">
        <v>0</v>
      </c>
      <c r="K5" s="120">
        <v>0</v>
      </c>
    </row>
    <row r="6" spans="2:11" x14ac:dyDescent="0.25">
      <c r="B6" s="23" t="s">
        <v>58</v>
      </c>
      <c r="C6" s="118">
        <v>7431.93074821965</v>
      </c>
      <c r="D6" s="119">
        <v>0</v>
      </c>
      <c r="E6" s="119">
        <v>0</v>
      </c>
      <c r="F6" s="119">
        <v>0</v>
      </c>
      <c r="G6" s="119">
        <v>0</v>
      </c>
      <c r="H6" s="119">
        <v>0</v>
      </c>
      <c r="I6" s="119">
        <v>0</v>
      </c>
      <c r="J6" s="119">
        <v>0</v>
      </c>
      <c r="K6" s="120">
        <v>0</v>
      </c>
    </row>
    <row r="7" spans="2:11" x14ac:dyDescent="0.25">
      <c r="B7" s="38" t="s">
        <v>103</v>
      </c>
      <c r="C7" s="118">
        <v>5643.5016492000004</v>
      </c>
      <c r="D7" s="119">
        <v>3063.9380948143298</v>
      </c>
      <c r="E7" s="119">
        <v>1990.0130948916499</v>
      </c>
      <c r="F7" s="119">
        <v>916.08809493425201</v>
      </c>
      <c r="G7" s="119">
        <v>0</v>
      </c>
      <c r="H7" s="119">
        <v>0</v>
      </c>
      <c r="I7" s="119">
        <v>0</v>
      </c>
      <c r="J7" s="119">
        <v>0</v>
      </c>
      <c r="K7" s="120">
        <v>0</v>
      </c>
    </row>
    <row r="8" spans="2:11" x14ac:dyDescent="0.25">
      <c r="B8" s="38" t="s">
        <v>160</v>
      </c>
      <c r="C8" s="115">
        <v>0</v>
      </c>
      <c r="D8" s="116">
        <v>-2835.2411212695124</v>
      </c>
      <c r="E8" s="116">
        <v>-7962.3652872708153</v>
      </c>
      <c r="F8" s="116">
        <v>-12945.216038235994</v>
      </c>
      <c r="G8" s="116">
        <v>-17646.554574727394</v>
      </c>
      <c r="H8" s="116">
        <v>-22026.736639700666</v>
      </c>
      <c r="I8" s="116">
        <v>-31081.065744879827</v>
      </c>
      <c r="J8" s="116">
        <v>-31708.801608977861</v>
      </c>
      <c r="K8" s="117">
        <v>-35775.836455566983</v>
      </c>
    </row>
    <row r="9" spans="2:11" x14ac:dyDescent="0.25">
      <c r="B9" s="38" t="s">
        <v>161</v>
      </c>
      <c r="C9" s="142">
        <v>13499.163698699016</v>
      </c>
      <c r="D9" s="143">
        <v>323.50607387936725</v>
      </c>
      <c r="E9" s="143">
        <v>-5708.5330246035501</v>
      </c>
      <c r="F9" s="143">
        <v>-11749.11858004701</v>
      </c>
      <c r="G9" s="143">
        <v>-17393.700196835773</v>
      </c>
      <c r="H9" s="143">
        <v>-21772.204820552306</v>
      </c>
      <c r="I9" s="143">
        <v>-30876.480450206025</v>
      </c>
      <c r="J9" s="143">
        <v>-31513.006867467036</v>
      </c>
      <c r="K9" s="144">
        <v>-35775.835560396285</v>
      </c>
    </row>
    <row r="11" spans="2:11" x14ac:dyDescent="0.25">
      <c r="C11" s="165" t="s">
        <v>162</v>
      </c>
      <c r="D11" s="166"/>
      <c r="E11" s="166"/>
      <c r="F11" s="166"/>
      <c r="G11" s="166"/>
      <c r="H11" s="166"/>
      <c r="I11" s="166"/>
      <c r="J11" s="166"/>
      <c r="K11" s="167"/>
    </row>
    <row r="12" spans="2:11" x14ac:dyDescent="0.25">
      <c r="C12" s="43">
        <v>2020</v>
      </c>
      <c r="D12" s="39">
        <v>2025</v>
      </c>
      <c r="E12" s="39">
        <v>2030</v>
      </c>
      <c r="F12" s="39">
        <v>2035</v>
      </c>
      <c r="G12" s="39">
        <v>2040</v>
      </c>
      <c r="H12" s="39">
        <v>2045</v>
      </c>
      <c r="I12" s="39">
        <v>2050</v>
      </c>
      <c r="J12" s="39">
        <v>2055</v>
      </c>
      <c r="K12" s="40">
        <v>2060</v>
      </c>
    </row>
    <row r="13" spans="2:11" x14ac:dyDescent="0.25">
      <c r="B13" s="161" t="s">
        <v>163</v>
      </c>
      <c r="C13" s="115">
        <v>679494.06439251627</v>
      </c>
      <c r="D13" s="116">
        <v>395164.31046348345</v>
      </c>
      <c r="E13" s="116">
        <v>364526.29924026562</v>
      </c>
      <c r="F13" s="116">
        <v>349010.85877139389</v>
      </c>
      <c r="G13" s="116">
        <v>339316.30155390251</v>
      </c>
      <c r="H13" s="116">
        <v>295006.94636056159</v>
      </c>
      <c r="I13" s="116">
        <v>267257.69548794877</v>
      </c>
      <c r="J13" s="116">
        <v>261983.26518075567</v>
      </c>
      <c r="K13" s="117">
        <v>245736.90652218016</v>
      </c>
    </row>
    <row r="14" spans="2:11" x14ac:dyDescent="0.25">
      <c r="B14" s="23" t="s">
        <v>160</v>
      </c>
      <c r="C14" s="145">
        <v>0</v>
      </c>
      <c r="D14" s="146">
        <v>-4540.1548322289646</v>
      </c>
      <c r="E14" s="146">
        <v>-3616.8589321459735</v>
      </c>
      <c r="F14" s="146">
        <v>-8361.527135091761</v>
      </c>
      <c r="G14" s="146">
        <v>-20237.192858156126</v>
      </c>
      <c r="H14" s="146">
        <v>-37899.161106412648</v>
      </c>
      <c r="I14" s="146">
        <v>-67624.068217013861</v>
      </c>
      <c r="J14" s="146">
        <v>-69656.81864098295</v>
      </c>
      <c r="K14" s="147">
        <v>-80635.164656112232</v>
      </c>
    </row>
    <row r="15" spans="2:11" x14ac:dyDescent="0.25">
      <c r="B15" s="134" t="s">
        <v>161</v>
      </c>
      <c r="C15" s="145">
        <v>679494.06439251627</v>
      </c>
      <c r="D15" s="146">
        <v>390624.15563125449</v>
      </c>
      <c r="E15" s="146">
        <v>360909.44030811964</v>
      </c>
      <c r="F15" s="146">
        <v>340649.33163630211</v>
      </c>
      <c r="G15" s="146">
        <v>319079.1086957464</v>
      </c>
      <c r="H15" s="146">
        <v>257107.78525414894</v>
      </c>
      <c r="I15" s="146">
        <v>199633.62727093493</v>
      </c>
      <c r="J15" s="146">
        <v>192326.44653977273</v>
      </c>
      <c r="K15" s="147">
        <v>165101.74186606793</v>
      </c>
    </row>
    <row r="17" spans="2:11" x14ac:dyDescent="0.25">
      <c r="C17" s="165" t="s">
        <v>165</v>
      </c>
      <c r="D17" s="166"/>
      <c r="E17" s="166"/>
      <c r="F17" s="166"/>
      <c r="G17" s="166"/>
      <c r="H17" s="166"/>
      <c r="I17" s="166"/>
      <c r="J17" s="166"/>
      <c r="K17" s="167"/>
    </row>
    <row r="18" spans="2:11" x14ac:dyDescent="0.25">
      <c r="B18" s="164" t="s">
        <v>164</v>
      </c>
      <c r="C18" s="142">
        <v>692993.22809121525</v>
      </c>
      <c r="D18" s="143">
        <v>390947.66170513385</v>
      </c>
      <c r="E18" s="143">
        <v>355200.90728351608</v>
      </c>
      <c r="F18" s="143">
        <v>328900.21305625513</v>
      </c>
      <c r="G18" s="143">
        <v>301685.4084989106</v>
      </c>
      <c r="H18" s="143">
        <v>235335.58043359662</v>
      </c>
      <c r="I18" s="143">
        <v>168757.1468207289</v>
      </c>
      <c r="J18" s="143">
        <v>160813.43967230569</v>
      </c>
      <c r="K18" s="144">
        <v>129325.90630567164</v>
      </c>
    </row>
    <row r="19" spans="2:11" x14ac:dyDescent="0.25">
      <c r="B19" s="38" t="s">
        <v>168</v>
      </c>
      <c r="C19" s="148" t="s">
        <v>167</v>
      </c>
      <c r="D19" s="122">
        <v>4.3621423689358937E-2</v>
      </c>
      <c r="E19" s="122">
        <v>0.16874368585571656</v>
      </c>
      <c r="F19" s="122">
        <v>0.22967399655870413</v>
      </c>
      <c r="G19" s="122">
        <v>0.2074084935974837</v>
      </c>
      <c r="H19" s="122">
        <v>6.5991197737639729E-2</v>
      </c>
      <c r="I19" s="122">
        <v>0.13674511603250036</v>
      </c>
      <c r="J19" s="122">
        <v>8.0129642919598135E-2</v>
      </c>
      <c r="K19" s="123">
        <v>0.13538147441699516</v>
      </c>
    </row>
  </sheetData>
  <mergeCells count="3">
    <mergeCell ref="C2:K2"/>
    <mergeCell ref="C11:K11"/>
    <mergeCell ref="C17:K1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4:J7"/>
  <sheetViews>
    <sheetView zoomScale="70" zoomScaleNormal="70" workbookViewId="0">
      <selection activeCell="B12" sqref="A1:XFD1048576"/>
    </sheetView>
  </sheetViews>
  <sheetFormatPr baseColWidth="10" defaultRowHeight="15" x14ac:dyDescent="0.25"/>
  <cols>
    <col min="1" max="1" width="18.7109375" bestFit="1" customWidth="1"/>
  </cols>
  <sheetData>
    <row r="4" spans="1:10" x14ac:dyDescent="0.25">
      <c r="B4" s="165" t="s">
        <v>158</v>
      </c>
      <c r="C4" s="166"/>
      <c r="D4" s="166"/>
      <c r="E4" s="166"/>
      <c r="F4" s="166"/>
      <c r="G4" s="166"/>
      <c r="H4" s="166"/>
      <c r="I4" s="166"/>
      <c r="J4" s="167"/>
    </row>
    <row r="5" spans="1:10" x14ac:dyDescent="0.25">
      <c r="B5" s="43">
        <v>2020</v>
      </c>
      <c r="C5" s="39">
        <v>2025</v>
      </c>
      <c r="D5" s="39">
        <v>2030</v>
      </c>
      <c r="E5" s="39">
        <v>2035</v>
      </c>
      <c r="F5" s="39">
        <v>2040</v>
      </c>
      <c r="G5" s="39">
        <v>2045</v>
      </c>
      <c r="H5" s="39">
        <v>2050</v>
      </c>
      <c r="I5" s="39">
        <v>2055</v>
      </c>
      <c r="J5" s="40">
        <v>2060</v>
      </c>
    </row>
    <row r="6" spans="1:10" x14ac:dyDescent="0.25">
      <c r="A6" s="106" t="s">
        <v>157</v>
      </c>
      <c r="B6" s="34">
        <v>30.158614099000001</v>
      </c>
      <c r="C6" s="34">
        <v>30.944794694999999</v>
      </c>
      <c r="D6" s="34">
        <v>30.340483838000001</v>
      </c>
      <c r="E6" s="34">
        <v>44.869655191</v>
      </c>
      <c r="F6" s="34">
        <v>53.321112647</v>
      </c>
      <c r="G6" s="34">
        <v>56.493485028000002</v>
      </c>
      <c r="H6" s="34">
        <v>69.494834772999994</v>
      </c>
      <c r="I6" s="34">
        <v>77.048733932999994</v>
      </c>
      <c r="J6" s="35">
        <v>63.892783475000002</v>
      </c>
    </row>
    <row r="7" spans="1:10" x14ac:dyDescent="0.25">
      <c r="A7" s="108" t="s">
        <v>166</v>
      </c>
      <c r="B7" s="32">
        <v>31.025066781</v>
      </c>
      <c r="C7" s="32">
        <v>33.319938016999998</v>
      </c>
      <c r="D7" s="32">
        <v>32.575124895000002</v>
      </c>
      <c r="E7" s="32">
        <v>46.767054256000002</v>
      </c>
      <c r="F7" s="32">
        <v>54.255555440999998</v>
      </c>
      <c r="G7" s="32">
        <v>57.355604937000003</v>
      </c>
      <c r="H7" s="32">
        <v>69.591304789000006</v>
      </c>
      <c r="I7" s="32">
        <v>76.972426863999999</v>
      </c>
      <c r="J7" s="33">
        <v>63.690060518999999</v>
      </c>
    </row>
  </sheetData>
  <mergeCells count="1">
    <mergeCell ref="B4:J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Views>
    <sheetView workbookViewId="0">
      <selection activeCell="F17" sqref="F17"/>
    </sheetView>
  </sheetViews>
  <sheetFormatPr baseColWidth="10" defaultRowHeight="15" x14ac:dyDescent="0.25"/>
  <cols>
    <col min="1" max="1" width="48.28515625" customWidth="1"/>
    <col min="3" max="3" width="13.5703125" bestFit="1" customWidth="1"/>
    <col min="4" max="5" width="12.5703125" bestFit="1" customWidth="1"/>
    <col min="6" max="6" width="11.7109375" bestFit="1" customWidth="1"/>
    <col min="7" max="7" width="13.5703125" bestFit="1" customWidth="1"/>
    <col min="8" max="8" width="12.5703125" bestFit="1" customWidth="1"/>
    <col min="9" max="9" width="11.7109375" bestFit="1" customWidth="1"/>
    <col min="10" max="11" width="12.5703125" bestFit="1" customWidth="1"/>
    <col min="12" max="12" width="11.7109375" bestFit="1" customWidth="1"/>
    <col min="13" max="15" width="12.5703125" bestFit="1" customWidth="1"/>
  </cols>
  <sheetData>
    <row r="1" spans="1:28" x14ac:dyDescent="0.25">
      <c r="C1" s="1" t="s">
        <v>39</v>
      </c>
      <c r="D1" s="1" t="s">
        <v>40</v>
      </c>
      <c r="E1" s="1" t="s">
        <v>0</v>
      </c>
      <c r="F1" s="1" t="s">
        <v>7</v>
      </c>
      <c r="G1" s="1" t="s">
        <v>23</v>
      </c>
      <c r="H1" s="1" t="s">
        <v>41</v>
      </c>
      <c r="I1" s="1" t="s">
        <v>8</v>
      </c>
      <c r="J1" s="1" t="s">
        <v>42</v>
      </c>
      <c r="K1" s="1" t="s">
        <v>1</v>
      </c>
      <c r="L1" s="1" t="s">
        <v>43</v>
      </c>
      <c r="M1" s="1" t="s">
        <v>9</v>
      </c>
      <c r="N1" s="1" t="s">
        <v>44</v>
      </c>
      <c r="O1" s="1" t="s">
        <v>45</v>
      </c>
      <c r="P1" s="1" t="s">
        <v>2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46</v>
      </c>
      <c r="V1" s="1" t="s">
        <v>14</v>
      </c>
      <c r="W1" s="1" t="s">
        <v>15</v>
      </c>
      <c r="X1" s="1" t="s">
        <v>55</v>
      </c>
      <c r="Y1" s="1" t="s">
        <v>16</v>
      </c>
      <c r="Z1" s="1" t="s">
        <v>17</v>
      </c>
      <c r="AA1" s="1" t="s">
        <v>18</v>
      </c>
      <c r="AB1" s="1" t="s">
        <v>19</v>
      </c>
    </row>
    <row r="2" spans="1:28" x14ac:dyDescent="0.25">
      <c r="A2" s="6" t="s">
        <v>24</v>
      </c>
      <c r="B2" s="6" t="s">
        <v>25</v>
      </c>
      <c r="C2" s="7" t="e">
        <f>#REF!/1000000000000</f>
        <v>#REF!</v>
      </c>
      <c r="D2" s="7" t="e">
        <f>#REF!/1000000000000</f>
        <v>#REF!</v>
      </c>
      <c r="E2" s="7" t="e">
        <f>#REF!/1000000000000</f>
        <v>#REF!</v>
      </c>
      <c r="F2" s="7" t="e">
        <f>#REF!/1000000000000</f>
        <v>#REF!</v>
      </c>
      <c r="G2" s="7" t="e">
        <f>#REF!/1000000000000</f>
        <v>#REF!</v>
      </c>
      <c r="H2" s="7" t="e">
        <f>#REF!/1000000000000</f>
        <v>#REF!</v>
      </c>
      <c r="I2" s="7" t="e">
        <f>#REF!/1000000000000</f>
        <v>#REF!</v>
      </c>
      <c r="J2" s="7" t="e">
        <f>#REF!/1000000000000</f>
        <v>#REF!</v>
      </c>
      <c r="K2" s="7" t="e">
        <f>#REF!/1000000000000</f>
        <v>#REF!</v>
      </c>
      <c r="L2" s="7" t="e">
        <f>#REF!/1000000000000</f>
        <v>#REF!</v>
      </c>
      <c r="M2" s="7" t="e">
        <f>#REF!/1000000000000</f>
        <v>#REF!</v>
      </c>
      <c r="N2" s="7" t="e">
        <f>#REF!/1000000000000</f>
        <v>#REF!</v>
      </c>
      <c r="O2" s="7" t="e">
        <f>#REF!/1000000000000</f>
        <v>#REF!</v>
      </c>
      <c r="P2" s="7" t="e">
        <f>#REF!/1000000000000</f>
        <v>#REF!</v>
      </c>
      <c r="Q2" s="7" t="e">
        <f>#REF!/1000000000000</f>
        <v>#REF!</v>
      </c>
      <c r="R2" s="7" t="e">
        <f>#REF!/1000000000000</f>
        <v>#REF!</v>
      </c>
      <c r="S2" s="7" t="e">
        <f>#REF!/1000000000000</f>
        <v>#REF!</v>
      </c>
      <c r="T2" s="7" t="e">
        <f>#REF!/1000000000000</f>
        <v>#REF!</v>
      </c>
      <c r="U2" s="7" t="e">
        <f>#REF!/1000000000000</f>
        <v>#REF!</v>
      </c>
      <c r="V2" s="7" t="e">
        <f>#REF!/1000000000000</f>
        <v>#REF!</v>
      </c>
      <c r="W2" s="7" t="e">
        <f>#REF!/1000000000000</f>
        <v>#REF!</v>
      </c>
      <c r="X2" s="7" t="e">
        <f>#REF!/1000000000000</f>
        <v>#REF!</v>
      </c>
      <c r="Y2" s="7" t="e">
        <f>#REF!/1000000000000</f>
        <v>#REF!</v>
      </c>
      <c r="Z2" s="7" t="e">
        <f>#REF!/1000000000000</f>
        <v>#REF!</v>
      </c>
      <c r="AA2" s="7" t="e">
        <f>#REF!/1000000000000</f>
        <v>#REF!</v>
      </c>
      <c r="AB2" s="7" t="e">
        <f>#REF!/1000000000000</f>
        <v>#REF!</v>
      </c>
    </row>
    <row r="3" spans="1:28" x14ac:dyDescent="0.25">
      <c r="A3" s="6" t="s">
        <v>26</v>
      </c>
      <c r="B3" s="6" t="s">
        <v>25</v>
      </c>
      <c r="C3" s="7" t="e">
        <f>#REF!/1000000000000</f>
        <v>#REF!</v>
      </c>
      <c r="D3" s="7" t="e">
        <f>#REF!/1000000000000</f>
        <v>#REF!</v>
      </c>
      <c r="E3" s="7" t="e">
        <f>#REF!/1000000000000</f>
        <v>#REF!</v>
      </c>
      <c r="F3" s="7" t="e">
        <f>#REF!/1000000000000</f>
        <v>#REF!</v>
      </c>
      <c r="G3" s="7" t="e">
        <f>#REF!/1000000000000</f>
        <v>#REF!</v>
      </c>
      <c r="H3" s="7" t="e">
        <f>#REF!/1000000000000</f>
        <v>#REF!</v>
      </c>
      <c r="I3" s="7" t="e">
        <f>#REF!/1000000000000</f>
        <v>#REF!</v>
      </c>
      <c r="J3" s="7" t="e">
        <f>#REF!/1000000000000</f>
        <v>#REF!</v>
      </c>
      <c r="K3" s="7" t="e">
        <f>#REF!/1000000000000</f>
        <v>#REF!</v>
      </c>
      <c r="L3" s="7" t="e">
        <f>#REF!/1000000000000</f>
        <v>#REF!</v>
      </c>
      <c r="M3" s="7" t="e">
        <f>#REF!/1000000000000</f>
        <v>#REF!</v>
      </c>
      <c r="N3" s="7" t="e">
        <f>#REF!/1000000000000</f>
        <v>#REF!</v>
      </c>
      <c r="O3" s="7" t="e">
        <f>#REF!/1000000000000</f>
        <v>#REF!</v>
      </c>
      <c r="P3" s="7" t="e">
        <f>#REF!/1000000000000</f>
        <v>#REF!</v>
      </c>
      <c r="Q3" s="7" t="e">
        <f>#REF!/1000000000000</f>
        <v>#REF!</v>
      </c>
      <c r="R3" s="7" t="e">
        <f>#REF!/1000000000000</f>
        <v>#REF!</v>
      </c>
      <c r="S3" s="7" t="e">
        <f>#REF!/1000000000000</f>
        <v>#REF!</v>
      </c>
      <c r="T3" s="7" t="e">
        <f>#REF!/1000000000000</f>
        <v>#REF!</v>
      </c>
      <c r="U3" s="7" t="e">
        <f>#REF!/1000000000000</f>
        <v>#REF!</v>
      </c>
      <c r="V3" s="7" t="e">
        <f>#REF!/1000000000000</f>
        <v>#REF!</v>
      </c>
      <c r="W3" s="7" t="e">
        <f>#REF!/1000000000000</f>
        <v>#REF!</v>
      </c>
      <c r="X3" s="7" t="e">
        <f>#REF!/1000000000000</f>
        <v>#REF!</v>
      </c>
      <c r="Y3" s="7" t="e">
        <f>#REF!/1000000000000</f>
        <v>#REF!</v>
      </c>
      <c r="Z3" s="7" t="e">
        <f>#REF!/1000000000000</f>
        <v>#REF!</v>
      </c>
      <c r="AA3" s="7" t="e">
        <f>#REF!/1000000000000</f>
        <v>#REF!</v>
      </c>
      <c r="AB3" s="7" t="e">
        <f>#REF!/1000000000000</f>
        <v>#REF!</v>
      </c>
    </row>
    <row r="4" spans="1:28" x14ac:dyDescent="0.25">
      <c r="A4" s="6" t="s">
        <v>27</v>
      </c>
      <c r="B4" s="6" t="s">
        <v>25</v>
      </c>
      <c r="C4" s="7" t="e">
        <f>#REF!/1000000000000</f>
        <v>#REF!</v>
      </c>
      <c r="D4" s="7" t="e">
        <f>#REF!/1000000000000</f>
        <v>#REF!</v>
      </c>
      <c r="E4" s="7" t="e">
        <f>#REF!/1000000000000</f>
        <v>#REF!</v>
      </c>
      <c r="F4" s="7" t="e">
        <f>#REF!/1000000000000</f>
        <v>#REF!</v>
      </c>
      <c r="G4" s="7" t="e">
        <f>#REF!/1000000000000</f>
        <v>#REF!</v>
      </c>
      <c r="H4" s="7" t="e">
        <f>#REF!/1000000000000</f>
        <v>#REF!</v>
      </c>
      <c r="I4" s="7" t="e">
        <f>#REF!/1000000000000</f>
        <v>#REF!</v>
      </c>
      <c r="J4" s="7" t="e">
        <f>#REF!/1000000000000</f>
        <v>#REF!</v>
      </c>
      <c r="K4" s="7" t="e">
        <f>#REF!/1000000000000</f>
        <v>#REF!</v>
      </c>
      <c r="L4" s="7" t="e">
        <f>#REF!/1000000000000</f>
        <v>#REF!</v>
      </c>
      <c r="M4" s="7" t="e">
        <f>#REF!/1000000000000</f>
        <v>#REF!</v>
      </c>
      <c r="N4" s="7" t="e">
        <f>#REF!/1000000000000</f>
        <v>#REF!</v>
      </c>
      <c r="O4" s="7" t="e">
        <f>#REF!/1000000000000</f>
        <v>#REF!</v>
      </c>
      <c r="P4" s="7" t="e">
        <f>#REF!/1000000000000</f>
        <v>#REF!</v>
      </c>
      <c r="Q4" s="7" t="e">
        <f>#REF!/1000000000000</f>
        <v>#REF!</v>
      </c>
      <c r="R4" s="7" t="e">
        <f>#REF!/1000000000000</f>
        <v>#REF!</v>
      </c>
      <c r="S4" s="7" t="e">
        <f>#REF!/1000000000000</f>
        <v>#REF!</v>
      </c>
      <c r="T4" s="7" t="e">
        <f>#REF!/1000000000000</f>
        <v>#REF!</v>
      </c>
      <c r="U4" s="7" t="e">
        <f>#REF!/1000000000000</f>
        <v>#REF!</v>
      </c>
      <c r="V4" s="7" t="e">
        <f>#REF!/1000000000000</f>
        <v>#REF!</v>
      </c>
      <c r="W4" s="7" t="e">
        <f>#REF!/1000000000000</f>
        <v>#REF!</v>
      </c>
      <c r="X4" s="7" t="e">
        <f>#REF!/1000000000000</f>
        <v>#REF!</v>
      </c>
      <c r="Y4" s="7" t="e">
        <f>#REF!/1000000000000</f>
        <v>#REF!</v>
      </c>
      <c r="Z4" s="7" t="e">
        <f>#REF!/1000000000000</f>
        <v>#REF!</v>
      </c>
      <c r="AA4" s="7" t="e">
        <f>#REF!/1000000000000</f>
        <v>#REF!</v>
      </c>
      <c r="AB4" s="7" t="e">
        <f>#REF!/1000000000000</f>
        <v>#REF!</v>
      </c>
    </row>
    <row r="5" spans="1:28" x14ac:dyDescent="0.25">
      <c r="A5" s="6" t="s">
        <v>28</v>
      </c>
      <c r="B5" s="6" t="s">
        <v>25</v>
      </c>
      <c r="C5" s="7" t="e">
        <f>#REF!/1000000000000</f>
        <v>#REF!</v>
      </c>
      <c r="D5" s="7" t="e">
        <f>#REF!/1000000000000</f>
        <v>#REF!</v>
      </c>
      <c r="E5" s="7" t="e">
        <f>#REF!/1000000000000</f>
        <v>#REF!</v>
      </c>
      <c r="F5" s="7" t="e">
        <f>#REF!/1000000000000</f>
        <v>#REF!</v>
      </c>
      <c r="G5" s="7" t="e">
        <f>#REF!/1000000000000</f>
        <v>#REF!</v>
      </c>
      <c r="H5" s="7" t="e">
        <f>#REF!/1000000000000</f>
        <v>#REF!</v>
      </c>
      <c r="I5" s="7" t="e">
        <f>#REF!/1000000000000</f>
        <v>#REF!</v>
      </c>
      <c r="J5" s="7" t="e">
        <f>#REF!/1000000000000</f>
        <v>#REF!</v>
      </c>
      <c r="K5" s="7" t="e">
        <f>#REF!/1000000000000</f>
        <v>#REF!</v>
      </c>
      <c r="L5" s="7" t="e">
        <f>#REF!/1000000000000</f>
        <v>#REF!</v>
      </c>
      <c r="M5" s="7" t="e">
        <f>#REF!/1000000000000</f>
        <v>#REF!</v>
      </c>
      <c r="N5" s="7" t="e">
        <f>#REF!/1000000000000</f>
        <v>#REF!</v>
      </c>
      <c r="O5" s="7" t="e">
        <f>#REF!/1000000000000</f>
        <v>#REF!</v>
      </c>
      <c r="P5" s="7" t="e">
        <f>#REF!/1000000000000</f>
        <v>#REF!</v>
      </c>
      <c r="Q5" s="7" t="e">
        <f>#REF!/1000000000000</f>
        <v>#REF!</v>
      </c>
      <c r="R5" s="7" t="e">
        <f>#REF!/1000000000000</f>
        <v>#REF!</v>
      </c>
      <c r="S5" s="7" t="e">
        <f>#REF!/1000000000000</f>
        <v>#REF!</v>
      </c>
      <c r="T5" s="7" t="e">
        <f>#REF!/1000000000000</f>
        <v>#REF!</v>
      </c>
      <c r="U5" s="7" t="e">
        <f>#REF!/1000000000000</f>
        <v>#REF!</v>
      </c>
      <c r="V5" s="7" t="e">
        <f>#REF!/1000000000000</f>
        <v>#REF!</v>
      </c>
      <c r="W5" s="7" t="e">
        <f>#REF!/1000000000000</f>
        <v>#REF!</v>
      </c>
      <c r="X5" s="7" t="e">
        <f>#REF!/1000000000000</f>
        <v>#REF!</v>
      </c>
      <c r="Y5" s="7" t="e">
        <f>#REF!/1000000000000</f>
        <v>#REF!</v>
      </c>
      <c r="Z5" s="7" t="e">
        <f>#REF!/1000000000000</f>
        <v>#REF!</v>
      </c>
      <c r="AA5" s="7" t="e">
        <f>#REF!/1000000000000</f>
        <v>#REF!</v>
      </c>
      <c r="AB5" s="7" t="e">
        <f>#REF!/1000000000000</f>
        <v>#REF!</v>
      </c>
    </row>
    <row r="6" spans="1:28" x14ac:dyDescent="0.25">
      <c r="A6" s="6" t="s">
        <v>29</v>
      </c>
      <c r="B6" s="6" t="s">
        <v>25</v>
      </c>
      <c r="C6" s="7" t="e">
        <f>#REF!/1000000000000</f>
        <v>#REF!</v>
      </c>
      <c r="D6" s="7" t="e">
        <f>#REF!/1000000000000</f>
        <v>#REF!</v>
      </c>
      <c r="E6" s="7" t="e">
        <f>#REF!/1000000000000</f>
        <v>#REF!</v>
      </c>
      <c r="F6" s="7" t="e">
        <f>#REF!/1000000000000</f>
        <v>#REF!</v>
      </c>
      <c r="G6" s="7" t="e">
        <f>#REF!/1000000000000</f>
        <v>#REF!</v>
      </c>
      <c r="H6" s="7" t="e">
        <f>#REF!/1000000000000</f>
        <v>#REF!</v>
      </c>
      <c r="I6" s="7" t="e">
        <f>#REF!/1000000000000</f>
        <v>#REF!</v>
      </c>
      <c r="J6" s="7" t="e">
        <f>#REF!/1000000000000</f>
        <v>#REF!</v>
      </c>
      <c r="K6" s="7" t="e">
        <f>#REF!/1000000000000</f>
        <v>#REF!</v>
      </c>
      <c r="L6" s="7" t="e">
        <f>#REF!/1000000000000</f>
        <v>#REF!</v>
      </c>
      <c r="M6" s="7" t="e">
        <f>#REF!/1000000000000</f>
        <v>#REF!</v>
      </c>
      <c r="N6" s="7" t="e">
        <f>#REF!/1000000000000</f>
        <v>#REF!</v>
      </c>
      <c r="O6" s="7" t="e">
        <f>#REF!/1000000000000</f>
        <v>#REF!</v>
      </c>
      <c r="P6" s="7" t="e">
        <f>#REF!/1000000000000</f>
        <v>#REF!</v>
      </c>
      <c r="Q6" s="7" t="e">
        <f>#REF!/1000000000000</f>
        <v>#REF!</v>
      </c>
      <c r="R6" s="7" t="e">
        <f>#REF!/1000000000000</f>
        <v>#REF!</v>
      </c>
      <c r="S6" s="7" t="e">
        <f>#REF!/1000000000000</f>
        <v>#REF!</v>
      </c>
      <c r="T6" s="7" t="e">
        <f>#REF!/1000000000000</f>
        <v>#REF!</v>
      </c>
      <c r="U6" s="7" t="e">
        <f>#REF!/1000000000000</f>
        <v>#REF!</v>
      </c>
      <c r="V6" s="7" t="e">
        <f>#REF!/1000000000000</f>
        <v>#REF!</v>
      </c>
      <c r="W6" s="7" t="e">
        <f>#REF!/1000000000000</f>
        <v>#REF!</v>
      </c>
      <c r="X6" s="7" t="e">
        <f>#REF!/1000000000000</f>
        <v>#REF!</v>
      </c>
      <c r="Y6" s="7" t="e">
        <f>#REF!/1000000000000</f>
        <v>#REF!</v>
      </c>
      <c r="Z6" s="7" t="e">
        <f>#REF!/1000000000000</f>
        <v>#REF!</v>
      </c>
      <c r="AA6" s="7" t="e">
        <f>#REF!/1000000000000</f>
        <v>#REF!</v>
      </c>
      <c r="AB6" s="7" t="e">
        <f>#REF!/1000000000000</f>
        <v>#REF!</v>
      </c>
    </row>
    <row r="7" spans="1:28" x14ac:dyDescent="0.25">
      <c r="A7" s="6" t="s">
        <v>30</v>
      </c>
      <c r="B7" s="6" t="s">
        <v>25</v>
      </c>
      <c r="C7" s="7" t="e">
        <f>#REF!/1000000000000</f>
        <v>#REF!</v>
      </c>
      <c r="D7" s="7" t="e">
        <f>#REF!/1000000000000</f>
        <v>#REF!</v>
      </c>
      <c r="E7" s="7" t="e">
        <f>#REF!/1000000000000</f>
        <v>#REF!</v>
      </c>
      <c r="F7" s="7" t="e">
        <f>#REF!/1000000000000</f>
        <v>#REF!</v>
      </c>
      <c r="G7" s="7" t="e">
        <f>#REF!/1000000000000</f>
        <v>#REF!</v>
      </c>
      <c r="H7" s="7" t="e">
        <f>#REF!/1000000000000</f>
        <v>#REF!</v>
      </c>
      <c r="I7" s="7" t="e">
        <f>#REF!/1000000000000</f>
        <v>#REF!</v>
      </c>
      <c r="J7" s="7" t="e">
        <f>#REF!/1000000000000</f>
        <v>#REF!</v>
      </c>
      <c r="K7" s="7" t="e">
        <f>#REF!/1000000000000</f>
        <v>#REF!</v>
      </c>
      <c r="L7" s="7" t="e">
        <f>#REF!/1000000000000</f>
        <v>#REF!</v>
      </c>
      <c r="M7" s="7" t="e">
        <f>#REF!/1000000000000</f>
        <v>#REF!</v>
      </c>
      <c r="N7" s="7" t="e">
        <f>#REF!/1000000000000</f>
        <v>#REF!</v>
      </c>
      <c r="O7" s="7" t="e">
        <f>#REF!/1000000000000</f>
        <v>#REF!</v>
      </c>
      <c r="P7" s="7" t="e">
        <f>#REF!/1000000000000</f>
        <v>#REF!</v>
      </c>
      <c r="Q7" s="7" t="e">
        <f>#REF!/1000000000000</f>
        <v>#REF!</v>
      </c>
      <c r="R7" s="7" t="e">
        <f>#REF!/1000000000000</f>
        <v>#REF!</v>
      </c>
      <c r="S7" s="7" t="e">
        <f>#REF!/1000000000000</f>
        <v>#REF!</v>
      </c>
      <c r="T7" s="7" t="e">
        <f>#REF!/1000000000000</f>
        <v>#REF!</v>
      </c>
      <c r="U7" s="7" t="e">
        <f>#REF!/1000000000000</f>
        <v>#REF!</v>
      </c>
      <c r="V7" s="7" t="e">
        <f>#REF!/1000000000000</f>
        <v>#REF!</v>
      </c>
      <c r="W7" s="7" t="e">
        <f>#REF!/1000000000000</f>
        <v>#REF!</v>
      </c>
      <c r="X7" s="7" t="e">
        <f>#REF!/1000000000000</f>
        <v>#REF!</v>
      </c>
      <c r="Y7" s="7" t="e">
        <f>#REF!/1000000000000</f>
        <v>#REF!</v>
      </c>
      <c r="Z7" s="7" t="e">
        <f>#REF!/1000000000000</f>
        <v>#REF!</v>
      </c>
      <c r="AA7" s="7" t="e">
        <f>#REF!/1000000000000</f>
        <v>#REF!</v>
      </c>
      <c r="AB7" s="7" t="e">
        <f>#REF!/1000000000000</f>
        <v>#REF!</v>
      </c>
    </row>
    <row r="8" spans="1:28" x14ac:dyDescent="0.25">
      <c r="A8" s="6" t="s">
        <v>31</v>
      </c>
      <c r="B8" s="6" t="s">
        <v>25</v>
      </c>
      <c r="C8" s="7" t="e">
        <f>#REF!/1000000000000</f>
        <v>#REF!</v>
      </c>
      <c r="D8" s="7" t="e">
        <f>#REF!/1000000000000</f>
        <v>#REF!</v>
      </c>
      <c r="E8" s="7" t="e">
        <f>#REF!/1000000000000</f>
        <v>#REF!</v>
      </c>
      <c r="F8" s="7" t="e">
        <f>#REF!/1000000000000</f>
        <v>#REF!</v>
      </c>
      <c r="G8" s="7" t="e">
        <f>#REF!/1000000000000</f>
        <v>#REF!</v>
      </c>
      <c r="H8" s="7" t="e">
        <f>#REF!/1000000000000</f>
        <v>#REF!</v>
      </c>
      <c r="I8" s="7" t="e">
        <f>#REF!/1000000000000</f>
        <v>#REF!</v>
      </c>
      <c r="J8" s="7" t="e">
        <f>#REF!/1000000000000</f>
        <v>#REF!</v>
      </c>
      <c r="K8" s="7" t="e">
        <f>#REF!/1000000000000</f>
        <v>#REF!</v>
      </c>
      <c r="L8" s="7" t="e">
        <f>#REF!/1000000000000</f>
        <v>#REF!</v>
      </c>
      <c r="M8" s="7" t="e">
        <f>#REF!/1000000000000</f>
        <v>#REF!</v>
      </c>
      <c r="N8" s="7" t="e">
        <f>#REF!/1000000000000</f>
        <v>#REF!</v>
      </c>
      <c r="O8" s="7" t="e">
        <f>#REF!/1000000000000</f>
        <v>#REF!</v>
      </c>
      <c r="P8" s="7" t="e">
        <f>#REF!/1000000000000</f>
        <v>#REF!</v>
      </c>
      <c r="Q8" s="7" t="e">
        <f>#REF!/1000000000000</f>
        <v>#REF!</v>
      </c>
      <c r="R8" s="7" t="e">
        <f>#REF!/1000000000000</f>
        <v>#REF!</v>
      </c>
      <c r="S8" s="7" t="e">
        <f>#REF!/1000000000000</f>
        <v>#REF!</v>
      </c>
      <c r="T8" s="7" t="e">
        <f>#REF!/1000000000000</f>
        <v>#REF!</v>
      </c>
      <c r="U8" s="7" t="e">
        <f>#REF!/1000000000000</f>
        <v>#REF!</v>
      </c>
      <c r="V8" s="7" t="e">
        <f>#REF!/1000000000000</f>
        <v>#REF!</v>
      </c>
      <c r="W8" s="7" t="e">
        <f>#REF!/1000000000000</f>
        <v>#REF!</v>
      </c>
      <c r="X8" s="7" t="e">
        <f>#REF!/1000000000000</f>
        <v>#REF!</v>
      </c>
      <c r="Y8" s="7" t="e">
        <f>#REF!/1000000000000</f>
        <v>#REF!</v>
      </c>
      <c r="Z8" s="7" t="e">
        <f>#REF!/1000000000000</f>
        <v>#REF!</v>
      </c>
      <c r="AA8" s="7" t="e">
        <f>#REF!/1000000000000</f>
        <v>#REF!</v>
      </c>
      <c r="AB8" s="7" t="e">
        <f>#REF!/1000000000000</f>
        <v>#REF!</v>
      </c>
    </row>
    <row r="9" spans="1:28" x14ac:dyDescent="0.25">
      <c r="A9" s="6" t="s">
        <v>32</v>
      </c>
      <c r="B9" s="6" t="s">
        <v>25</v>
      </c>
      <c r="C9" s="7" t="e">
        <f>#REF!/1000000000000</f>
        <v>#REF!</v>
      </c>
      <c r="D9" s="7" t="e">
        <f>#REF!/1000000000000</f>
        <v>#REF!</v>
      </c>
      <c r="E9" s="7" t="e">
        <f>#REF!/1000000000000</f>
        <v>#REF!</v>
      </c>
      <c r="F9" s="7" t="e">
        <f>#REF!/1000000000000</f>
        <v>#REF!</v>
      </c>
      <c r="G9" s="7" t="e">
        <f>#REF!/1000000000000</f>
        <v>#REF!</v>
      </c>
      <c r="H9" s="7" t="e">
        <f>#REF!/1000000000000</f>
        <v>#REF!</v>
      </c>
      <c r="I9" s="7" t="e">
        <f>#REF!/1000000000000</f>
        <v>#REF!</v>
      </c>
      <c r="J9" s="7" t="e">
        <f>#REF!/1000000000000</f>
        <v>#REF!</v>
      </c>
      <c r="K9" s="7" t="e">
        <f>#REF!/1000000000000</f>
        <v>#REF!</v>
      </c>
      <c r="L9" s="7" t="e">
        <f>#REF!/1000000000000</f>
        <v>#REF!</v>
      </c>
      <c r="M9" s="7" t="e">
        <f>#REF!/1000000000000</f>
        <v>#REF!</v>
      </c>
      <c r="N9" s="7" t="e">
        <f>#REF!/1000000000000</f>
        <v>#REF!</v>
      </c>
      <c r="O9" s="7" t="e">
        <f>#REF!/1000000000000</f>
        <v>#REF!</v>
      </c>
      <c r="P9" s="7" t="e">
        <f>#REF!/1000000000000</f>
        <v>#REF!</v>
      </c>
      <c r="Q9" s="7" t="e">
        <f>#REF!/1000000000000</f>
        <v>#REF!</v>
      </c>
      <c r="R9" s="7" t="e">
        <f>#REF!/1000000000000</f>
        <v>#REF!</v>
      </c>
      <c r="S9" s="7" t="e">
        <f>#REF!/1000000000000</f>
        <v>#REF!</v>
      </c>
      <c r="T9" s="7" t="e">
        <f>#REF!/1000000000000</f>
        <v>#REF!</v>
      </c>
      <c r="U9" s="7" t="e">
        <f>#REF!/1000000000000</f>
        <v>#REF!</v>
      </c>
      <c r="V9" s="7" t="e">
        <f>#REF!/1000000000000</f>
        <v>#REF!</v>
      </c>
      <c r="W9" s="7" t="e">
        <f>#REF!/1000000000000</f>
        <v>#REF!</v>
      </c>
      <c r="X9" s="7" t="e">
        <f>#REF!/1000000000000</f>
        <v>#REF!</v>
      </c>
      <c r="Y9" s="7" t="e">
        <f>#REF!/1000000000000</f>
        <v>#REF!</v>
      </c>
      <c r="Z9" s="7" t="e">
        <f>#REF!/1000000000000</f>
        <v>#REF!</v>
      </c>
      <c r="AA9" s="7" t="e">
        <f>#REF!/1000000000000</f>
        <v>#REF!</v>
      </c>
      <c r="AB9" s="7" t="e">
        <f>#REF!/1000000000000</f>
        <v>#REF!</v>
      </c>
    </row>
    <row r="10" spans="1:28" x14ac:dyDescent="0.25">
      <c r="A10" s="6" t="s">
        <v>33</v>
      </c>
      <c r="B10" s="6" t="s">
        <v>25</v>
      </c>
      <c r="C10" s="7" t="e">
        <f>#REF!/1000000000000</f>
        <v>#REF!</v>
      </c>
      <c r="D10" s="7" t="e">
        <f>#REF!/1000000000000</f>
        <v>#REF!</v>
      </c>
      <c r="E10" s="7" t="e">
        <f>#REF!/1000000000000</f>
        <v>#REF!</v>
      </c>
      <c r="F10" s="7" t="e">
        <f>#REF!/1000000000000</f>
        <v>#REF!</v>
      </c>
      <c r="G10" s="7" t="e">
        <f>#REF!/1000000000000</f>
        <v>#REF!</v>
      </c>
      <c r="H10" s="7" t="e">
        <f>#REF!/1000000000000</f>
        <v>#REF!</v>
      </c>
      <c r="I10" s="7" t="e">
        <f>#REF!/1000000000000</f>
        <v>#REF!</v>
      </c>
      <c r="J10" s="7" t="e">
        <f>#REF!/1000000000000</f>
        <v>#REF!</v>
      </c>
      <c r="K10" s="7" t="e">
        <f>#REF!/1000000000000</f>
        <v>#REF!</v>
      </c>
      <c r="L10" s="7" t="e">
        <f>#REF!/1000000000000</f>
        <v>#REF!</v>
      </c>
      <c r="M10" s="7" t="e">
        <f>#REF!/1000000000000</f>
        <v>#REF!</v>
      </c>
      <c r="N10" s="7" t="e">
        <f>#REF!/1000000000000</f>
        <v>#REF!</v>
      </c>
      <c r="O10" s="7" t="e">
        <f>#REF!/1000000000000</f>
        <v>#REF!</v>
      </c>
      <c r="P10" s="7" t="e">
        <f>#REF!/1000000000000</f>
        <v>#REF!</v>
      </c>
      <c r="Q10" s="7" t="e">
        <f>#REF!/1000000000000</f>
        <v>#REF!</v>
      </c>
      <c r="R10" s="7" t="e">
        <f>#REF!/1000000000000</f>
        <v>#REF!</v>
      </c>
      <c r="S10" s="7" t="e">
        <f>#REF!/1000000000000</f>
        <v>#REF!</v>
      </c>
      <c r="T10" s="7" t="e">
        <f>#REF!/1000000000000</f>
        <v>#REF!</v>
      </c>
      <c r="U10" s="7" t="e">
        <f>#REF!/1000000000000</f>
        <v>#REF!</v>
      </c>
      <c r="V10" s="7" t="e">
        <f>#REF!/1000000000000</f>
        <v>#REF!</v>
      </c>
      <c r="W10" s="7" t="e">
        <f>#REF!/1000000000000</f>
        <v>#REF!</v>
      </c>
      <c r="X10" s="7" t="e">
        <f>#REF!/1000000000000</f>
        <v>#REF!</v>
      </c>
      <c r="Y10" s="7" t="e">
        <f>#REF!/1000000000000</f>
        <v>#REF!</v>
      </c>
      <c r="Z10" s="7" t="e">
        <f>#REF!/1000000000000</f>
        <v>#REF!</v>
      </c>
      <c r="AA10" s="7" t="e">
        <f>#REF!/1000000000000</f>
        <v>#REF!</v>
      </c>
      <c r="AB10" s="7" t="e">
        <f>#REF!/1000000000000</f>
        <v>#REF!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zoomScale="90" zoomScaleNormal="90" workbookViewId="0">
      <selection activeCell="C28" sqref="C28"/>
    </sheetView>
  </sheetViews>
  <sheetFormatPr baseColWidth="10" defaultRowHeight="15" x14ac:dyDescent="0.25"/>
  <cols>
    <col min="1" max="1" width="13.85546875" customWidth="1"/>
    <col min="2" max="2" width="22.5703125" customWidth="1"/>
    <col min="3" max="11" width="25.5703125" customWidth="1"/>
  </cols>
  <sheetData>
    <row r="1" spans="1:11" x14ac:dyDescent="0.25">
      <c r="A1" s="3" t="s">
        <v>4</v>
      </c>
      <c r="B1" s="3" t="s">
        <v>5</v>
      </c>
      <c r="C1" s="4">
        <v>2020</v>
      </c>
      <c r="D1" s="4">
        <v>2025</v>
      </c>
      <c r="E1" s="4">
        <v>2030</v>
      </c>
      <c r="F1" s="4">
        <v>2035</v>
      </c>
      <c r="G1" s="4">
        <v>2040</v>
      </c>
      <c r="H1" s="4">
        <v>2045</v>
      </c>
      <c r="I1" s="4">
        <v>2050</v>
      </c>
      <c r="J1" s="4">
        <v>2055</v>
      </c>
      <c r="K1" s="4">
        <v>2060</v>
      </c>
    </row>
    <row r="2" spans="1:11" x14ac:dyDescent="0.25">
      <c r="A2" s="2" t="s">
        <v>3</v>
      </c>
      <c r="B2" s="57" t="s">
        <v>39</v>
      </c>
      <c r="C2" s="5" t="e">
        <f>#REF!/1000000</f>
        <v>#REF!</v>
      </c>
      <c r="D2" s="5" t="e">
        <f>#REF!/1000000</f>
        <v>#REF!</v>
      </c>
      <c r="E2" s="5" t="e">
        <f>#REF!/1000000</f>
        <v>#REF!</v>
      </c>
      <c r="F2" s="5" t="e">
        <f>#REF!/1000000</f>
        <v>#REF!</v>
      </c>
      <c r="G2" s="5" t="e">
        <f>#REF!/1000000</f>
        <v>#REF!</v>
      </c>
      <c r="H2" s="5" t="e">
        <f>#REF!/1000000</f>
        <v>#REF!</v>
      </c>
      <c r="I2" s="5" t="e">
        <f>#REF!/1000000</f>
        <v>#REF!</v>
      </c>
      <c r="J2" s="5" t="e">
        <f>#REF!/1000000</f>
        <v>#REF!</v>
      </c>
      <c r="K2" s="5" t="e">
        <f>#REF!/1000000</f>
        <v>#REF!</v>
      </c>
    </row>
    <row r="3" spans="1:11" x14ac:dyDescent="0.25">
      <c r="A3" s="2" t="s">
        <v>3</v>
      </c>
      <c r="B3" s="57" t="s">
        <v>40</v>
      </c>
      <c r="C3" s="5" t="e">
        <f>#REF!/1000000</f>
        <v>#REF!</v>
      </c>
      <c r="D3" s="5" t="e">
        <f>#REF!/1000000</f>
        <v>#REF!</v>
      </c>
      <c r="E3" s="5" t="e">
        <f>#REF!/1000000</f>
        <v>#REF!</v>
      </c>
      <c r="F3" s="5" t="e">
        <f>#REF!/1000000</f>
        <v>#REF!</v>
      </c>
      <c r="G3" s="5" t="e">
        <f>#REF!/1000000</f>
        <v>#REF!</v>
      </c>
      <c r="H3" s="5" t="e">
        <f>#REF!/1000000</f>
        <v>#REF!</v>
      </c>
      <c r="I3" s="5" t="e">
        <f>#REF!/1000000</f>
        <v>#REF!</v>
      </c>
      <c r="J3" s="5" t="e">
        <f>#REF!/1000000</f>
        <v>#REF!</v>
      </c>
      <c r="K3" s="5" t="e">
        <f>#REF!/1000000</f>
        <v>#REF!</v>
      </c>
    </row>
    <row r="4" spans="1:11" x14ac:dyDescent="0.25">
      <c r="A4" s="2" t="s">
        <v>3</v>
      </c>
      <c r="B4" s="57" t="s">
        <v>6</v>
      </c>
      <c r="C4" s="5" t="e">
        <f>#REF!/1000000</f>
        <v>#REF!</v>
      </c>
      <c r="D4" s="5" t="e">
        <f>#REF!/1000000</f>
        <v>#REF!</v>
      </c>
      <c r="E4" s="5" t="e">
        <f>#REF!/1000000</f>
        <v>#REF!</v>
      </c>
      <c r="F4" s="5" t="e">
        <f>#REF!/1000000</f>
        <v>#REF!</v>
      </c>
      <c r="G4" s="5" t="e">
        <f>#REF!/1000000</f>
        <v>#REF!</v>
      </c>
      <c r="H4" s="5" t="e">
        <f>#REF!/1000000</f>
        <v>#REF!</v>
      </c>
      <c r="I4" s="5" t="e">
        <f>#REF!/1000000</f>
        <v>#REF!</v>
      </c>
      <c r="J4" s="5" t="e">
        <f>#REF!/1000000</f>
        <v>#REF!</v>
      </c>
      <c r="K4" s="5" t="e">
        <f>#REF!/1000000</f>
        <v>#REF!</v>
      </c>
    </row>
    <row r="5" spans="1:11" x14ac:dyDescent="0.25">
      <c r="A5" s="2" t="s">
        <v>3</v>
      </c>
      <c r="B5" s="57" t="s">
        <v>0</v>
      </c>
      <c r="C5" s="5" t="e">
        <f>#REF!/1000000</f>
        <v>#REF!</v>
      </c>
      <c r="D5" s="5" t="e">
        <f>#REF!/1000000</f>
        <v>#REF!</v>
      </c>
      <c r="E5" s="5" t="e">
        <f>#REF!/1000000</f>
        <v>#REF!</v>
      </c>
      <c r="F5" s="5" t="e">
        <f>#REF!/1000000</f>
        <v>#REF!</v>
      </c>
      <c r="G5" s="5" t="e">
        <f>#REF!/1000000</f>
        <v>#REF!</v>
      </c>
      <c r="H5" s="5" t="e">
        <f>#REF!/1000000</f>
        <v>#REF!</v>
      </c>
      <c r="I5" s="5" t="e">
        <f>#REF!/1000000</f>
        <v>#REF!</v>
      </c>
      <c r="J5" s="5" t="e">
        <f>#REF!/1000000</f>
        <v>#REF!</v>
      </c>
      <c r="K5" s="5" t="e">
        <f>#REF!/1000000</f>
        <v>#REF!</v>
      </c>
    </row>
    <row r="6" spans="1:11" x14ac:dyDescent="0.25">
      <c r="A6" s="2" t="s">
        <v>3</v>
      </c>
      <c r="B6" s="57" t="s">
        <v>7</v>
      </c>
      <c r="C6" s="5" t="e">
        <f>#REF!/1000000</f>
        <v>#REF!</v>
      </c>
      <c r="D6" s="5" t="e">
        <f>#REF!/1000000</f>
        <v>#REF!</v>
      </c>
      <c r="E6" s="5" t="e">
        <f>#REF!/1000000</f>
        <v>#REF!</v>
      </c>
      <c r="F6" s="5" t="e">
        <f>#REF!/1000000</f>
        <v>#REF!</v>
      </c>
      <c r="G6" s="5" t="e">
        <f>#REF!/1000000</f>
        <v>#REF!</v>
      </c>
      <c r="H6" s="5" t="e">
        <f>#REF!/1000000</f>
        <v>#REF!</v>
      </c>
      <c r="I6" s="5" t="e">
        <f>#REF!/1000000</f>
        <v>#REF!</v>
      </c>
      <c r="J6" s="5" t="e">
        <f>#REF!/1000000</f>
        <v>#REF!</v>
      </c>
      <c r="K6" s="5" t="e">
        <f>#REF!/1000000</f>
        <v>#REF!</v>
      </c>
    </row>
    <row r="7" spans="1:11" x14ac:dyDescent="0.25">
      <c r="A7" s="2" t="s">
        <v>3</v>
      </c>
      <c r="B7" s="57" t="s">
        <v>41</v>
      </c>
      <c r="C7" s="5" t="e">
        <f>#REF!/1000000</f>
        <v>#REF!</v>
      </c>
      <c r="D7" s="5" t="e">
        <f>#REF!/1000000</f>
        <v>#REF!</v>
      </c>
      <c r="E7" s="5" t="e">
        <f>#REF!/1000000</f>
        <v>#REF!</v>
      </c>
      <c r="F7" s="5" t="e">
        <f>#REF!/1000000</f>
        <v>#REF!</v>
      </c>
      <c r="G7" s="5" t="e">
        <f>#REF!/1000000</f>
        <v>#REF!</v>
      </c>
      <c r="H7" s="5" t="e">
        <f>#REF!/1000000</f>
        <v>#REF!</v>
      </c>
      <c r="I7" s="5" t="e">
        <f>#REF!/1000000</f>
        <v>#REF!</v>
      </c>
      <c r="J7" s="5" t="e">
        <f>#REF!/1000000</f>
        <v>#REF!</v>
      </c>
      <c r="K7" s="5" t="e">
        <f>#REF!/1000000</f>
        <v>#REF!</v>
      </c>
    </row>
    <row r="8" spans="1:11" x14ac:dyDescent="0.25">
      <c r="A8" s="2" t="s">
        <v>3</v>
      </c>
      <c r="B8" s="57" t="s">
        <v>8</v>
      </c>
      <c r="C8" s="5" t="e">
        <f>#REF!/1000000</f>
        <v>#REF!</v>
      </c>
      <c r="D8" s="5" t="e">
        <f>#REF!/1000000</f>
        <v>#REF!</v>
      </c>
      <c r="E8" s="5" t="e">
        <f>#REF!/1000000</f>
        <v>#REF!</v>
      </c>
      <c r="F8" s="5" t="e">
        <f>#REF!/1000000</f>
        <v>#REF!</v>
      </c>
      <c r="G8" s="5" t="e">
        <f>#REF!/1000000</f>
        <v>#REF!</v>
      </c>
      <c r="H8" s="5" t="e">
        <f>#REF!/1000000</f>
        <v>#REF!</v>
      </c>
      <c r="I8" s="5" t="e">
        <f>#REF!/1000000</f>
        <v>#REF!</v>
      </c>
      <c r="J8" s="5" t="e">
        <f>#REF!/1000000</f>
        <v>#REF!</v>
      </c>
      <c r="K8" s="5" t="e">
        <f>#REF!/1000000</f>
        <v>#REF!</v>
      </c>
    </row>
    <row r="9" spans="1:11" x14ac:dyDescent="0.25">
      <c r="A9" s="2" t="s">
        <v>3</v>
      </c>
      <c r="B9" s="57" t="s">
        <v>42</v>
      </c>
      <c r="C9" s="5" t="e">
        <f>#REF!/1000000</f>
        <v>#REF!</v>
      </c>
      <c r="D9" s="5" t="e">
        <f>#REF!/1000000</f>
        <v>#REF!</v>
      </c>
      <c r="E9" s="5" t="e">
        <f>#REF!/1000000</f>
        <v>#REF!</v>
      </c>
      <c r="F9" s="5" t="e">
        <f>#REF!/1000000</f>
        <v>#REF!</v>
      </c>
      <c r="G9" s="5" t="e">
        <f>#REF!/1000000</f>
        <v>#REF!</v>
      </c>
      <c r="H9" s="5" t="e">
        <f>#REF!/1000000</f>
        <v>#REF!</v>
      </c>
      <c r="I9" s="5" t="e">
        <f>#REF!/1000000</f>
        <v>#REF!</v>
      </c>
      <c r="J9" s="5" t="e">
        <f>#REF!/1000000</f>
        <v>#REF!</v>
      </c>
      <c r="K9" s="5" t="e">
        <f>#REF!/1000000</f>
        <v>#REF!</v>
      </c>
    </row>
    <row r="10" spans="1:11" x14ac:dyDescent="0.25">
      <c r="A10" s="2" t="s">
        <v>3</v>
      </c>
      <c r="B10" s="57" t="s">
        <v>1</v>
      </c>
      <c r="C10" s="5" t="e">
        <f>#REF!/1000000</f>
        <v>#REF!</v>
      </c>
      <c r="D10" s="5" t="e">
        <f>#REF!/1000000</f>
        <v>#REF!</v>
      </c>
      <c r="E10" s="5" t="e">
        <f>#REF!/1000000</f>
        <v>#REF!</v>
      </c>
      <c r="F10" s="5" t="e">
        <f>#REF!/1000000</f>
        <v>#REF!</v>
      </c>
      <c r="G10" s="5" t="e">
        <f>#REF!/1000000</f>
        <v>#REF!</v>
      </c>
      <c r="H10" s="5" t="e">
        <f>#REF!/1000000</f>
        <v>#REF!</v>
      </c>
      <c r="I10" s="5" t="e">
        <f>#REF!/1000000</f>
        <v>#REF!</v>
      </c>
      <c r="J10" s="5" t="e">
        <f>#REF!/1000000</f>
        <v>#REF!</v>
      </c>
      <c r="K10" s="5" t="e">
        <f>#REF!/1000000</f>
        <v>#REF!</v>
      </c>
    </row>
    <row r="11" spans="1:11" x14ac:dyDescent="0.25">
      <c r="A11" s="2" t="s">
        <v>3</v>
      </c>
      <c r="B11" s="57" t="s">
        <v>43</v>
      </c>
      <c r="C11" s="5" t="e">
        <f>#REF!/1000000</f>
        <v>#REF!</v>
      </c>
      <c r="D11" s="5" t="e">
        <f>#REF!/1000000</f>
        <v>#REF!</v>
      </c>
      <c r="E11" s="5" t="e">
        <f>#REF!/1000000</f>
        <v>#REF!</v>
      </c>
      <c r="F11" s="5" t="e">
        <f>#REF!/1000000</f>
        <v>#REF!</v>
      </c>
      <c r="G11" s="5" t="e">
        <f>#REF!/1000000</f>
        <v>#REF!</v>
      </c>
      <c r="H11" s="5" t="e">
        <f>#REF!/1000000</f>
        <v>#REF!</v>
      </c>
      <c r="I11" s="5" t="e">
        <f>#REF!/1000000</f>
        <v>#REF!</v>
      </c>
      <c r="J11" s="5" t="e">
        <f>#REF!/1000000</f>
        <v>#REF!</v>
      </c>
      <c r="K11" s="5" t="e">
        <f>#REF!/1000000</f>
        <v>#REF!</v>
      </c>
    </row>
    <row r="12" spans="1:11" x14ac:dyDescent="0.25">
      <c r="A12" s="2" t="s">
        <v>3</v>
      </c>
      <c r="B12" s="57" t="s">
        <v>9</v>
      </c>
      <c r="C12" s="5" t="e">
        <f>#REF!/1000000</f>
        <v>#REF!</v>
      </c>
      <c r="D12" s="5" t="e">
        <f>#REF!/1000000</f>
        <v>#REF!</v>
      </c>
      <c r="E12" s="5" t="e">
        <f>#REF!/1000000</f>
        <v>#REF!</v>
      </c>
      <c r="F12" s="5" t="e">
        <f>#REF!/1000000</f>
        <v>#REF!</v>
      </c>
      <c r="G12" s="5" t="e">
        <f>#REF!/1000000</f>
        <v>#REF!</v>
      </c>
      <c r="H12" s="5" t="e">
        <f>#REF!/1000000</f>
        <v>#REF!</v>
      </c>
      <c r="I12" s="5" t="e">
        <f>#REF!/1000000</f>
        <v>#REF!</v>
      </c>
      <c r="J12" s="5" t="e">
        <f>#REF!/1000000</f>
        <v>#REF!</v>
      </c>
      <c r="K12" s="5" t="e">
        <f>#REF!/1000000</f>
        <v>#REF!</v>
      </c>
    </row>
    <row r="13" spans="1:11" x14ac:dyDescent="0.25">
      <c r="A13" s="2" t="s">
        <v>3</v>
      </c>
      <c r="B13" s="57" t="s">
        <v>44</v>
      </c>
      <c r="C13" s="5" t="e">
        <f>#REF!/1000000</f>
        <v>#REF!</v>
      </c>
      <c r="D13" s="5" t="e">
        <f>#REF!/1000000</f>
        <v>#REF!</v>
      </c>
      <c r="E13" s="5" t="e">
        <f>#REF!/1000000</f>
        <v>#REF!</v>
      </c>
      <c r="F13" s="5" t="e">
        <f>#REF!/1000000</f>
        <v>#REF!</v>
      </c>
      <c r="G13" s="5" t="e">
        <f>#REF!/1000000</f>
        <v>#REF!</v>
      </c>
      <c r="H13" s="5" t="e">
        <f>#REF!/1000000</f>
        <v>#REF!</v>
      </c>
      <c r="I13" s="5" t="e">
        <f>#REF!/1000000</f>
        <v>#REF!</v>
      </c>
      <c r="J13" s="5" t="e">
        <f>#REF!/1000000</f>
        <v>#REF!</v>
      </c>
      <c r="K13" s="5" t="e">
        <f>#REF!/1000000</f>
        <v>#REF!</v>
      </c>
    </row>
    <row r="14" spans="1:11" x14ac:dyDescent="0.25">
      <c r="A14" s="2" t="s">
        <v>3</v>
      </c>
      <c r="B14" s="57" t="s">
        <v>45</v>
      </c>
      <c r="C14" s="5" t="e">
        <f>#REF!/1000000</f>
        <v>#REF!</v>
      </c>
      <c r="D14" s="5" t="e">
        <f>#REF!/1000000</f>
        <v>#REF!</v>
      </c>
      <c r="E14" s="5" t="e">
        <f>#REF!/1000000</f>
        <v>#REF!</v>
      </c>
      <c r="F14" s="5" t="e">
        <f>#REF!/1000000</f>
        <v>#REF!</v>
      </c>
      <c r="G14" s="5" t="e">
        <f>#REF!/1000000</f>
        <v>#REF!</v>
      </c>
      <c r="H14" s="5" t="e">
        <f>#REF!/1000000</f>
        <v>#REF!</v>
      </c>
      <c r="I14" s="5" t="e">
        <f>#REF!/1000000</f>
        <v>#REF!</v>
      </c>
      <c r="J14" s="5" t="e">
        <f>#REF!/1000000</f>
        <v>#REF!</v>
      </c>
      <c r="K14" s="5" t="e">
        <f>#REF!/1000000</f>
        <v>#REF!</v>
      </c>
    </row>
    <row r="15" spans="1:11" x14ac:dyDescent="0.25">
      <c r="A15" s="2" t="s">
        <v>3</v>
      </c>
      <c r="B15" s="57" t="s">
        <v>2</v>
      </c>
      <c r="C15" s="5" t="e">
        <f>#REF!/1000000</f>
        <v>#REF!</v>
      </c>
      <c r="D15" s="5" t="e">
        <f>#REF!/1000000</f>
        <v>#REF!</v>
      </c>
      <c r="E15" s="5" t="e">
        <f>#REF!/1000000</f>
        <v>#REF!</v>
      </c>
      <c r="F15" s="5" t="e">
        <f>#REF!/1000000</f>
        <v>#REF!</v>
      </c>
      <c r="G15" s="5" t="e">
        <f>#REF!/1000000</f>
        <v>#REF!</v>
      </c>
      <c r="H15" s="5" t="e">
        <f>#REF!/1000000</f>
        <v>#REF!</v>
      </c>
      <c r="I15" s="5" t="e">
        <f>#REF!/1000000</f>
        <v>#REF!</v>
      </c>
      <c r="J15" s="5" t="e">
        <f>#REF!/1000000</f>
        <v>#REF!</v>
      </c>
      <c r="K15" s="5" t="e">
        <f>#REF!/1000000</f>
        <v>#REF!</v>
      </c>
    </row>
    <row r="16" spans="1:11" x14ac:dyDescent="0.25">
      <c r="A16" s="2" t="s">
        <v>3</v>
      </c>
      <c r="B16" s="57" t="s">
        <v>10</v>
      </c>
      <c r="C16" s="5" t="e">
        <f>#REF!/1000000</f>
        <v>#REF!</v>
      </c>
      <c r="D16" s="5" t="e">
        <f>#REF!/1000000</f>
        <v>#REF!</v>
      </c>
      <c r="E16" s="5" t="e">
        <f>#REF!/1000000</f>
        <v>#REF!</v>
      </c>
      <c r="F16" s="5" t="e">
        <f>#REF!/1000000</f>
        <v>#REF!</v>
      </c>
      <c r="G16" s="5" t="e">
        <f>#REF!/1000000</f>
        <v>#REF!</v>
      </c>
      <c r="H16" s="5" t="e">
        <f>#REF!/1000000</f>
        <v>#REF!</v>
      </c>
      <c r="I16" s="5" t="e">
        <f>#REF!/1000000</f>
        <v>#REF!</v>
      </c>
      <c r="J16" s="5" t="e">
        <f>#REF!/1000000</f>
        <v>#REF!</v>
      </c>
      <c r="K16" s="5" t="e">
        <f>#REF!/1000000</f>
        <v>#REF!</v>
      </c>
    </row>
    <row r="17" spans="1:11" x14ac:dyDescent="0.25">
      <c r="A17" s="2" t="s">
        <v>3</v>
      </c>
      <c r="B17" s="57" t="s">
        <v>11</v>
      </c>
      <c r="C17" s="5" t="e">
        <f>#REF!/1000000</f>
        <v>#REF!</v>
      </c>
      <c r="D17" s="5" t="e">
        <f>#REF!/1000000</f>
        <v>#REF!</v>
      </c>
      <c r="E17" s="5" t="e">
        <f>#REF!/1000000</f>
        <v>#REF!</v>
      </c>
      <c r="F17" s="5" t="e">
        <f>#REF!/1000000</f>
        <v>#REF!</v>
      </c>
      <c r="G17" s="5" t="e">
        <f>#REF!/1000000</f>
        <v>#REF!</v>
      </c>
      <c r="H17" s="5" t="e">
        <f>#REF!/1000000</f>
        <v>#REF!</v>
      </c>
      <c r="I17" s="5" t="e">
        <f>#REF!/1000000</f>
        <v>#REF!</v>
      </c>
      <c r="J17" s="5" t="e">
        <f>#REF!/1000000</f>
        <v>#REF!</v>
      </c>
      <c r="K17" s="5" t="e">
        <f>#REF!/1000000</f>
        <v>#REF!</v>
      </c>
    </row>
    <row r="18" spans="1:11" x14ac:dyDescent="0.25">
      <c r="A18" s="2" t="s">
        <v>3</v>
      </c>
      <c r="B18" s="57" t="s">
        <v>12</v>
      </c>
      <c r="C18" s="5" t="e">
        <f>#REF!/1000000</f>
        <v>#REF!</v>
      </c>
      <c r="D18" s="5" t="e">
        <f>#REF!/1000000</f>
        <v>#REF!</v>
      </c>
      <c r="E18" s="5" t="e">
        <f>#REF!/1000000</f>
        <v>#REF!</v>
      </c>
      <c r="F18" s="5" t="e">
        <f>#REF!/1000000</f>
        <v>#REF!</v>
      </c>
      <c r="G18" s="5" t="e">
        <f>#REF!/1000000</f>
        <v>#REF!</v>
      </c>
      <c r="H18" s="5" t="e">
        <f>#REF!/1000000</f>
        <v>#REF!</v>
      </c>
      <c r="I18" s="5" t="e">
        <f>#REF!/1000000</f>
        <v>#REF!</v>
      </c>
      <c r="J18" s="5" t="e">
        <f>#REF!/1000000</f>
        <v>#REF!</v>
      </c>
      <c r="K18" s="5" t="e">
        <f>#REF!/1000000</f>
        <v>#REF!</v>
      </c>
    </row>
    <row r="19" spans="1:11" x14ac:dyDescent="0.25">
      <c r="A19" s="2" t="s">
        <v>3</v>
      </c>
      <c r="B19" s="57" t="s">
        <v>13</v>
      </c>
      <c r="C19" s="5" t="e">
        <f>#REF!/1000000</f>
        <v>#REF!</v>
      </c>
      <c r="D19" s="5" t="e">
        <f>#REF!/1000000</f>
        <v>#REF!</v>
      </c>
      <c r="E19" s="5" t="e">
        <f>#REF!/1000000</f>
        <v>#REF!</v>
      </c>
      <c r="F19" s="5" t="e">
        <f>#REF!/1000000</f>
        <v>#REF!</v>
      </c>
      <c r="G19" s="5" t="e">
        <f>#REF!/1000000</f>
        <v>#REF!</v>
      </c>
      <c r="H19" s="5" t="e">
        <f>#REF!/1000000</f>
        <v>#REF!</v>
      </c>
      <c r="I19" s="5" t="e">
        <f>#REF!/1000000</f>
        <v>#REF!</v>
      </c>
      <c r="J19" s="5" t="e">
        <f>#REF!/1000000</f>
        <v>#REF!</v>
      </c>
      <c r="K19" s="5" t="e">
        <f>#REF!/1000000</f>
        <v>#REF!</v>
      </c>
    </row>
    <row r="20" spans="1:11" x14ac:dyDescent="0.25">
      <c r="A20" s="2" t="s">
        <v>3</v>
      </c>
      <c r="B20" s="57" t="s">
        <v>46</v>
      </c>
      <c r="C20" s="5" t="e">
        <f>#REF!/1000000</f>
        <v>#REF!</v>
      </c>
      <c r="D20" s="5" t="e">
        <f>#REF!/1000000</f>
        <v>#REF!</v>
      </c>
      <c r="E20" s="5" t="e">
        <f>#REF!/1000000</f>
        <v>#REF!</v>
      </c>
      <c r="F20" s="5" t="e">
        <f>#REF!/1000000</f>
        <v>#REF!</v>
      </c>
      <c r="G20" s="5" t="e">
        <f>#REF!/1000000</f>
        <v>#REF!</v>
      </c>
      <c r="H20" s="5" t="e">
        <f>#REF!/1000000</f>
        <v>#REF!</v>
      </c>
      <c r="I20" s="5" t="e">
        <f>#REF!/1000000</f>
        <v>#REF!</v>
      </c>
      <c r="J20" s="5" t="e">
        <f>#REF!/1000000</f>
        <v>#REF!</v>
      </c>
      <c r="K20" s="5" t="e">
        <f>#REF!/1000000</f>
        <v>#REF!</v>
      </c>
    </row>
    <row r="21" spans="1:11" x14ac:dyDescent="0.25">
      <c r="A21" s="2" t="s">
        <v>3</v>
      </c>
      <c r="B21" s="57" t="s">
        <v>14</v>
      </c>
      <c r="C21" s="5" t="e">
        <f>#REF!/1000000</f>
        <v>#REF!</v>
      </c>
      <c r="D21" s="5" t="e">
        <f>#REF!/1000000</f>
        <v>#REF!</v>
      </c>
      <c r="E21" s="5" t="e">
        <f>#REF!/1000000</f>
        <v>#REF!</v>
      </c>
      <c r="F21" s="5" t="e">
        <f>#REF!/1000000</f>
        <v>#REF!</v>
      </c>
      <c r="G21" s="5" t="e">
        <f>#REF!/1000000</f>
        <v>#REF!</v>
      </c>
      <c r="H21" s="5" t="e">
        <f>#REF!/1000000</f>
        <v>#REF!</v>
      </c>
      <c r="I21" s="5" t="e">
        <f>#REF!/1000000</f>
        <v>#REF!</v>
      </c>
      <c r="J21" s="5" t="e">
        <f>#REF!/1000000</f>
        <v>#REF!</v>
      </c>
      <c r="K21" s="5" t="e">
        <f>#REF!/1000000</f>
        <v>#REF!</v>
      </c>
    </row>
    <row r="22" spans="1:11" x14ac:dyDescent="0.25">
      <c r="A22" s="2" t="s">
        <v>3</v>
      </c>
      <c r="B22" s="57" t="s">
        <v>15</v>
      </c>
      <c r="C22" s="5" t="e">
        <f>#REF!/1000000</f>
        <v>#REF!</v>
      </c>
      <c r="D22" s="5" t="e">
        <f>#REF!/1000000</f>
        <v>#REF!</v>
      </c>
      <c r="E22" s="5" t="e">
        <f>#REF!/1000000</f>
        <v>#REF!</v>
      </c>
      <c r="F22" s="5" t="e">
        <f>#REF!/1000000</f>
        <v>#REF!</v>
      </c>
      <c r="G22" s="5" t="e">
        <f>#REF!/1000000</f>
        <v>#REF!</v>
      </c>
      <c r="H22" s="5" t="e">
        <f>#REF!/1000000</f>
        <v>#REF!</v>
      </c>
      <c r="I22" s="5" t="e">
        <f>#REF!/1000000</f>
        <v>#REF!</v>
      </c>
      <c r="J22" s="5" t="e">
        <f>#REF!/1000000</f>
        <v>#REF!</v>
      </c>
      <c r="K22" s="5" t="e">
        <f>#REF!/1000000</f>
        <v>#REF!</v>
      </c>
    </row>
    <row r="23" spans="1:11" x14ac:dyDescent="0.25">
      <c r="A23" s="2" t="s">
        <v>3</v>
      </c>
      <c r="B23" s="57" t="s">
        <v>55</v>
      </c>
      <c r="C23" s="5" t="e">
        <f>#REF!/1000000</f>
        <v>#REF!</v>
      </c>
      <c r="D23" s="5" t="e">
        <f>#REF!/1000000</f>
        <v>#REF!</v>
      </c>
      <c r="E23" s="5" t="e">
        <f>#REF!/1000000</f>
        <v>#REF!</v>
      </c>
      <c r="F23" s="5" t="e">
        <f>#REF!/1000000</f>
        <v>#REF!</v>
      </c>
      <c r="G23" s="5" t="e">
        <f>#REF!/1000000</f>
        <v>#REF!</v>
      </c>
      <c r="H23" s="5" t="e">
        <f>#REF!/1000000</f>
        <v>#REF!</v>
      </c>
      <c r="I23" s="5" t="e">
        <f>#REF!/1000000</f>
        <v>#REF!</v>
      </c>
      <c r="J23" s="5" t="e">
        <f>#REF!/1000000</f>
        <v>#REF!</v>
      </c>
      <c r="K23" s="5" t="e">
        <f>#REF!/1000000</f>
        <v>#REF!</v>
      </c>
    </row>
    <row r="24" spans="1:11" x14ac:dyDescent="0.25">
      <c r="A24" s="2" t="s">
        <v>3</v>
      </c>
      <c r="B24" s="57" t="s">
        <v>16</v>
      </c>
      <c r="C24" s="5" t="e">
        <f>#REF!/1000000</f>
        <v>#REF!</v>
      </c>
      <c r="D24" s="5" t="e">
        <f>#REF!/1000000</f>
        <v>#REF!</v>
      </c>
      <c r="E24" s="5" t="e">
        <f>#REF!/1000000</f>
        <v>#REF!</v>
      </c>
      <c r="F24" s="5" t="e">
        <f>#REF!/1000000</f>
        <v>#REF!</v>
      </c>
      <c r="G24" s="5" t="e">
        <f>#REF!/1000000</f>
        <v>#REF!</v>
      </c>
      <c r="H24" s="5" t="e">
        <f>#REF!/1000000</f>
        <v>#REF!</v>
      </c>
      <c r="I24" s="5" t="e">
        <f>#REF!/1000000</f>
        <v>#REF!</v>
      </c>
      <c r="J24" s="5" t="e">
        <f>#REF!/1000000</f>
        <v>#REF!</v>
      </c>
      <c r="K24" s="5" t="e">
        <f>#REF!/1000000</f>
        <v>#REF!</v>
      </c>
    </row>
    <row r="25" spans="1:11" x14ac:dyDescent="0.25">
      <c r="A25" s="2" t="s">
        <v>3</v>
      </c>
      <c r="B25" s="57" t="s">
        <v>17</v>
      </c>
      <c r="C25" s="5" t="e">
        <f>#REF!/1000000</f>
        <v>#REF!</v>
      </c>
      <c r="D25" s="5" t="e">
        <f>#REF!/1000000</f>
        <v>#REF!</v>
      </c>
      <c r="E25" s="5" t="e">
        <f>#REF!/1000000</f>
        <v>#REF!</v>
      </c>
      <c r="F25" s="5" t="e">
        <f>#REF!/1000000</f>
        <v>#REF!</v>
      </c>
      <c r="G25" s="5" t="e">
        <f>#REF!/1000000</f>
        <v>#REF!</v>
      </c>
      <c r="H25" s="5" t="e">
        <f>#REF!/1000000</f>
        <v>#REF!</v>
      </c>
      <c r="I25" s="5" t="e">
        <f>#REF!/1000000</f>
        <v>#REF!</v>
      </c>
      <c r="J25" s="5" t="e">
        <f>#REF!/1000000</f>
        <v>#REF!</v>
      </c>
      <c r="K25" s="5" t="e">
        <f>#REF!/1000000</f>
        <v>#REF!</v>
      </c>
    </row>
    <row r="26" spans="1:11" x14ac:dyDescent="0.25">
      <c r="A26" s="2" t="s">
        <v>3</v>
      </c>
      <c r="B26" s="57" t="s">
        <v>18</v>
      </c>
      <c r="C26" s="5" t="e">
        <f>#REF!/1000000</f>
        <v>#REF!</v>
      </c>
      <c r="D26" s="5" t="e">
        <f>#REF!/1000000</f>
        <v>#REF!</v>
      </c>
      <c r="E26" s="5" t="e">
        <f>#REF!/1000000</f>
        <v>#REF!</v>
      </c>
      <c r="F26" s="5" t="e">
        <f>#REF!/1000000</f>
        <v>#REF!</v>
      </c>
      <c r="G26" s="5" t="e">
        <f>#REF!/1000000</f>
        <v>#REF!</v>
      </c>
      <c r="H26" s="5" t="e">
        <f>#REF!/1000000</f>
        <v>#REF!</v>
      </c>
      <c r="I26" s="5" t="e">
        <f>#REF!/1000000</f>
        <v>#REF!</v>
      </c>
      <c r="J26" s="5" t="e">
        <f>#REF!/1000000</f>
        <v>#REF!</v>
      </c>
      <c r="K26" s="5" t="e">
        <f>#REF!/1000000</f>
        <v>#REF!</v>
      </c>
    </row>
    <row r="27" spans="1:11" x14ac:dyDescent="0.25">
      <c r="A27" s="2" t="s">
        <v>3</v>
      </c>
      <c r="B27" s="57" t="s">
        <v>19</v>
      </c>
      <c r="C27" s="5" t="e">
        <f>#REF!/1000000</f>
        <v>#REF!</v>
      </c>
      <c r="D27" s="5" t="e">
        <f>#REF!/1000000</f>
        <v>#REF!</v>
      </c>
      <c r="E27" s="5" t="e">
        <f>#REF!/1000000</f>
        <v>#REF!</v>
      </c>
      <c r="F27" s="5" t="e">
        <f>#REF!/1000000</f>
        <v>#REF!</v>
      </c>
      <c r="G27" s="5" t="e">
        <f>#REF!/1000000</f>
        <v>#REF!</v>
      </c>
      <c r="H27" s="5" t="e">
        <f>#REF!/1000000</f>
        <v>#REF!</v>
      </c>
      <c r="I27" s="5" t="e">
        <f>#REF!/1000000</f>
        <v>#REF!</v>
      </c>
      <c r="J27" s="5" t="e">
        <f>#REF!/1000000</f>
        <v>#REF!</v>
      </c>
      <c r="K27" s="5" t="e">
        <f>#REF!/1000000</f>
        <v>#REF!</v>
      </c>
    </row>
    <row r="28" spans="1:11" x14ac:dyDescent="0.25">
      <c r="A28" s="2" t="s">
        <v>3</v>
      </c>
      <c r="B28" s="2" t="s">
        <v>60</v>
      </c>
      <c r="C28" s="5" t="e">
        <f>#REF!/1000000</f>
        <v>#REF!</v>
      </c>
      <c r="D28" s="5" t="e">
        <f>#REF!/1000000</f>
        <v>#REF!</v>
      </c>
      <c r="E28" s="5" t="e">
        <f>#REF!/1000000</f>
        <v>#REF!</v>
      </c>
      <c r="F28" s="5" t="e">
        <f>#REF!/1000000</f>
        <v>#REF!</v>
      </c>
      <c r="G28" s="5" t="e">
        <f>#REF!/1000000</f>
        <v>#REF!</v>
      </c>
      <c r="H28" s="5" t="e">
        <f>#REF!/1000000</f>
        <v>#REF!</v>
      </c>
      <c r="I28" s="5" t="e">
        <f>#REF!/1000000</f>
        <v>#REF!</v>
      </c>
      <c r="J28" s="5" t="e">
        <f>#REF!/1000000</f>
        <v>#REF!</v>
      </c>
      <c r="K28" s="5" t="e">
        <f>#REF!/1000000</f>
        <v>#REF!</v>
      </c>
    </row>
    <row r="29" spans="1:11" x14ac:dyDescent="0.25">
      <c r="A29" s="2" t="s">
        <v>3</v>
      </c>
      <c r="B29" s="2" t="s">
        <v>61</v>
      </c>
      <c r="C29" s="5" t="e">
        <f>#REF!/1000000</f>
        <v>#REF!</v>
      </c>
      <c r="D29" s="5" t="e">
        <f>#REF!/1000000</f>
        <v>#REF!</v>
      </c>
      <c r="E29" s="5" t="e">
        <f>#REF!/1000000</f>
        <v>#REF!</v>
      </c>
      <c r="F29" s="5" t="e">
        <f>#REF!/1000000</f>
        <v>#REF!</v>
      </c>
      <c r="G29" s="5" t="e">
        <f>#REF!/1000000</f>
        <v>#REF!</v>
      </c>
      <c r="H29" s="5" t="e">
        <f>#REF!/1000000</f>
        <v>#REF!</v>
      </c>
      <c r="I29" s="5" t="e">
        <f>#REF!/1000000</f>
        <v>#REF!</v>
      </c>
      <c r="J29" s="5" t="e">
        <f>#REF!/1000000</f>
        <v>#REF!</v>
      </c>
      <c r="K29" s="5" t="e">
        <f>#REF!/1000000</f>
        <v>#REF!</v>
      </c>
    </row>
    <row r="30" spans="1:11" x14ac:dyDescent="0.25">
      <c r="A30" s="2" t="s">
        <v>3</v>
      </c>
      <c r="B30" s="2" t="s">
        <v>47</v>
      </c>
      <c r="C30" s="5" t="e">
        <f>#REF!/1000000</f>
        <v>#REF!</v>
      </c>
      <c r="D30" s="5" t="e">
        <f>#REF!/1000000</f>
        <v>#REF!</v>
      </c>
      <c r="E30" s="5" t="e">
        <f>#REF!/1000000</f>
        <v>#REF!</v>
      </c>
      <c r="F30" s="5" t="e">
        <f>#REF!/1000000</f>
        <v>#REF!</v>
      </c>
      <c r="G30" s="5" t="e">
        <f>#REF!/1000000</f>
        <v>#REF!</v>
      </c>
      <c r="H30" s="5" t="e">
        <f>#REF!/1000000</f>
        <v>#REF!</v>
      </c>
      <c r="I30" s="5" t="e">
        <f>#REF!/1000000</f>
        <v>#REF!</v>
      </c>
      <c r="J30" s="5" t="e">
        <f>#REF!/1000000</f>
        <v>#REF!</v>
      </c>
      <c r="K30" s="5" t="e">
        <f>#REF!/1000000</f>
        <v>#REF!</v>
      </c>
    </row>
  </sheetData>
  <autoFilter ref="A1:B19"/>
  <sortState ref="A2:K20">
    <sortCondition ref="B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Confidentialité</vt:lpstr>
      <vt:lpstr>Investissements</vt:lpstr>
      <vt:lpstr>Production</vt:lpstr>
      <vt:lpstr>Taux de charge</vt:lpstr>
      <vt:lpstr>Consommation</vt:lpstr>
      <vt:lpstr>Echanges européens</vt:lpstr>
      <vt:lpstr>Ecrêtement</vt:lpstr>
      <vt:lpstr>CO2_Emissions</vt:lpstr>
      <vt:lpstr>Coûts marginaux</vt:lpstr>
      <vt:lpstr>Prod_TWh</vt:lpstr>
      <vt:lpstr>Installé_CAPA_MW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gpenaverrier</cp:lastModifiedBy>
  <dcterms:created xsi:type="dcterms:W3CDTF">2018-01-17T09:01:20Z</dcterms:created>
  <dcterms:modified xsi:type="dcterms:W3CDTF">2021-11-19T13:47:57Z</dcterms:modified>
</cp:coreProperties>
</file>